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13.xml.rels" ContentType="application/vnd.openxmlformats-package.relationships+xml"/>
  <Override PartName="/xl/worksheets/_rels/sheet12.xml.rels" ContentType="application/vnd.openxmlformats-package.relationships+xml"/>
  <Override PartName="/xl/worksheets/_rels/sheet1.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7.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YNTHESE" sheetId="1" state="visible" r:id="rId3"/>
    <sheet name="LISEZ-MOI" sheetId="2" state="visible" r:id="rId4"/>
    <sheet name="DONNEES" sheetId="3" state="visible" r:id="rId5"/>
    <sheet name="PAR_FAMILLE" sheetId="4" state="visible" r:id="rId6"/>
    <sheet name="PAR_TOUR" sheetId="5" state="visible" r:id="rId7"/>
    <sheet name="PAR_CHAMP" sheetId="6" state="visible" r:id="rId8"/>
    <sheet name="PAR_FONDS" sheetId="7" state="visible" r:id="rId9"/>
    <sheet name="PAR_GROUPE" sheetId="8" state="visible" r:id="rId10"/>
    <sheet name="CROISEMENT" sheetId="9" state="visible" r:id="rId11"/>
    <sheet name="COMPARAISON_SEPT" sheetId="10" state="visible" r:id="rId12"/>
    <sheet name="ERREURS" sheetId="11" state="visible" r:id="rId13"/>
    <sheet name="TENTATIVES" sheetId="12" state="visible" r:id="rId14"/>
    <sheet name="COLLECTE" sheetId="13" state="visible" r:id="rId15"/>
  </sheets>
  <definedNames>
    <definedName function="false" hidden="true" localSheetId="10" name="_xlnm._FilterDatabase" vbProcedure="false">ERREURS!$A$4:$J$79</definedName>
    <definedName function="false" hidden="true" localSheetId="11" name="_xlnm._FilterDatabase" vbProcedure="false">TENTATIVES!$A$1:$G$422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<sst xmlns="http://schemas.openxmlformats.org/spreadsheetml/2006/main" count="23740" uniqueCount="5470">
  <si>
    <t xml:space="preserve">Product Info Assistant : benchmark de 1 500 questions</t>
  </si>
  <si>
    <t xml:space="preserve">Campagne du 14/10 au 16/10/2026 · 300 conversations de 5 questions · un chat neuf par conversation. Tous les chiffres sont calculés par formules sur l’onglet DONNEES.</t>
  </si>
  <si>
    <t xml:space="preserve">Indicateur</t>
  </si>
  <si>
    <t xml:space="preserve">Valeur</t>
  </si>
  <si>
    <t xml:space="preserve">Commentaire</t>
  </si>
  <si>
    <t xml:space="preserve">Questions du benchmark</t>
  </si>
  <si>
    <t xml:space="preserve">Réponses capturées</t>
  </si>
  <si>
    <t xml:space="preserve">Conversations non capturées : C048, C050, C052</t>
  </si>
  <si>
    <t xml:space="preserve">Questions à valeur connue notées</t>
  </si>
  <si>
    <t xml:space="preserve">Dénominateur des taux ci-dessous (statut NOTABLE)</t>
  </si>
  <si>
    <t xml:space="preserve">Réponses justes</t>
  </si>
  <si>
    <t xml:space="preserve">IC 95 % (bootstrap par conversation) : 78,0 % – 84,0 %</t>
  </si>
  <si>
    <t xml:space="preserve">« Aucune information » alors que la donnée existe</t>
  </si>
  <si>
    <t xml:space="preserve">Défaut principal</t>
  </si>
  <si>
    <t xml:space="preserve">Valeurs fausses</t>
  </si>
  <si>
    <t xml:space="preserve">Dont réponses sur un autre fonds : voir ERREURS</t>
  </si>
  <si>
    <t xml:space="preserve">Réponses hors sujet</t>
  </si>
  <si>
    <t xml:space="preserve">« Quel scope de recherche ? », question non reçue, réponse vide</t>
  </si>
  <si>
    <t xml:space="preserve">Justesse quand l’agent donne une valeur</t>
  </si>
  <si>
    <t xml:space="preserve">IC 95 % : 94,2 % – 97,1 %</t>
  </si>
  <si>
    <t xml:space="preserve">Abstention correcte sur cellule vide</t>
  </si>
  <si>
    <t xml:space="preserve">Cellules vides dans la base : l’agent n’invente pas</t>
  </si>
  <si>
    <t xml:space="preserve">Latence moyenne (s)</t>
  </si>
  <si>
    <t xml:space="preserve">Médiane : 12.4 s · premier message : 34 s de médiane</t>
  </si>
  <si>
    <t xml:space="preserve">Chats ouverts</t>
  </si>
  <si>
    <t xml:space="preserve">Chats interrompus</t>
  </si>
  <si>
    <t xml:space="preserve">117 sans réponse au premier message en 6 minutes</t>
  </si>
  <si>
    <t xml:space="preserve">Justes, septembre (mêmes questions)</t>
  </si>
  <si>
    <t xml:space="preserve">Campagne du 29/09 (100 questions par chat), renotée avec les mêmes règles</t>
  </si>
  <si>
    <t xml:space="preserve">Justes, octobre (mêmes questions)</t>
  </si>
  <si>
    <t xml:space="preserve">Un chat neuf par conversation</t>
  </si>
  <si>
    <t xml:space="preserve">Questions qui changent de verdict</t>
  </si>
  <si>
    <t xml:space="preserve">Entre septembre et octobre, questions notées dans les deux campagnes</t>
  </si>
  <si>
    <t xml:space="preserve">Répartition des verdicts</t>
  </si>
  <si>
    <t xml:space="preserve">Verdict</t>
  </si>
  <si>
    <t xml:space="preserve">Réponses</t>
  </si>
  <si>
    <t xml:space="preserve">Correct</t>
  </si>
  <si>
    <t xml:space="preserve">Pas d’info à tort</t>
  </si>
  <si>
    <t xml:space="preserve">Incorrect</t>
  </si>
  <si>
    <t xml:space="preserve">Hors sujet</t>
  </si>
  <si>
    <t xml:space="preserve">Abstention correcte</t>
  </si>
  <si>
    <t xml:space="preserve">Valeur sur cellule vide</t>
  </si>
  <si>
    <t xml:space="preserve">Échec technique</t>
  </si>
  <si>
    <t xml:space="preserve">Non capturé</t>
  </si>
  <si>
    <t xml:space="preserve">Lisez-moi</t>
  </si>
  <si>
    <t xml:space="preserve">Onglets</t>
  </si>
  <si>
    <t xml:space="preserve">SYNTHESE</t>
  </si>
  <si>
    <t xml:space="preserve">Chiffres clés et répartition des verdicts.</t>
  </si>
  <si>
    <t xml:space="preserve">DONNEES</t>
  </si>
  <si>
    <t xml:space="preserve">Une ligne par question : question, valeur attendue, réponse, verdict, motif, latence, verdict de septembre. Filtrable.</t>
  </si>
  <si>
    <t xml:space="preserve">PAR_FAMILLE / TOUR / CHAMP / FONDS / GROUPE</t>
  </si>
  <si>
    <t xml:space="preserve">Résultats par dimension, avec graphique pour familles et tours.</t>
  </si>
  <si>
    <t xml:space="preserve">CROISEMENT</t>
  </si>
  <si>
    <t xml:space="preserve">Famille × tour (% correct) et famille × verdict (nombres).</t>
  </si>
  <si>
    <t xml:space="preserve">COMPARAISON_SEPT</t>
  </si>
  <si>
    <t xml:space="preserve">Mêmes questions en septembre et en octobre, et passage de verdict de l’une à l’autre.</t>
  </si>
  <si>
    <t xml:space="preserve">ERREURS</t>
  </si>
  <si>
    <t xml:space="preserve">Valeurs fausses et réponses hors sujet, classées par type.</t>
  </si>
  <si>
    <t xml:space="preserve">COLLECTE / TENTATIVES</t>
  </si>
  <si>
    <t xml:space="preserve">Chats ouverts et interrompus par heure, latence par tour, détail des tentatives.</t>
  </si>
  <si>
    <t xml:space="preserve">Verdicts</t>
  </si>
  <si>
    <t xml:space="preserve">La valeur de la base est restituée (équivalences FR / EN acceptées).</t>
  </si>
  <si>
    <t xml:space="preserve">L’agent dit ne pas avoir la donnée alors qu’elle est renseignée.</t>
  </si>
  <si>
    <t xml:space="preserve">Autre valeur, champ voisin, ou réponse portant sur un autre fonds.</t>
  </si>
  <si>
    <t xml:space="preserve">L’agent ne traite pas la question : demande de « scope de recherche », question non reçue, réponse vide, définition générique.</t>
  </si>
  <si>
    <t xml:space="preserve">Cellule vide dans la base, l’agent ne donne pas de valeur.</t>
  </si>
  <si>
    <t xml:space="preserve">Cellule vide dans la base, l’agent affirme une valeur.</t>
  </si>
  <si>
    <t xml:space="preserve">Message d’erreur de la plateforme.</t>
  </si>
  <si>
    <t xml:space="preserve">Question non capturée (conversation interrompue 3 fois).</t>
  </si>
  <si>
    <t xml:space="preserve">Taux</t>
  </si>
  <si>
    <t xml:space="preserve">Calculés sur les questions à valeur connue (statut NOTABLE) notées Correct, « Aucune info », Valeur fausse ou Hors sujet.</t>
  </si>
  <si>
    <t xml:space="preserve">Source du verdict</t>
  </si>
  <si>
    <t xml:space="preserve">« Règles » : notation automatique. « Revue des écarts » : 68 cas ambigus ou réponses sur un autre fonds.</t>
  </si>
  <si>
    <t xml:space="preserve">Relecture</t>
  </si>
  <si>
    <t xml:space="preserve">Pour corriger un verdict, modifier la colonne « Verdict » de DONNEES : tous les onglets se recalculent.</t>
  </si>
  <si>
    <t xml:space="preserve">Familles de champs</t>
  </si>
  <si>
    <t xml:space="preserve">Gérants et dates de gestion : portfolio manager, portfolio backup, start date; Intervenants : depositary, custodian, centralizing, transfer agent, administrator, auditor, commissaire, investment manager, delegation, sponsoring, management company, promoter; Identifiants : isin, lei, amf code, code; Juridique et réglementaire : legal form, regulation, umbrella, domicil, priips, eet fund, sub-regulation, fund of funds, feeder, status, statut, internal classification, amf classification; Risque : risk, sri, volatility, liquidity, counterparty, credit risk; ESG / EET : esg, sfdr, eet, pai, taxonomy, article 29, label, finansol, thematic, sustainab, \bsi\b; Frais et coûts : fee, cost, tarification, rétrocession, retrocession, high water, performance; Expertise et gamme : expertise, asset class, fund range, region, benchmark, investment universe; Textes longs : objective, allocation, investor profile, strategy; Dates et VL : date, nav, closing, period, maturity</t>
  </si>
  <si>
    <t xml:space="preserve">ID question</t>
  </si>
  <si>
    <t xml:space="preserve">Conversation</t>
  </si>
  <si>
    <t xml:space="preserve">Tour</t>
  </si>
  <si>
    <t xml:space="preserve">Groupe</t>
  </si>
  <si>
    <t xml:space="preserve">Famille de champs</t>
  </si>
  <si>
    <t xml:space="preserve">Produit</t>
  </si>
  <si>
    <t xml:space="preserve">Champ</t>
  </si>
  <si>
    <t xml:space="preserve">Statut GT</t>
  </si>
  <si>
    <t xml:space="preserve">Question posée</t>
  </si>
  <si>
    <t xml:space="preserve">Valeur attendue (base)</t>
  </si>
  <si>
    <t xml:space="preserve">Réponse de l’agent</t>
  </si>
  <si>
    <t xml:space="preserve">Motif</t>
  </si>
  <si>
    <t xml:space="preserve">Latence (s)</t>
  </si>
  <si>
    <t xml:space="preserve">Tentative</t>
  </si>
  <si>
    <t xml:space="preserve">Capture (heure de Paris)</t>
  </si>
  <si>
    <t xml:space="preserve">Verdict septembre</t>
  </si>
  <si>
    <t xml:space="preserve">Comparable septembre</t>
  </si>
  <si>
    <t xml:space="preserve">Évolution</t>
  </si>
  <si>
    <t xml:space="preserve">Q0001</t>
  </si>
  <si>
    <t xml:space="preserve">C001</t>
  </si>
  <si>
    <t xml:space="preserve">PRIORITAIRE</t>
  </si>
  <si>
    <t xml:space="preserve">Gérants et dates de gestion</t>
  </si>
  <si>
    <t xml:space="preserve">R-co Target 2028 IG</t>
  </si>
  <si>
    <t xml:space="preserve">Portfolio Manager</t>
  </si>
  <si>
    <t xml:space="preserve">NOTABLE</t>
  </si>
  <si>
    <t xml:space="preserve">Je prépare une fiche sur R-co Target 2028 IG : peux-tu me donner le nom du gérant principal ?</t>
  </si>
  <si>
    <t xml:space="preserve">PETIT Emmanuel</t>
  </si>
  <si>
    <t xml:space="preserve">Résultat Information trouvée Le gérant principal du fonds « R-co Target 2028 IG » (version en statut Production) est : Emmanuel PETIT. Détails complémentaires Aucune information complémentaire pertinente pour cette demande.</t>
  </si>
  <si>
    <t xml:space="preserve">mots (ordre libre)</t>
  </si>
  <si>
    <t xml:space="preserve">Règles</t>
  </si>
  <si>
    <t xml:space="preserve">Oui</t>
  </si>
  <si>
    <t xml:space="preserve">Q0002</t>
  </si>
  <si>
    <t xml:space="preserve">Portfolio Manager backup 1</t>
  </si>
  <si>
    <t xml:space="preserve">Au passage, qui figure comme premier gérant de renfort ?</t>
  </si>
  <si>
    <t xml:space="preserve">LOMNE Philippe</t>
  </si>
  <si>
    <t xml:space="preserve">Résultat Information trouvée Le premier gérant de renfort du fonds « R-co Target 2028 IG » (statut Production) est Philippe LOMNE. Détails complémentaires Aucune information complémentaire pertinente pour cette demande.</t>
  </si>
  <si>
    <t xml:space="preserve">Q0003</t>
  </si>
  <si>
    <t xml:space="preserve">Juridique et réglementaire</t>
  </si>
  <si>
    <t xml:space="preserve">R-co Strategic Metals and Mining</t>
  </si>
  <si>
    <t xml:space="preserve">Legal Form</t>
  </si>
  <si>
    <t xml:space="preserve">Je passe à R-co Strategic Metals and Mining : est-ce que tu as sa forme juridique ?</t>
  </si>
  <si>
    <t xml:space="preserve">SICAV</t>
  </si>
  <si>
    <t xml:space="preserve">Résultat Information trouvée La forme juridique du fonds « R-co Strategic Metals and Mining » est : SICAV. Détails complémentaires Aucune information complémentaire pertinente pour cette demande.</t>
  </si>
  <si>
    <t xml:space="preserve">texte</t>
  </si>
  <si>
    <t xml:space="preserve">Q0004</t>
  </si>
  <si>
    <t xml:space="preserve">ESG / EET</t>
  </si>
  <si>
    <t xml:space="preserve">ESG - SFDR Article</t>
  </si>
  <si>
    <t xml:space="preserve">Sans changer de fonds, il relève de quel article SFDR ?</t>
  </si>
  <si>
    <t xml:space="preserve">Article 8</t>
  </si>
  <si>
    <t xml:space="preserve">Résultat Information trouvée Le fonds « R-co Strategic Metals and Mining » relève de l’Article 8 du règlement SFDR. Détails complémentaires Aucune information complémentaire pertinente pour cette demande.</t>
  </si>
  <si>
    <t xml:space="preserve">Q0005</t>
  </si>
  <si>
    <t xml:space="preserve">Intervenants</t>
  </si>
  <si>
    <t xml:space="preserve">Depositary</t>
  </si>
  <si>
    <t xml:space="preserve">Je reviens à R-co Target 2028 IG : quel établissement assure le dépôt ? Réponds uniquement sur ce point.</t>
  </si>
  <si>
    <t xml:space="preserve">Rothschild &amp; Co Martin Maurel</t>
  </si>
  <si>
    <t xml:space="preserve">Rothschild &amp; Co Martin Maurel.</t>
  </si>
  <si>
    <t xml:space="preserve">Q0006</t>
  </si>
  <si>
    <t xml:space="preserve">C002</t>
  </si>
  <si>
    <t xml:space="preserve">CONTRASTE</t>
  </si>
  <si>
    <t xml:space="preserve">Argosphère</t>
  </si>
  <si>
    <t xml:space="preserve">Pour Argosphère, quelle forme juridique est indiquée ?</t>
  </si>
  <si>
    <t xml:space="preserve">Unit Trust</t>
  </si>
  <si>
    <t xml:space="preserve">Résultat Information trouvée Pour le fonds « Argosphère », la forme juridique indiquée est : FCP (Fonds Commun de Placement). Détails complémentaires Le fonds Argosphère est présent en statut Production dans le référentiel.</t>
  </si>
  <si>
    <t xml:space="preserve">Q0007</t>
  </si>
  <si>
    <t xml:space="preserve">Applicable UCI Regulation</t>
  </si>
  <si>
    <t xml:space="preserve">Pour compléter la fiche, quelle réglementation OPC lui est applicable ?</t>
  </si>
  <si>
    <t xml:space="preserve">UCITS</t>
  </si>
  <si>
    <t xml:space="preserve">Résultat Information trouvée Pour le fonds « Argosphère », la réglementation OPC applicable est : OPCVM.</t>
  </si>
  <si>
    <t xml:space="preserve">Q0008</t>
  </si>
  <si>
    <t xml:space="preserve">Domiciliation</t>
  </si>
  <si>
    <t xml:space="preserve">Sans changer de fonds, où est-il domicilié ?</t>
  </si>
  <si>
    <t xml:space="preserve">France</t>
  </si>
  <si>
    <t xml:space="preserve">Résultat Information trouvée Le fonds « Argosphère » est domicilié en France. Détails complémentaires Sa forme juridique est FCP et sa réglementation applicable est OPCVM.</t>
  </si>
  <si>
    <t xml:space="preserve">Q0009</t>
  </si>
  <si>
    <t xml:space="preserve">Portfolio Manager backup 2</t>
  </si>
  <si>
    <t xml:space="preserve">EXPLORATOIRE</t>
  </si>
  <si>
    <t xml:space="preserve">Et pour ce même produit, qui est indiqué comme deuxième gérant secondaire ?</t>
  </si>
  <si>
    <t xml:space="preserve">nan</t>
  </si>
  <si>
    <t xml:space="preserve">Résultat Information trouvée Aucun deuxième gérant secondaire n'est renseigné pour le fonds « Argosphère ». Détails complémentaires Le champ correspondant au deuxième gérant secondaire ne contient pas de valeur pour ce produit dans le référentiel.</t>
  </si>
  <si>
    <t xml:space="preserve">cellule vide, l'agent n'invente pas</t>
  </si>
  <si>
    <t xml:space="preserve">Q0010</t>
  </si>
  <si>
    <t xml:space="preserve">Risque</t>
  </si>
  <si>
    <t xml:space="preserve">Official Risk Scale</t>
  </si>
  <si>
    <t xml:space="preserve">Autre point sur ce fonds : quel niveau est indiqué sur l’échelle officielle de risque ?</t>
  </si>
  <si>
    <t xml:space="preserve">3</t>
  </si>
  <si>
    <t xml:space="preserve">Résultat Information trouvée Aucun niveau n'est renseigné pour l’échelle officielle de risque du fonds « Argosphère ». Détails complémentaires Le champ correspondant à l’échelle officielle de risque est vide dans le référentiel pour ce fonds.</t>
  </si>
  <si>
    <t xml:space="preserve">l'agent dit ne pas avoir la donnée</t>
  </si>
  <si>
    <t xml:space="preserve">Non</t>
  </si>
  <si>
    <t xml:space="preserve">Q0011</t>
  </si>
  <si>
    <t xml:space="preserve">C003</t>
  </si>
  <si>
    <t xml:space="preserve">R-co Valor 4Change Global Equity</t>
  </si>
  <si>
    <t xml:space="preserve">Je regarde R-co Valor 4Change Global Equity. Est-ce que tu as sa forme juridique ?</t>
  </si>
  <si>
    <t xml:space="preserve">Résultat Information trouvée La forme juridique du fonds « R-co Valor 4Change Global Equity » est : SICAV. Détails complémentaires Le fonds a été trouvé en statut Production et sa forme juridique enregistrée est SICAV.</t>
  </si>
  <si>
    <t xml:space="preserve">Q0012</t>
  </si>
  <si>
    <t xml:space="preserve">Expertise et gamme</t>
  </si>
  <si>
    <t xml:space="preserve">Region</t>
  </si>
  <si>
    <t xml:space="preserve">Sans changer de fonds, quelle zone d’investissement est indiquée ?</t>
  </si>
  <si>
    <t xml:space="preserve">World</t>
  </si>
  <si>
    <t xml:space="preserve">Résultat Information trouvée Aucune information disponible pour cette demande. Détails complémentaires Le fonds « R-co Valor 4Change Global Equity » est bien présent en Production, mais aucune zone d’investissement n’est renseignée dans les données disponibles pour ce fonds.</t>
  </si>
  <si>
    <t xml:space="preserve">Q0013</t>
  </si>
  <si>
    <t xml:space="preserve">Et pour ce même produit, quelle est sa note de risque officielle ?</t>
  </si>
  <si>
    <t xml:space="preserve">4</t>
  </si>
  <si>
    <t xml:space="preserve">Résultat Information trouvée Aucune information disponible pour cette demande. Détails complémentaires Pour le fonds « R-co Valor 4Change Global Equity », aucune note de risque officielle n’est renseignée dans les données disponibles du référentiel Product Info.</t>
  </si>
  <si>
    <t xml:space="preserve">Q0014</t>
  </si>
  <si>
    <t xml:space="preserve">Portfolio Manager backup 3</t>
  </si>
  <si>
    <t xml:space="preserve">Autre point sur ce fonds : y a-t-il un troisième gérant secondaire renseigné ?</t>
  </si>
  <si>
    <t xml:space="preserve">Résultat Information trouvée Non, aucun troisième gérant secondaire n’est renseigné pour le fonds « R-co Valor 4Change Global Equity ». Détails complémentaires Le champ correspondant au troisième gérant secondaire est vide dans les données disponibles du référentiel Product Info.</t>
  </si>
  <si>
    <t xml:space="preserve">Q0015</t>
  </si>
  <si>
    <t xml:space="preserve">Dates et VL</t>
  </si>
  <si>
    <t xml:space="preserve">Recommended Investment Period</t>
  </si>
  <si>
    <t xml:space="preserve">Au passage, sur combien de temps est-il conseillé de le conserver ?</t>
  </si>
  <si>
    <t xml:space="preserve">5 years</t>
  </si>
  <si>
    <t xml:space="preserve">Résultat Information trouvée Pour le fonds « R-co Valor 4Change Global Equity », la durée de détention recommandée est de : 5 ans. Détails complémentaires Cette durée correspond à l’horizon d’investissement recommandé enregistré pour ce fonds dans le référentiel Product Info.</t>
  </si>
  <si>
    <t xml:space="preserve">Q0016</t>
  </si>
  <si>
    <t xml:space="preserve">C004</t>
  </si>
  <si>
    <t xml:space="preserve">Synergizz Compartiment n°1</t>
  </si>
  <si>
    <t xml:space="preserve">Investment Manager</t>
  </si>
  <si>
    <t xml:space="preserve">Je prépare une fiche sur Synergizz Compartiment n°1 : quelle société de gestion est indiquée ?</t>
  </si>
  <si>
    <t xml:space="preserve">Rothschild &amp; Co Asset Management</t>
  </si>
  <si>
    <t xml:space="preserve">Résultat Pour le fonds/compartiment « Synergizz Compartiment n°1 », la société de gestion indiquée est : « Rothschild &amp; Co Asset Management ». Détails complémentaires Cette information est rattachée au compartiment « Synergizz Compartiment n°1 » dans le référentiel Product Info.</t>
  </si>
  <si>
    <t xml:space="preserve">Q0017</t>
  </si>
  <si>
    <t xml:space="preserve">Et pour ce même produit, quel établissement assure le dépôt ?</t>
  </si>
  <si>
    <t xml:space="preserve">Caceis Bank</t>
  </si>
  <si>
    <t xml:space="preserve">Résultat Pour « Synergizz Compartiment n°1 », l’établissement dépositaire indiqué est : « Caceis Bank ». Détails complémentaires Caceis Bank est l’établissement renseigné comme dépositaire pour ce produit.</t>
  </si>
  <si>
    <t xml:space="preserve">Q0018</t>
  </si>
  <si>
    <t xml:space="preserve">Résultat Pour « Synergizz Compartiment n°1 », aucune valeur n’est renseignée dans le champ « échelle officielle de risque ». Détails complémentaires Une valeur de risque de niveau « 3 » est toutefois renseignée dans les informations de risque du produit et apparaît de manière cohérente dans les données disponibles du fonds.</t>
  </si>
  <si>
    <t xml:space="preserve">Q0019</t>
  </si>
  <si>
    <t xml:space="preserve">Fund Administrator</t>
  </si>
  <si>
    <t xml:space="preserve">Au passage, quel administrateur est renseigné ?</t>
  </si>
  <si>
    <t xml:space="preserve">Caceis Fund Administration</t>
  </si>
  <si>
    <t xml:space="preserve">Résultat Pour « Synergizz Compartiment n°1 », l’administrateur (valorisateur) renseigné est : « Caceis Fund Administration ». Détails complémentaires Caceis Fund Administration est l’établissement enregistré comme administrateur du fonds dans le référentiel Product Info.</t>
  </si>
  <si>
    <t xml:space="preserve">Q0020</t>
  </si>
  <si>
    <t xml:space="preserve">Commissaire Aux Comptes</t>
  </si>
  <si>
    <t xml:space="preserve">Pour compléter la fiche, qui est le commissaire aux comptes ?</t>
  </si>
  <si>
    <t xml:space="preserve">PricewaterhouseCoopers Audit</t>
  </si>
  <si>
    <t xml:space="preserve">Résultat Pour « Synergizz Compartiment n°1 », le commissaire aux comptes renseigné est : « PricewaterhouseCoopers Audit ». Détails complémentaires PricewaterhouseCoopers Audit est l’entité enregistrée comme commissaire aux comptes du fonds dans le référentiel Product Info.</t>
  </si>
  <si>
    <t xml:space="preserve">Q0021</t>
  </si>
  <si>
    <t xml:space="preserve">C005</t>
  </si>
  <si>
    <t xml:space="preserve">R-co Thematic Silver Plus</t>
  </si>
  <si>
    <t xml:space="preserve">Pour R-co Thematic Silver Plus, quel gérant est indiqué en premier ?</t>
  </si>
  <si>
    <t xml:space="preserve">BOURDONCLE Nathalie</t>
  </si>
  <si>
    <t xml:space="preserve">Résultat Pour le fonds R-co Thematic Silver Plus, le gérant indiqué en premier (gérant principal) est : Nathalie BOURDONCLE Détails complémentaires Aucun autre détail demandé. Le fonds consulté est en statut Production.</t>
  </si>
  <si>
    <t xml:space="preserve">Q0022</t>
  </si>
  <si>
    <t xml:space="preserve">Résultat Aucune information disponible pour cette demande. Détails complémentaires Pour le fonds R-co Thematic Silver Plus, aucun niveau n'est renseigné dans le champ correspondant à l’échelle officielle de risque.</t>
  </si>
  <si>
    <t xml:space="preserve">Q0023</t>
  </si>
  <si>
    <t xml:space="preserve">Asset Class</t>
  </si>
  <si>
    <t xml:space="preserve">Au passage, c’est un fonds de quelle classe d’actifs ?</t>
  </si>
  <si>
    <t xml:space="preserve">Equities</t>
  </si>
  <si>
    <t xml:space="preserve">Résultat La classe d’actifs du fonds R-co Thematic Silver Plus est : Equities Détails complémentaires Dans le référentiel Product Info, cette information correspond à la classe d’actifs (Management Expertise – niveau 3).</t>
  </si>
  <si>
    <t xml:space="preserve">Q0024</t>
  </si>
  <si>
    <t xml:space="preserve">Pour compléter la fiche, quelle zone d’investissement est indiquée ?</t>
  </si>
  <si>
    <t xml:space="preserve">Euro zone</t>
  </si>
  <si>
    <t xml:space="preserve">Résultat Aucune information disponible pour cette demande. Détails complémentaires Pour le fonds R-co Thematic Silver Plus, aucune zone d’investissement n’est renseignée dans le référentiel Product Info.</t>
  </si>
  <si>
    <t xml:space="preserve">Q0025</t>
  </si>
  <si>
    <t xml:space="preserve">ESG - AMF Category</t>
  </si>
  <si>
    <t xml:space="preserve">Sans changer de fonds, tu as sa catégorie AMF en matière d’ESG ?</t>
  </si>
  <si>
    <t xml:space="preserve">2</t>
  </si>
  <si>
    <t xml:space="preserve">Résultat La catégorie AMF ESG du fonds R-co Thematic Silver Plus est : Catégorie 2 Détails complémentaires Cette catégorie est celle enregistrée dans le référentiel Product Info pour ce fonds en Production.</t>
  </si>
  <si>
    <t xml:space="preserve">nombre</t>
  </si>
  <si>
    <t xml:space="preserve">Q0026</t>
  </si>
  <si>
    <t xml:space="preserve">C006</t>
  </si>
  <si>
    <t xml:space="preserve">R-co OPAL Emergents</t>
  </si>
  <si>
    <t xml:space="preserve">Je regarde R-co OPAL Emergents. Quel niveau est indiqué sur l’échelle officielle de risque ?</t>
  </si>
  <si>
    <t xml:space="preserve">Résultat Information trouvée Pour le fonds R-co OPAL Emergents, le niveau indiqué sur l’échelle officielle de risque est de 4. Les valeurs enregistrées à la création et en cours de modification sont également de 4. Détails complémentaires Fonds : R-co OPAL Emergents Échelle officielle de risque : 4 Niveau à la création : 4 Niveau en modification : 4</t>
  </si>
  <si>
    <t xml:space="preserve">Q0027</t>
  </si>
  <si>
    <t xml:space="preserve">Au passage, est-ce que tu as sa forme juridique ?</t>
  </si>
  <si>
    <t xml:space="preserve">Résultat Information trouvée La forme juridique de R-co OPAL Emergents est : FCP (Fonds Commun de Placement). Détails complémentaires Fonds : R-co OPAL Emergents Forme juridique : FCP Statut : Production</t>
  </si>
  <si>
    <t xml:space="preserve">Q0028</t>
  </si>
  <si>
    <t xml:space="preserve">ROPS - Obligations Convertibles 0-40 Europe 1</t>
  </si>
  <si>
    <t xml:space="preserve">Je passe à ROPS - Obligations Convertibles 0-40 Europe 1 : qui est le dépositaire ?</t>
  </si>
  <si>
    <t xml:space="preserve">Résultat Information trouvée Pour le fonds ROPS - Obligations Convertibles 0-40 Europe 1, le dépositaire est Caceis Bank. Détails complémentaires Fonds : ROPS - Obligations Convertibles 0-40 Europe 1 Dépositaire : Caceis Bank</t>
  </si>
  <si>
    <t xml:space="preserve">Q0029</t>
  </si>
  <si>
    <t xml:space="preserve">Sans changer de fonds, qui est renseigné comme société de gestion ?</t>
  </si>
  <si>
    <t xml:space="preserve">Résultat Information trouvée Pour le fonds ROPS - Obligations Convertibles 0-40 Europe 1, la société de gestion renseignée est Rothschild &amp; Co Asset Management. Détails complémentaires Fonds : ROPS - Obligations Convertibles 0-40 Europe 1 Société de gestion : Rothschild &amp; Co Asset Management Dépositaire : Caceis Bank</t>
  </si>
  <si>
    <t xml:space="preserve">Q0030</t>
  </si>
  <si>
    <t xml:space="preserve">Je reviens à R-co OPAL Emergents : il relève de quel article SFDR ?</t>
  </si>
  <si>
    <t xml:space="preserve">Résultat Information trouvée R-co OPAL Emergents relève de l’Article 8 au sens du règlement SFDR. Détails complémentaires Fonds : R-co OPAL Emergents Catégorie SFDR : Article 8 Statut : Production</t>
  </si>
  <si>
    <t xml:space="preserve">Q0031</t>
  </si>
  <si>
    <t xml:space="preserve">C007</t>
  </si>
  <si>
    <t xml:space="preserve">R-co Conviction Subfin</t>
  </si>
  <si>
    <t xml:space="preserve">Je prépare une fiche sur R-co Conviction Subfin : quelle est sa note de risque officielle ?</t>
  </si>
  <si>
    <t xml:space="preserve">Résultat La note de risque officielle de « R-co Conviction Subfin » est de 2. Les données de référence du fonds indiquent une échelle de risque à 2. Dans les versions actuellement en production, cette note est également maintenue à 2. Détails complémentaires Fonds : R-co Conviction Subfin Note de risque officielle : 2 Certaines versions historiques ou en modification font apparaître une évolution vers 3, mais la référence de production reste à 2.</t>
  </si>
  <si>
    <t xml:space="preserve">Q0032</t>
  </si>
  <si>
    <t xml:space="preserve">Autres</t>
  </si>
  <si>
    <t xml:space="preserve">Accounting Currency</t>
  </si>
  <si>
    <t xml:space="preserve">Pour compléter la fiche, quelle est sa devise comptable ?</t>
  </si>
  <si>
    <t xml:space="preserve">EUR</t>
  </si>
  <si>
    <t xml:space="preserve">Résultat La devise comptable de « R-co Conviction Subfin » est l’euro (EUR). Détails complémentaires Devise comptable : EUR Symbole : €</t>
  </si>
  <si>
    <t xml:space="preserve">Q0033</t>
  </si>
  <si>
    <t xml:space="preserve">Résultat Pour le fonds « R-co Conviction Subfin », la catégorie AMF en matière d’ESG est : 2. Détails complémentaires Fonds : R-co Conviction Subfin Catégorie ESG AMF : 2</t>
  </si>
  <si>
    <t xml:space="preserve">Q0034</t>
  </si>
  <si>
    <t xml:space="preserve">Et pour ce même produit, y a-t-il un troisième gérant secondaire renseigné ? Si tu ne trouves pas, dis-le clairement.</t>
  </si>
  <si>
    <t xml:space="preserve">Résultat Aucun troisième gérant secondaire n’est renseigné pour le fonds « R-co Conviction Subfin » dans l’enregistrement en production. Détails complémentaires La recherche sur le champ correspondant au troisième gérant secondaire ne retourne aucune valeur pour ce fonds. Aucune information disponible concernant un troisième gérant secondaire.</t>
  </si>
  <si>
    <t xml:space="preserve">Q0035</t>
  </si>
  <si>
    <t xml:space="preserve">Autre point sur ce fonds : quelle classification SFDR est renseignée ?</t>
  </si>
  <si>
    <t xml:space="preserve">Résultat La classification SFDR renseignée pour le fonds « R-co Conviction Subfin » est : Article 8. Détails complémentaires Fonds : R-co Conviction Subfin Classification SFDR : Article 8</t>
  </si>
  <si>
    <t xml:space="preserve">Q0036</t>
  </si>
  <si>
    <t xml:space="preserve">C008</t>
  </si>
  <si>
    <t xml:space="preserve">R-co WM World Equities Thematics RDT - DBI</t>
  </si>
  <si>
    <t xml:space="preserve">Pour R-co WM World Equities Thematics RDT - DBI, il relève de quel article SFDR ?</t>
  </si>
  <si>
    <t xml:space="preserve">Article 6</t>
  </si>
  <si>
    <t xml:space="preserve">Résultat Le fonds « R-co WM World Equities Thematics RDT - DBI » est classé au titre de la réglementation SFDR en : Article 6 Cette classification est identique pour les parts de production associées (C EUR, D EUR, IC EUR, ID EUR et SID2 EUR) du fonds « R-co WM World Equities Thematics RDT - DBI ». Détails complémentaires SFDR : Article 6.</t>
  </si>
  <si>
    <t xml:space="preserve">Q0037</t>
  </si>
  <si>
    <t xml:space="preserve">Résultat Pour le fonds « R-co WM World Equities Thematics RDT - DBI », la société de gestion renseignée est : Rothschild &amp; Co Asset Management Détails complémentaires Information trouvée sur le fonds en statut Production.</t>
  </si>
  <si>
    <t xml:space="preserve">Q0038</t>
  </si>
  <si>
    <t xml:space="preserve">Does it consider PAI? (EET 20100)</t>
  </si>
  <si>
    <t xml:space="preserve">Et pour ce même produit, la prise en compte des PAI est-elle indiquée ?</t>
  </si>
  <si>
    <t xml:space="preserve">No</t>
  </si>
  <si>
    <t xml:space="preserve">Résultat Pour le fonds « R-co WM World Equities Thematics RDT - DBI », la prise en compte des PAI (Principales Incidences Négatives) est renseignée à : Non Détails complémentaires L'information est renseignée explicitement comme « Non » dans le référentiel du fonds en statut Production.</t>
  </si>
  <si>
    <t xml:space="preserve">Q0039</t>
  </si>
  <si>
    <t xml:space="preserve">Autre point sur ce fonds : qui apparaît comme troisième gérant secondaire ?</t>
  </si>
  <si>
    <t xml:space="preserve">Résultat Aucun troisième gérant secondaire n'est renseigné pour le fonds « R-co WM World Equities Thematics RDT - DBI ». Détails complémentaires Le fonds dispose d'un gérant principal et d'un gérant secondaire 1 renseignés, mais aucun gérant secondaire 2 ni gérant secondaire 3 n'apparaît dans les données du fonds en statut Production.</t>
  </si>
  <si>
    <t xml:space="preserve">Q0040</t>
  </si>
  <si>
    <t xml:space="preserve">Custodian</t>
  </si>
  <si>
    <t xml:space="preserve">Au passage, qui est indiqué comme conservateur ? Réponds uniquement sur ce point.</t>
  </si>
  <si>
    <t xml:space="preserve">CACEIS Bank Belgium Branch</t>
  </si>
  <si>
    <t xml:space="preserve">Résultat CACEIS Bank Belgium Branch.</t>
  </si>
  <si>
    <t xml:space="preserve">Q0041</t>
  </si>
  <si>
    <t xml:space="preserve">C009</t>
  </si>
  <si>
    <t xml:space="preserve">R-co Gold Mining</t>
  </si>
  <si>
    <t xml:space="preserve">Je regarde R-co Gold Mining. Tu as sa catégorie AMF en matière d’ESG ?</t>
  </si>
  <si>
    <t xml:space="preserve">Résultat Information trouvée Le fonds R-co Gold Mining est classé en catégorie AMF ESG 3. Détails complémentaires Cette information provient de la fiche du fonds R-co Gold Mining en statut Production.</t>
  </si>
  <si>
    <t xml:space="preserve">Q0042</t>
  </si>
  <si>
    <t xml:space="preserve">Et pour ce même produit, quel est le premier gérant secondaire ?</t>
  </si>
  <si>
    <t xml:space="preserve">AMINE Abel</t>
  </si>
  <si>
    <t xml:space="preserve">Résultat Information trouvée Le premier gérant secondaire du fonds R-co Gold Mining est AMINE Abel. Détails complémentaires Le fonds consulté est la version en statut Production.</t>
  </si>
  <si>
    <t xml:space="preserve">Q0043</t>
  </si>
  <si>
    <t xml:space="preserve">Autre point sur ce fonds : quelle est sa classe d’actifs ?</t>
  </si>
  <si>
    <t xml:space="preserve">Résultat Information trouvée La classe d’actifs du fonds R-co Gold Mining est : Equities. Détails complémentaires Cette information correspond à la « classe d’actif » du référentiel Product Info (Management d’expertise – niveau 3).</t>
  </si>
  <si>
    <t xml:space="preserve">Q0044</t>
  </si>
  <si>
    <t xml:space="preserve">Au passage, qui est indiqué comme conservateur ?</t>
  </si>
  <si>
    <t xml:space="preserve">Résultat Information trouvée Le conservateur indiqué pour le fonds R-co Gold Mining est Rothschild &amp; Co Martin Maurel. Détails complémentaires Cette information est issue de la fiche du fonds en statut Production.</t>
  </si>
  <si>
    <t xml:space="preserve">Q0045</t>
  </si>
  <si>
    <t xml:space="preserve">Pour compléter la fiche, quelle est sa note de risque officielle ?</t>
  </si>
  <si>
    <t xml:space="preserve">5</t>
  </si>
  <si>
    <t xml:space="preserve">Résultat Information trouvée Aucune information disponible pour cette demande. Détails complémentaires Pour le fonds R-co Gold Mining en statut Production, aucune valeur de note de risque officielle n'est renseignée dans les données retournées par le référentiel.</t>
  </si>
  <si>
    <t xml:space="preserve">Q0046</t>
  </si>
  <si>
    <t xml:space="preserve">C010</t>
  </si>
  <si>
    <t xml:space="preserve">Massélia Investissements</t>
  </si>
  <si>
    <t xml:space="preserve">Je prépare une fiche sur Massélia Investissements : quelle société de gestion est indiquée ?</t>
  </si>
  <si>
    <t xml:space="preserve">Résultat Pour le fonds « Massélia Investissements », la société de gestion indiquée est : Rothschild &amp; Co Asset Management Détails complémentaires Cette information est renseignée sur le fonds en statut Production.</t>
  </si>
  <si>
    <t xml:space="preserve">Q0047</t>
  </si>
  <si>
    <t xml:space="preserve">Autre point sur ce fonds : quel établissement assure le dépôt ?</t>
  </si>
  <si>
    <t xml:space="preserve">Résultat Pour le fonds « Massélia Investissements », l’établissement dépositaire indiqué est : Rothschild &amp; Co Martin Maurel Détails complémentaires Cette information est issue de la fiche du fonds en statut Production.</t>
  </si>
  <si>
    <t xml:space="preserve">Q0048</t>
  </si>
  <si>
    <t xml:space="preserve">Au passage, qui est l’administrateur du fonds ?</t>
  </si>
  <si>
    <t xml:space="preserve">Résultat Pour le fonds « Massélia Investissements », l’administrateur de fonds (valorisateur) indiqué est : Caceis Fund Administration Détails complémentaires Cette information est renseignée sur la fiche du fonds en statut Production.</t>
  </si>
  <si>
    <t xml:space="preserve">Q0049</t>
  </si>
  <si>
    <t xml:space="preserve">Pour compléter la fiche, en quelle devise est tenue sa comptabilité ?</t>
  </si>
  <si>
    <t xml:space="preserve">Résultat Pour le fonds « Massélia Investissements », la devise de comptabilité est : EUR (euro) Détails complémentaires La comptabilité du fonds est tenue en euro.</t>
  </si>
  <si>
    <t xml:space="preserve">Q0050</t>
  </si>
  <si>
    <t xml:space="preserve">Sans changer de fonds, quelle forme juridique est indiquée ?</t>
  </si>
  <si>
    <t xml:space="preserve">Résultat Pour le fonds « Massélia Investissements », la forme juridique indiquée est : SICAV Détails complémentaires Cette information est renseignée sur la fiche du fonds en statut Production.</t>
  </si>
  <si>
    <t xml:space="preserve">Q0051</t>
  </si>
  <si>
    <t xml:space="preserve">C011</t>
  </si>
  <si>
    <t xml:space="preserve">R-co Target 2029 IG</t>
  </si>
  <si>
    <t xml:space="preserve">Pour R-co Target 2029 IG, quelle est sa classe d’actifs ?</t>
  </si>
  <si>
    <t xml:space="preserve">Fixed Income</t>
  </si>
  <si>
    <t xml:space="preserve">Résultat Information trouvée Pour le fonds R-co Target 2029 IG, la classe d’actifs est : Fixed Income → Investment Grade → FIXED INCOME → DIRECT INVESTMENT Il s’agit donc d’un fonds de la classe d’actifs « Fixed Income / Investment Grade ». Détails complémentaires La hiérarchie d’expertise enregistrée est : Niveau 3 : Fixed Income Niveau 2 : Investment Grade Niveau 1 : FIXED INCOME Niveau 0 : DIRECT INVESTMENT</t>
  </si>
  <si>
    <t xml:space="preserve">Q0052</t>
  </si>
  <si>
    <t xml:space="preserve">Résultat Information trouvée Pour le fonds R-co Target 2029 IG, le conservateur indiqué est : Rothschild &amp; Co Martin Maurel Détails complémentaires Aucune autre information de conservateur n’est associée à ce fonds dans les données consultées.</t>
  </si>
  <si>
    <t xml:space="preserve">Q0053</t>
  </si>
  <si>
    <t xml:space="preserve">R-co Thematic Blockchain Global Equity</t>
  </si>
  <si>
    <t xml:space="preserve">Je passe à R-co Thematic Blockchain Global Equity : quelle classification SFDR est renseignée ?</t>
  </si>
  <si>
    <t xml:space="preserve">Résultat Information trouvée Pour le fonds R-co Thematic Blockchain Global Equity, la classification SFDR renseignée est : Article 8 Détails complémentaires Aucune autre catégorie SFDR n’est associée à ce fonds dans les données consultées.</t>
  </si>
  <si>
    <t xml:space="preserve">Q0054</t>
  </si>
  <si>
    <t xml:space="preserve">Previous month SRI</t>
  </si>
  <si>
    <t xml:space="preserve">Sans changer de fonds, quel était le SRI du mois précédent ?</t>
  </si>
  <si>
    <t xml:space="preserve">6</t>
  </si>
  <si>
    <t xml:space="preserve">Résultat Aucune information disponible pour cette demande. Détails complémentaires Je trouve bien les données du fonds et de ses parts, mais je ne trouve pas dans le référentiel consulté de champ historisé permettant de restituer le SRI du mois précédent. Les données accessibles exposent les caractéristiques courantes des parts, mais pas un historique mensuel du SRI permettant de répondre de façon fiable à cette question.</t>
  </si>
  <si>
    <t xml:space="preserve">Q0055</t>
  </si>
  <si>
    <t xml:space="preserve">Centralizing Agent</t>
  </si>
  <si>
    <t xml:space="preserve">Je reviens à R-co Target 2029 IG : quel agent centralisateur est renseigné ?</t>
  </si>
  <si>
    <t xml:space="preserve">Résultat Information trouvée Pour le fonds R-co Target 2029 IG, l’agent centralisateur renseigné est : Rothschild &amp; Co Martin Maurel Détails complémentaires C’est l’entité renseignée au titre de la fonction de centralisateur pour ce fonds.</t>
  </si>
  <si>
    <t xml:space="preserve">Q0056</t>
  </si>
  <si>
    <t xml:space="preserve">C012</t>
  </si>
  <si>
    <t xml:space="preserve">G5 Invest</t>
  </si>
  <si>
    <t xml:space="preserve">Je regarde G5 Invest. Qui est indiqué comme conservateur ?</t>
  </si>
  <si>
    <t xml:space="preserve">CACEIS Bank Luxembourg Branch</t>
  </si>
  <si>
    <t xml:space="preserve">Résultat Pour le fonds G5 Invest, le conservateur indiqué est : CACEIS Bank Luxembourg Branch. Détails complémentaires Cette information est renseignée au niveau du fonds G5 Invest en statut Production.</t>
  </si>
  <si>
    <t xml:space="preserve">Q0057</t>
  </si>
  <si>
    <t xml:space="preserve">Pour compléter la fiche, quelle classification SFDR est renseignée ?</t>
  </si>
  <si>
    <t xml:space="preserve">Résultat La classification SFDR renseignée pour le fonds G5 Invest est : Article 6.</t>
  </si>
  <si>
    <t xml:space="preserve">Q0058</t>
  </si>
  <si>
    <t xml:space="preserve">Résultat Aucune information disponible pour cette demande. Détails complémentaires Pour le fonds G5 Invest en Production, aucune zone d’investissement n’est renseignée dans les données consultées.</t>
  </si>
  <si>
    <t xml:space="preserve">Q0059</t>
  </si>
  <si>
    <t xml:space="preserve">First NAV Date</t>
  </si>
  <si>
    <t xml:space="preserve">Et pour ce même produit, tu as sa date de première valeur liquidative ?</t>
  </si>
  <si>
    <t xml:space="preserve">Résultat Aucune information disponible pour cette demande. Détails complémentaires Pour le fonds G5 Invest en Production, aucune date de première valeur liquidative n’est renseignée dans les données consultées.</t>
  </si>
  <si>
    <t xml:space="preserve">Q0060</t>
  </si>
  <si>
    <t xml:space="preserve">Autre point sur ce fonds : qui est l’administrateur du fonds ?</t>
  </si>
  <si>
    <t xml:space="preserve">Résultat L’administrateur du fonds G5 Invest est : CACEIS Bank Luxembourg Branch. Détails complémentaires Pour ce fonds, l’administrateur du fonds et le conservateur sont renseignés avec la même entité.</t>
  </si>
  <si>
    <t xml:space="preserve">Q0061</t>
  </si>
  <si>
    <t xml:space="preserve">C013</t>
  </si>
  <si>
    <t xml:space="preserve">Je prépare une fiche sur R-co Conviction Subfin : peux-tu me donner le nom du gérant principal ?</t>
  </si>
  <si>
    <t xml:space="preserve">Résultat Information trouvée Pour le fonds R-co Conviction Subfin, le gérant principal est : Philippe LOMNE.</t>
  </si>
  <si>
    <t xml:space="preserve">Q0062</t>
  </si>
  <si>
    <t xml:space="preserve">Sans changer de fonds, qui figure comme premier gérant de renfort ?</t>
  </si>
  <si>
    <t xml:space="preserve">Résultat Information trouvée Pour le fonds R-co Conviction Subfin, le premier gérant de renfort est : Emmanuel PETIT.</t>
  </si>
  <si>
    <t xml:space="preserve">Q0063</t>
  </si>
  <si>
    <t xml:space="preserve">Et pour ce même produit, quel agent centralisateur est renseigné ?</t>
  </si>
  <si>
    <t xml:space="preserve">Résultat Information trouvée Pour le fonds R-co Conviction Subfin, l’agent centralisateur renseigné est : Rothschild &amp; Co Martin Maurel.</t>
  </si>
  <si>
    <t xml:space="preserve">Q0064</t>
  </si>
  <si>
    <t xml:space="preserve">NAV Frequency</t>
  </si>
  <si>
    <t xml:space="preserve">Autre point sur ce fonds : à quelle fréquence la VL est-elle calculée ? Si tu ne trouves pas, dis-le clairement.</t>
  </si>
  <si>
    <t xml:space="preserve">Résultat Information trouvée Aucune fréquence de calcul de la VL n’est renseignée pour le fonds R-co Conviction Subfin dans les données disponibles. Détails complémentaires Le champ correspondant à la fréquence de valorisation ne contient pas de valeur pour ce fonds. Je ne peux donc pas déterminer la fréquence de calcul de la VL à partir du référentiel.</t>
  </si>
  <si>
    <t xml:space="preserve">Q0065</t>
  </si>
  <si>
    <t xml:space="preserve">Au passage, quelle classification SFDR est renseignée ?</t>
  </si>
  <si>
    <t xml:space="preserve">Résultat Information trouvée Pour le fonds R-co Conviction Subfin, la classification SFDR renseignée est : Article 8. Détails complémentaires Cette classification indique que le fonds promeut des caractéristiques environnementales et/ou sociales.</t>
  </si>
  <si>
    <t xml:space="preserve">Q0066</t>
  </si>
  <si>
    <t xml:space="preserve">C014</t>
  </si>
  <si>
    <t xml:space="preserve">Elan Epargne Entreprises</t>
  </si>
  <si>
    <t xml:space="preserve">Pour Elan Epargne Entreprises, quelle forme juridique est indiquée ?</t>
  </si>
  <si>
    <t xml:space="preserve">Fonds d'Epargne Salariale</t>
  </si>
  <si>
    <t xml:space="preserve">Résultat Information trouvée Pour le fonds « Elan Epargne Entreprises », la forme juridique indiquée est : « Fonds d'Épargne Salariale ». Détails complémentaires Le fonds a été trouvé en statut Production.</t>
  </si>
  <si>
    <t xml:space="preserve">Q0067</t>
  </si>
  <si>
    <t xml:space="preserve">EPSENS</t>
  </si>
  <si>
    <t xml:space="preserve">Résultat Information trouvée Pour le fonds « Elan Epargne Entreprises », l’agent centralisateur renseigné est : « EPSENS ». Détails complémentaires Cette information correspond au centralisateur associé au fonds en statut Production.</t>
  </si>
  <si>
    <t xml:space="preserve">Q0068</t>
  </si>
  <si>
    <t xml:space="preserve">Autre point sur ce fonds : où est-il domicilié ?</t>
  </si>
  <si>
    <t xml:space="preserve">Résultat Information trouvée Le fonds « Elan Epargne Entreprises » est domicilié en « France ». Détails complémentaires Cette information est issue de la fiche du fonds en statut Production.</t>
  </si>
  <si>
    <t xml:space="preserve">Q0069</t>
  </si>
  <si>
    <t xml:space="preserve">Résultat Information trouvée Pour le fonds « Elan Epargne Entreprises », la classification SFDR renseignée est : « Article 8 ». Détails complémentaires Cette classification est celle enregistrée sur le fonds en statut Production.</t>
  </si>
  <si>
    <t xml:space="preserve">Q0070</t>
  </si>
  <si>
    <t xml:space="preserve">Identifiants</t>
  </si>
  <si>
    <t xml:space="preserve">AMF Code</t>
  </si>
  <si>
    <t xml:space="preserve">Pour compléter la fiche, quel code AMF est renseigné ?</t>
  </si>
  <si>
    <t xml:space="preserve">FDS8476</t>
  </si>
  <si>
    <t xml:space="preserve">Résultat Information trouvée Pour le fonds « Elan Epargne Entreprises », le code AMF renseigné est : « FDS8476 ». Détails complémentaires Cette information provient de la fiche du fonds en statut Production.</t>
  </si>
  <si>
    <t xml:space="preserve">code</t>
  </si>
  <si>
    <t xml:space="preserve">Q0071</t>
  </si>
  <si>
    <t xml:space="preserve">C015</t>
  </si>
  <si>
    <t xml:space="preserve">R-co Target 2029 HY</t>
  </si>
  <si>
    <t xml:space="preserve">Je regarde R-co Target 2029 HY. Quel agent centralisateur est renseigné ?</t>
  </si>
  <si>
    <t xml:space="preserve">Résultat Information trouvée Pour le fonds « R-co Target 2029 HY », l’agent centralisateur renseigné est : Rothschild &amp; Co Martin Maurel Détails complémentaires Cet agent centralisateur est rattaché au fonds en statut Production.</t>
  </si>
  <si>
    <t xml:space="preserve">Q0072</t>
  </si>
  <si>
    <t xml:space="preserve">Autre point sur ce fonds : quelle zone d’investissement est indiquée ?</t>
  </si>
  <si>
    <t xml:space="preserve">Résultat Information trouvée Aucune information disponible pour cette demande. Détails complémentaires Aucune zone d’investissement n’est renseignée sur le fonds « R-co Target 2029 HY » dans les données disponibles.</t>
  </si>
  <si>
    <t xml:space="preserve">Q0073</t>
  </si>
  <si>
    <t xml:space="preserve">Au passage, quelle est sa note de risque officielle ?</t>
  </si>
  <si>
    <t xml:space="preserve">Résultat Information trouvée Aucune information disponible pour cette demande. Détails complémentaires La note de risque officielle n’est pas renseignée pour le fonds « R-co Target 2029 HY » dans les données disponibles.</t>
  </si>
  <si>
    <t xml:space="preserve">Q0074</t>
  </si>
  <si>
    <t xml:space="preserve">LEI Code</t>
  </si>
  <si>
    <t xml:space="preserve">Pour compléter la fiche, quel est son code LEI ?</t>
  </si>
  <si>
    <t xml:space="preserve">9695001B6LQ7P2E6GY80</t>
  </si>
  <si>
    <t xml:space="preserve">Résultat Information trouvée Le code LEI du fonds « R-co Target 2029 HY » est : 9695001B6LQ7P2E6GY80 Détails complémentaires Ce code LEI est renseigné sur le fonds en statut Production.</t>
  </si>
  <si>
    <t xml:space="preserve">Q0075</t>
  </si>
  <si>
    <t xml:space="preserve">Sans changer de fonds, sur combien de temps est-il conseillé de le conserver ? Réponds uniquement sur ce point.</t>
  </si>
  <si>
    <t xml:space="preserve">Until 31 December 2029</t>
  </si>
  <si>
    <t xml:space="preserve">Jusqu'au 31 décembre 2029.</t>
  </si>
  <si>
    <t xml:space="preserve">date</t>
  </si>
  <si>
    <t xml:space="preserve">Q0076</t>
  </si>
  <si>
    <t xml:space="preserve">C016</t>
  </si>
  <si>
    <t xml:space="preserve">RMM Lending 4</t>
  </si>
  <si>
    <t xml:space="preserve">Je prépare une fiche sur RMM Lending 4 : quelle société de gestion est indiquée ?</t>
  </si>
  <si>
    <t xml:space="preserve">Résultat Pour le fonds RMM Lending 4 (statut : Production), la société de gestion indiquée est : Rothschild &amp; Co Asset Management Détails complémentaires Le fonds est référencé en statut Production dans le référentiel et sa société de gestion associée est Rothschild &amp; Co Asset Management.</t>
  </si>
  <si>
    <t xml:space="preserve">Q0077</t>
  </si>
  <si>
    <t xml:space="preserve">Au passage, quel établissement assure le dépôt ?</t>
  </si>
  <si>
    <t xml:space="preserve">Résultat Pour le fonds RMM Lending 4, l’établissement dépositaire indiqué est : Rothschild &amp; Co Martin Maurel Détails complémentaires Cette information est renseignée au niveau du fonds en Production.</t>
  </si>
  <si>
    <t xml:space="preserve">Q0078</t>
  </si>
  <si>
    <t xml:space="preserve">Rhodium</t>
  </si>
  <si>
    <t xml:space="preserve">Je passe à Rhodium : quel est son code LEI ?</t>
  </si>
  <si>
    <t xml:space="preserve">969500X971GVMI9AQP49</t>
  </si>
  <si>
    <t xml:space="preserve">Résultat Pour le fonds Rhodium (statut Production), le code LEI est : 969500X971GVMI9AQP49 Détails complémentaires Le même code LEI est également présent sur une version historisée du fonds.</t>
  </si>
  <si>
    <t xml:space="preserve">Q0079</t>
  </si>
  <si>
    <t xml:space="preserve">Sans changer de fonds, quel administrateur est renseigné ?</t>
  </si>
  <si>
    <t xml:space="preserve">BNP Paribas SA</t>
  </si>
  <si>
    <t xml:space="preserve">Résultat Pour le fonds Rhodium (statut Production), l’administrateur renseigné est : BNP Paribas SA Détails complémentaires Il s’agit du valorisateur/administrateur du fonds enregistré dans le référentiel.</t>
  </si>
  <si>
    <t xml:space="preserve">Q0080</t>
  </si>
  <si>
    <t xml:space="preserve">Je reviens à RMM Lending 4 : qui est le commissaire aux comptes ?</t>
  </si>
  <si>
    <t xml:space="preserve">Deloitte &amp; Associés</t>
  </si>
  <si>
    <t xml:space="preserve">Résultat Pour le fonds RMM Lending 4 (statut Production), le commissaire aux comptes renseigné est : Deloitte &amp; Associés Détails complémentaires Cette société est enregistrée comme commissaire aux comptes du fonds dans le référentiel.</t>
  </si>
  <si>
    <t xml:space="preserve">Q0081</t>
  </si>
  <si>
    <t xml:space="preserve">C017</t>
  </si>
  <si>
    <t xml:space="preserve">Pour R-co Strategic Metals and Mining, quel gérant est indiqué en premier ?</t>
  </si>
  <si>
    <t xml:space="preserve">BILBAULT Charles-Edouard</t>
  </si>
  <si>
    <t xml:space="preserve">Résultat Pour le fonds R-co Strategic Metals and Mining, le gérant indiqué en premier (gérant principal) est : Charles-Edouard Bilbault Détails complémentaires : Un gérant secondaire 1 est également renseigné pour ce fonds.</t>
  </si>
  <si>
    <t xml:space="preserve">Q0082</t>
  </si>
  <si>
    <t xml:space="preserve">969500B0AZCTK9FW3J26</t>
  </si>
  <si>
    <t xml:space="preserve">Résultat Le code LEI du fonds R-co Strategic Metals and Mining est : 969500B0AZCTK9FW3J26 Détails complémentaires Fonds : R-co Strategic Metals and Mining.</t>
  </si>
  <si>
    <t xml:space="preserve">Q0083</t>
  </si>
  <si>
    <t xml:space="preserve">Sans changer de fonds, c’est un fonds de quelle classe d’actifs ?</t>
  </si>
  <si>
    <t xml:space="preserve">Résultat La classe d’actifs du fonds R-co Strategic Metals and Mining est : Equities Détails complémentaires Cette information correspond à la classe d’actifs (Management d’expertise – niveau 3) associée au fonds.</t>
  </si>
  <si>
    <t xml:space="preserve">Q0084</t>
  </si>
  <si>
    <t xml:space="preserve">Et pour ce même produit, quelle date de première VL est renseignée ?</t>
  </si>
  <si>
    <t xml:space="preserve">Résultat Aucune information disponible pour cette demande. Détails complémentaires Pour le fonds R-co Strategic Metals and Mining, aucune date de première VL n’est renseignée dans le champ correspondant de la fiche produit.</t>
  </si>
  <si>
    <t xml:space="preserve">Q0085</t>
  </si>
  <si>
    <t xml:space="preserve">Management Expertise Level 1</t>
  </si>
  <si>
    <t xml:space="preserve">Autre point sur ce fonds : tu as sa famille d’expertise de gestion ?</t>
  </si>
  <si>
    <t xml:space="preserve">EQUITIES</t>
  </si>
  <si>
    <t xml:space="preserve">Résultat La famille d’expertise de gestion du fonds R-co Strategic Metals and Mining est : Wealth Management Détails complémentaires Le chemin d’expertise de gestion renseigné est : Classe d’actifs (niveau 3) : Equities Niveau 2 : Equities Niveau 1 : Equities Famille d’expertise (niveau 0) : Wealth Management Ce qui correspond au parcours : Equities &lt; Equities &lt; Equities &lt; Wealth Management.</t>
  </si>
  <si>
    <t xml:space="preserve">Q0086</t>
  </si>
  <si>
    <t xml:space="preserve">C018</t>
  </si>
  <si>
    <t xml:space="preserve">R-co Emeraude Sérénité</t>
  </si>
  <si>
    <t xml:space="preserve">Je regarde R-co Emeraude Sérénité. Quel est son code LEI ?</t>
  </si>
  <si>
    <t xml:space="preserve">969500T832E7LN3JJE15</t>
  </si>
  <si>
    <t xml:space="preserve">Résultat Information trouvée Le code LEI du fonds « R-co Emeraude Sérénité » est : 969500T832E7LN3JJE15 Détails complémentaires Le fonds est en statut Production.</t>
  </si>
  <si>
    <t xml:space="preserve">Q0087</t>
  </si>
  <si>
    <t xml:space="preserve">Sans changer de fonds, est-ce que tu as sa forme juridique ?</t>
  </si>
  <si>
    <t xml:space="preserve">Résultat Information trouvée La forme juridique du fonds « R-co Emeraude Sérénité » est : FCP (Fonds Commun de Placement) Détails complémentaires Le fonds est en statut Production.</t>
  </si>
  <si>
    <t xml:space="preserve">Q0088</t>
  </si>
  <si>
    <t xml:space="preserve">Et pour ce même produit, qui est le dépositaire ?</t>
  </si>
  <si>
    <t xml:space="preserve">Résultat Information trouvée Le dépositaire du fonds « R-co Emeraude Sérénité » est : Caceis Bank Détails complémentaires Le fonds est en statut Production.</t>
  </si>
  <si>
    <t xml:space="preserve">Q0089</t>
  </si>
  <si>
    <t xml:space="preserve">Autre point sur ce fonds : tu as sa date de première valeur liquidative ?</t>
  </si>
  <si>
    <t xml:space="preserve">Résultat Information trouvée Aucune information disponible pour cette demande. Détails complémentaires Pour le fonds « R-co Emeraude Sérénité », aucune date de première valeur liquidative n’est renseignée dans le référentiel Product Info.</t>
  </si>
  <si>
    <t xml:space="preserve">Q0090</t>
  </si>
  <si>
    <t xml:space="preserve">Au passage, il relève de quel article SFDR ?</t>
  </si>
  <si>
    <t xml:space="preserve">Résultat Information trouvée Le fonds « R-co Emeraude Sérénité » relève de : Article 8 (SFDR) Détails complémentaires Le fonds est en statut Production.</t>
  </si>
  <si>
    <t xml:space="preserve">Q0091</t>
  </si>
  <si>
    <t xml:space="preserve">C019</t>
  </si>
  <si>
    <t xml:space="preserve">R-co Valor Bond Opportunities</t>
  </si>
  <si>
    <t xml:space="preserve">Je prépare une fiche sur R-co Valor Bond Opportunities : tu peux retrouver le LEI ?</t>
  </si>
  <si>
    <t xml:space="preserve">9695008AF0CHR2KOV374</t>
  </si>
  <si>
    <t xml:space="preserve">Résultat Information trouvée Le LEI du fonds « R-co Valor Bond Opportunities » est : 9695008AF0CHR2KOV374 Détails complémentaires Fonds : R-co Valor Bond Opportunities Statut : Production</t>
  </si>
  <si>
    <t xml:space="preserve">Q0092</t>
  </si>
  <si>
    <t xml:space="preserve">Et pour ce même produit, quelle est sa devise comptable ?</t>
  </si>
  <si>
    <t xml:space="preserve">Résultat Information trouvée La devise comptable du fonds « R-co Valor Bond Opportunities » est : EUR (€) Détails complémentaires Fonds : R-co Valor Bond Opportunities Devise comptable : Euro (EUR)</t>
  </si>
  <si>
    <t xml:space="preserve">Q0093</t>
  </si>
  <si>
    <t xml:space="preserve">FIXED INCOME</t>
  </si>
  <si>
    <t xml:space="preserve">Résultat Information trouvée La famille d’expertise de gestion de « R-co Valor Bond Opportunities » est : Niveau 0 : DIRECT INVESTMENT Niveau 1 : FIXED INCOME Niveau 2 : Investment Grade Niveau 3 (classe d’actif) : Fixed Income Détails complémentaires Chemin d’expertise complet : Fixed Income &lt; Investment Grade &lt; FIXED INCOME &lt; DIRECT INVESTMENT</t>
  </si>
  <si>
    <t xml:space="preserve">Q0094</t>
  </si>
  <si>
    <t xml:space="preserve">Au passage, sous quelle réglementation OPC est-il classé ?</t>
  </si>
  <si>
    <t xml:space="preserve">Résultat Information trouvée La réglementation OPC applicable à « R-co Valor Bond Opportunities » est : OPCVM Détails complémentaires Fonds : R-co Valor Bond Opportunities Réglementation applicable : OPCVM (Organisme de Placement Collectif en Valeurs Mobilières)</t>
  </si>
  <si>
    <t xml:space="preserve">Q0095</t>
  </si>
  <si>
    <t xml:space="preserve">Résultat Information trouvée La classification SFDR renseignée pour « R-co Valor Bond Opportunities » est : Article 8 Détails complémentaires Fonds : R-co Valor Bond Opportunities Catégorie SFDR : Article 8 Cette catégorie correspond aux produits promouvant des caractéristiques environnementales et/ou sociales.</t>
  </si>
  <si>
    <t xml:space="preserve">Q0096</t>
  </si>
  <si>
    <t xml:space="preserve">C020</t>
  </si>
  <si>
    <t xml:space="preserve">RMM Court Terme</t>
  </si>
  <si>
    <t xml:space="preserve">Pour RMM Court Terme, il relève de quel article SFDR ?</t>
  </si>
  <si>
    <t xml:space="preserve">Résultat Information trouvée RMM Court Terme relève de l’Article 8 SFDR. Détails complémentaires Le fonds RMM Court Terme est en statut Production et sa catégorie SFDR enregistrée est : Article 8.</t>
  </si>
  <si>
    <t xml:space="preserve">Q0097</t>
  </si>
  <si>
    <t xml:space="preserve">Résultat Information trouvée La famille d’expertise de gestion de RMM Court Terme est : Niveau 0 : DIRECT INVESTMENT Niveau 1 : FIXED INCOME Niveau 2 : Money Market Niveau 3 : Money Market Chemin d’expertise : « Money Market &lt; Money Market &lt; FIXED INCOME &lt; DIRECT INVESTMENT ».</t>
  </si>
  <si>
    <t xml:space="preserve">Q0098</t>
  </si>
  <si>
    <t xml:space="preserve">Au passage, la prise en compte des PAI est-elle indiquée ?</t>
  </si>
  <si>
    <t xml:space="preserve">Yes</t>
  </si>
  <si>
    <t xml:space="preserve">Résultat Information trouvée Je ne trouve pas de valeur renseignée concernant la prise en compte des PAI pour le fonds RMM Court Terme dans les données disponibles. Détails complémentaires Le champ correspondant à cette information existe bien dans le référentiel produit, mais aucune valeur n'est retournée pour ce fonds. D'après les données disponibles, la prise en compte des PAI n'est donc pas renseignée pour RMM Court Terme.</t>
  </si>
  <si>
    <t xml:space="preserve">Q0099</t>
  </si>
  <si>
    <t xml:space="preserve">Pour compléter la fiche, quelle est sa classe d’actifs ?</t>
  </si>
  <si>
    <t xml:space="preserve">Money Market</t>
  </si>
  <si>
    <t xml:space="preserve">Résultat Information trouvée La classe d’actifs de RMM Court Terme est : Money Market. Détails complémentaires Selon la hiérarchie d’expertise de gestion enregistrée pour le fonds : Niveau 3 (Classe d’actifs) : Money Market Niveau 2 : Money Market Niveau 1 : FIXED INCOME Niveau 0 : DIRECT INVESTMENT Chemin d’expertise : Money Market &lt; Money Market &lt; FIXED INCOME &lt; DIRECT INVESTMENT.</t>
  </si>
  <si>
    <t xml:space="preserve">Q0100</t>
  </si>
  <si>
    <t xml:space="preserve">Benchmark</t>
  </si>
  <si>
    <t xml:space="preserve">Sans changer de fonds, un indicateur de référence est-il signalé dans le champ Benchmark ?</t>
  </si>
  <si>
    <t xml:space="preserve">Résultat Information trouvée Non, pour le fonds RMM Court Terme, le champ indiquant la présence d’un indicateur de référence (Benchmark) est renseigné à : Non. Détails complémentaires Aucun benchmark n’est signalé pour ce fonds dans les données disponibles. Le champ « Benchmark » est positionné sur « Non ».</t>
  </si>
  <si>
    <t xml:space="preserve">Q0101</t>
  </si>
  <si>
    <t xml:space="preserve">C021</t>
  </si>
  <si>
    <t xml:space="preserve">R-co Conviction Club</t>
  </si>
  <si>
    <t xml:space="preserve">Je regarde R-co Conviction Club. Tu as sa famille d’expertise de gestion ?</t>
  </si>
  <si>
    <t xml:space="preserve">DIVERSIFIED</t>
  </si>
  <si>
    <t xml:space="preserve">Résultat Information trouvée Pour le fonds R-co Conviction Club, la famille d’expertise de gestion est : Niveau 0 : DIRECT INVESTMENT Niveau 1 : DIVERSIFIED Niveau 2 : Flexible Niveau 3 (classe d’actif) : Diversified Détails complémentaires Le chemin d’expertise de gestion enregistré est : Diversified &lt; Flexible &lt; DIVERSIFIED &lt; DIRECT INVESTMENT.</t>
  </si>
  <si>
    <t xml:space="preserve">Q0102</t>
  </si>
  <si>
    <t xml:space="preserve">Au passage, quel est le premier gérant secondaire ?</t>
  </si>
  <si>
    <t xml:space="preserve">BOY Julien</t>
  </si>
  <si>
    <t xml:space="preserve">Résultat Information trouvée Le premier gérant secondaire de R-co Conviction Club est : Julien BOY Détails complémentaires Aucune autre information n’a été demandée sur les autres rôles de gestion.</t>
  </si>
  <si>
    <t xml:space="preserve">Q0103</t>
  </si>
  <si>
    <t xml:space="preserve">Je passe à R-co Target 2029 IG : le champ PAI est-il à oui ou à non ?</t>
  </si>
  <si>
    <t xml:space="preserve">Résultat Information trouvée Pour le fonds R-co Target 2029 IG, le champ PAI est à : Oui Détails complémentaires Les indicateurs EET associés consultés pour ce fonds sont renseignés à « Oui ». Le fonds est également classé Article 8.</t>
  </si>
  <si>
    <t xml:space="preserve">Q0104</t>
  </si>
  <si>
    <t xml:space="preserve">Sans changer de fonds, qui gère principalement ce fonds ?</t>
  </si>
  <si>
    <t xml:space="preserve">Résultat Information trouvée Le gérant principal du fonds R-co Target 2029 IG est : Emmanuel PETIT Détails complémentaires Aucune autre information de gestion n’a été demandée pour ce fonds.</t>
  </si>
  <si>
    <t xml:space="preserve">Q0105</t>
  </si>
  <si>
    <t xml:space="preserve">Je reviens à R-co Conviction Club : quelle classification SFDR est renseignée ?</t>
  </si>
  <si>
    <t xml:space="preserve">Résultat Information trouvée La classification SFDR renseignée pour le fonds R-co Conviction Club est : Article 8 Détails complémentaires Aucune autre classification SFDR n’est renseignée pour ce fonds.</t>
  </si>
  <si>
    <t xml:space="preserve">Q0106</t>
  </si>
  <si>
    <t xml:space="preserve">C022</t>
  </si>
  <si>
    <t xml:space="preserve">R-co Core Equity Euro</t>
  </si>
  <si>
    <t xml:space="preserve">Je prépare une fiche sur R-co Core Equity Euro : quelle société de gestion est indiquée ?</t>
  </si>
  <si>
    <t xml:space="preserve">Résultat Information trouvée Pour le fonds R-co Core Equity Euro, la société de gestion indiquée est : Rothschild &amp; Co Asset Management Détails complémentaires Le fonds est présent en statut Production dans le référentiel.</t>
  </si>
  <si>
    <t xml:space="preserve">Q0107</t>
  </si>
  <si>
    <t xml:space="preserve">Pour compléter la fiche, quel établissement assure le dépôt ?</t>
  </si>
  <si>
    <t xml:space="preserve">Résultat Information trouvée Pour le fonds R-co Core Equity Euro, l’établissement dépositaire indiqué est : Rothschild &amp; Co Martin Maurel Détails complémentaires Cet établissement est renseigné comme dépositaire du fonds dans le référentiel de production.</t>
  </si>
  <si>
    <t xml:space="preserve">Q0108</t>
  </si>
  <si>
    <t xml:space="preserve">Résultat Information trouvée Pour le fonds R-co Core Equity Euro, aucun indicateur de référence n’est signalé dans le champ Benchmark : Benchmark : Non Détails complémentaires Aucun indice de référence n’est renseigné comme benchmark pour ce fonds dans les données de production.</t>
  </si>
  <si>
    <t xml:space="preserve">Q0109</t>
  </si>
  <si>
    <t xml:space="preserve">Et pour ce même produit, tu as sa date de première valeur liquidative ? Si tu ne trouves pas, dis-le clairement.</t>
  </si>
  <si>
    <t xml:space="preserve">Résultat Information trouvée Je ne trouve pas de date de première valeur liquidative renseignée pour le fonds R-co Core Equity Euro. Détails complémentaires Le champ correspondant à la première valeur liquidative est présent dans le référentiel, mais aucune valeur n’est enregistrée pour ce produit en production.</t>
  </si>
  <si>
    <t xml:space="preserve">Q0110</t>
  </si>
  <si>
    <t xml:space="preserve">Autre point sur ce fonds : quelle forme juridique est indiquée ? Réponds uniquement sur ce point.</t>
  </si>
  <si>
    <t xml:space="preserve">FCP (Fonds Commun de Placement)।</t>
  </si>
  <si>
    <t xml:space="preserve">Q0111</t>
  </si>
  <si>
    <t xml:space="preserve">C023</t>
  </si>
  <si>
    <t xml:space="preserve">R-co Valor Balanced</t>
  </si>
  <si>
    <t xml:space="preserve">Pour R-co Valor Balanced, quelle est sa classe d’actifs ?</t>
  </si>
  <si>
    <t xml:space="preserve">Diversified</t>
  </si>
  <si>
    <t xml:space="preserve">Résultat Information trouvée Pour le fonds R-co Valor Balanced (statut Production), la classe d’actifs est : Niveau 3 (Classe d’actifs) : Diversified Chemin d’expertise complet : Diversified &lt; Flexible &lt; DIVERSIFIED &lt; DIRECT INVESTMENT Détails complémentaires Selon le référentiel Product Info, la « classe d’actifs » correspond au niveau 3 du Management d’expertise. Pour ce fonds, elle est renseignée à la valeur Diversified.</t>
  </si>
  <si>
    <t xml:space="preserve">Q0112</t>
  </si>
  <si>
    <t xml:space="preserve">Pouvez-vous fournir la requête SQL SELECT que vous souhaitez exécuter ?</t>
  </si>
  <si>
    <t xml:space="preserve">l'agent ne traite pas la question (précision demandée, question non reçue ou réponse vide)</t>
  </si>
  <si>
    <t xml:space="preserve">Q0113</t>
  </si>
  <si>
    <t xml:space="preserve">Et pour ce même produit, quelle classification SFDR est renseignée ?</t>
  </si>
  <si>
    <t xml:space="preserve">Résultat Information trouvée Pour le fonds R-co Valor Balanced (statut Production), la classification SFDR renseignée est : Article 8 Détails complémentaires La catégorie SFDR enregistrée dans le référentiel pour ce fonds est « Article 8 ».</t>
  </si>
  <si>
    <t xml:space="preserve">Q0114</t>
  </si>
  <si>
    <t xml:space="preserve">Frais et coûts</t>
  </si>
  <si>
    <t xml:space="preserve">Actual Management Fees (%)</t>
  </si>
  <si>
    <t xml:space="preserve">Autre point sur ce fonds : quel taux de frais de gestion effectifs est renseigné pour ce fonds ?</t>
  </si>
  <si>
    <t xml:space="preserve">Résultat Information trouvée Pour le fonds R-co Valor Balanced (statut Production), aucun taux n’est renseigné dans le champ des frais de gestion effectifs. La valeur est vide dans le référentiel. Détails complémentaires Le champ correspondant aux frais de gestion effectifs existe bien au niveau du fonds, mais aucune valeur n’est enregistrée pour ce produit en Production.</t>
  </si>
  <si>
    <t xml:space="preserve">Q0115</t>
  </si>
  <si>
    <t xml:space="preserve">Au passage, sur quelle région d’investissement est-il positionné ?</t>
  </si>
  <si>
    <t xml:space="preserve">Résultat Information trouvée Pour le fonds R-co Valor Balanced (statut Production), la région d’investissement renseignée est : Monde Détails complémentaires Le fonds est positionné sur une zone d’investissement de portée mondiale.</t>
  </si>
  <si>
    <t xml:space="preserve">Q0116</t>
  </si>
  <si>
    <t xml:space="preserve">C024</t>
  </si>
  <si>
    <t xml:space="preserve">R-co 2031 HY</t>
  </si>
  <si>
    <t xml:space="preserve">Je regarde R-co 2031 HY. Un indicateur de référence est-il signalé dans le champ Benchmark ?</t>
  </si>
  <si>
    <t xml:space="preserve">Résultat Pour le fonds R-co 2031 HY, aucun indicateur de référence n'est signalé dans le champ Benchmark. L'information disponible indique : Benchmark : Non Détails complémentaires Aucune valeur de benchmark n'est renseignée pour ce fonds en statut Production.</t>
  </si>
  <si>
    <t xml:space="preserve">Q0117</t>
  </si>
  <si>
    <t xml:space="preserve">Résultat Pour le fonds R-co 2031 HY, la classification SFDR renseignée est : Article 8 Détails complémentaires Cette classification correspond à la catégorie SFDR enregistrée pour le fonds en statut Production.</t>
  </si>
  <si>
    <t xml:space="preserve">Q0118</t>
  </si>
  <si>
    <t xml:space="preserve">Résultat Aucune information disponible pour cette demande. Détails complémentaires Pour le fonds R-co 2031 HY, aucune zone d’investissement n'est renseignée dans les données disponibles du référentiel Product Info.</t>
  </si>
  <si>
    <t xml:space="preserve">Q0119</t>
  </si>
  <si>
    <t xml:space="preserve">Au passage, dans quelle classe d’actifs est-il classé ?</t>
  </si>
  <si>
    <t xml:space="preserve">Résultat Pour le fonds R-co 2031 HY, la classe d’actifs renseignée est : Fixed Income Détails complémentaires La classe d’actifs est déterminée à partir du champ métier « Classe d’actif » du référentiel Product Info. Pour ce fonds, la valeur enregistrée est « Fixed Income ».</t>
  </si>
  <si>
    <t xml:space="preserve">Q0120</t>
  </si>
  <si>
    <t xml:space="preserve">Pour compléter la fiche, qui est l’administrateur du fonds ?</t>
  </si>
  <si>
    <t xml:space="preserve">Résultat Pour le fonds R-co 2031 HY, l’administrateur du fonds est : Caceis Fund Administration Détails complémentaires Cette information correspond au valorisateur / administrateur du fonds renseigné dans le référentiel Product Info.</t>
  </si>
  <si>
    <t xml:space="preserve">Q0121</t>
  </si>
  <si>
    <t xml:space="preserve">C025</t>
  </si>
  <si>
    <t xml:space="preserve">Je prépare une fiche sur R-co Conviction Club : peux-tu me donner le nom du gérant principal ?</t>
  </si>
  <si>
    <t xml:space="preserve">QUINCEROT (DE) Ludivine</t>
  </si>
  <si>
    <t xml:space="preserve">Résultat Information trouvée Le gérant principal du fonds R-co Conviction Club est Ludivine QUINCEROT (DE). Détails complémentaires Fonds : R-co Conviction Club Statut : Production Gérant principal : Ludivine QUINCEROT (DE)</t>
  </si>
  <si>
    <t xml:space="preserve">Q0122</t>
  </si>
  <si>
    <t xml:space="preserve">Autre point sur ce fonds : qui figure comme premier gérant de renfort ?</t>
  </si>
  <si>
    <t xml:space="preserve">Résultat Information trouvée Le premier gérant de renfort du fonds R-co Conviction Club est Julien BOY. Détails complémentaires Fonds : R-co Conviction Club Statut : Production Premier gérant de renfort : Julien BOY</t>
  </si>
  <si>
    <t xml:space="preserve">Q0123</t>
  </si>
  <si>
    <t xml:space="preserve">Résultat Information trouvée La région d’investissement du fonds R-co Conviction Club est : Monde. Détails complémentaires Fonds : R-co Conviction Club Statut : Production Région d’investissement : Monde</t>
  </si>
  <si>
    <t xml:space="preserve">Q0124</t>
  </si>
  <si>
    <t xml:space="preserve">Pour compléter la fiche, y a-t-il un troisième gérant secondaire renseigné ?</t>
  </si>
  <si>
    <t xml:space="preserve">VINCENT Thomas</t>
  </si>
  <si>
    <t xml:space="preserve">Résultat Information trouvée Oui, un troisième gérant secondaire est renseigné pour le fonds R-co Conviction Club : Thomas VINCENT. Détails complémentaires Fonds : R-co Conviction Club Statut : Production Troisième gérant secondaire : Thomas VINCENT</t>
  </si>
  <si>
    <t xml:space="preserve">Q0125</t>
  </si>
  <si>
    <t xml:space="preserve">Sans changer de fonds, quelle classification SFDR est renseignée ?</t>
  </si>
  <si>
    <t xml:space="preserve">Résultat Information trouvée La classification SFDR renseignée pour le fonds R-co Conviction Club est : Article 8. Détails complémentaires Fonds : R-co Conviction Club Statut : Production Classification SFDR : Article 8</t>
  </si>
  <si>
    <t xml:space="preserve">Q0126</t>
  </si>
  <si>
    <t xml:space="preserve">C026</t>
  </si>
  <si>
    <t xml:space="preserve">R-co Lux Conviction Credit Euro</t>
  </si>
  <si>
    <t xml:space="preserve">Pour R-co Lux Conviction Credit Euro, quelle forme juridique est indiquée ?</t>
  </si>
  <si>
    <t xml:space="preserve">Résultat Information trouvée Pour le fonds « R-co Lux Conviction Credit Euro », la forme juridique indiquée est : SICAV. Détails complémentaires Le fonds est présent en statut Production.</t>
  </si>
  <si>
    <t xml:space="preserve">Q0127</t>
  </si>
  <si>
    <t xml:space="preserve">Résultat Information trouvée Pour le fonds « R-co Lux Conviction Credit Euro », la région d’investissement indiquée est : Zone euro. Détails complémentaires La donnée provient de la fiche du fonds en statut Production.</t>
  </si>
  <si>
    <t xml:space="preserve">Q0128</t>
  </si>
  <si>
    <t xml:space="preserve">Avenstor</t>
  </si>
  <si>
    <t xml:space="preserve">Je passe à Avenstor : où est-il domicilié ?</t>
  </si>
  <si>
    <t xml:space="preserve">Résultat Information trouvée Le fonds « Avenstor » est domicilié en France. Détails complémentaires Le fonds est présent en statut Production.</t>
  </si>
  <si>
    <t xml:space="preserve">Q0129</t>
  </si>
  <si>
    <t xml:space="preserve">Résultat Information trouvée Pour le fonds « Avenstor », la classification SFDR renseignée est : Article 6. Détails complémentaires Cette information est issue de la fiche du fonds en statut Production.</t>
  </si>
  <si>
    <t xml:space="preserve">Q0130</t>
  </si>
  <si>
    <t xml:space="preserve">Je reviens à R-co Lux Conviction Credit Euro : sous quelle réglementation OPC est-il classé ?</t>
  </si>
  <si>
    <t xml:space="preserve">Résultat Information trouvée Pour le fonds « R-co Lux Conviction Credit Euro », la réglementation OPC renseignée est : OPCVM. Détails complémentaires Cette information est issue de la fiche du fonds en statut Production.</t>
  </si>
  <si>
    <t xml:space="preserve">Q0131</t>
  </si>
  <si>
    <t xml:space="preserve">C027</t>
  </si>
  <si>
    <t xml:space="preserve">R-co Conviction High Yield SD Euro</t>
  </si>
  <si>
    <t xml:space="preserve">Je regarde R-co Conviction High Yield SD Euro. Dans quelle classe d’actifs est-il classé ?</t>
  </si>
  <si>
    <t xml:space="preserve">Résultat Information trouvée Le fonds « R-co Conviction High Yield SD Euro » est classé dans la classe d’actifs : Fixed Income &gt; High Yield &gt; FIXED INCOME &gt; DIRECT INVESTMENT Détails complémentaires Selon la hiérarchie de management d’expertise (classe d’actifs), le niveau le plus fin correspond à « Fixed Income », avec une spécialisation « High Yield ». Cette classification est enregistrée pour le fonds en statut Production.</t>
  </si>
  <si>
    <t xml:space="preserve">Q0132</t>
  </si>
  <si>
    <t xml:space="preserve">Pour compléter la fiche, quel est le premier gérant secondaire ?</t>
  </si>
  <si>
    <t xml:space="preserve">AGAESSE Kristell</t>
  </si>
  <si>
    <t xml:space="preserve">Résultat Information trouvée Le premier gérant secondaire du fonds « R-co Conviction High Yield SD Euro » est : Kristell AGAESSE Détails complémentaires Cette personne est renseignée comme gérant secondaire 1 du fonds en statut Production.</t>
  </si>
  <si>
    <t xml:space="preserve">Q0133</t>
  </si>
  <si>
    <t xml:space="preserve">Sans changer de fonds, qui est indiqué comme deuxième gérant secondaire ?</t>
  </si>
  <si>
    <t xml:space="preserve">GRUEN Samuel</t>
  </si>
  <si>
    <t xml:space="preserve">Résultat Information trouvée Le deuxième gérant secondaire du fonds « R-co Conviction High Yield SD Euro » est : Samuel GRUEN Détails complémentaires Cette personne est renseignée comme gérant secondaire 2 du fonds en statut Production.</t>
  </si>
  <si>
    <t xml:space="preserve">Q0134</t>
  </si>
  <si>
    <t xml:space="preserve">Max management fee (%)</t>
  </si>
  <si>
    <t xml:space="preserve">Et pour ce même produit, quel plafond de frais de gestion est renseigné pour ce fonds ?</t>
  </si>
  <si>
    <t xml:space="preserve">Résultat Information trouvée Aucune information disponible pour cette demande. Détails complémentaires Le champ correspondant au plafond de frais de gestion du fonds « R-co Conviction High Yield SD Euro » ne contient pas de valeur exploitable dans les données disponibles du référentiel Product Info pour ce fonds en statut Production.</t>
  </si>
  <si>
    <t xml:space="preserve">Q0135</t>
  </si>
  <si>
    <t xml:space="preserve">Résultat Information trouvée La classification SFDR renseignée pour le fonds « R-co Conviction High Yield SD Euro » est : Article 8 Détails complémentaires Le fonds est classé SFDR « Article 8 » dans le référentiel Product Info pour sa version en Production.</t>
  </si>
  <si>
    <t xml:space="preserve">Q0136</t>
  </si>
  <si>
    <t xml:space="preserve">C028</t>
  </si>
  <si>
    <t xml:space="preserve">R-co Advenis Equilibre</t>
  </si>
  <si>
    <t xml:space="preserve">Je prépare une fiche sur R-co Advenis Equilibre : quelle société de gestion est indiquée ?</t>
  </si>
  <si>
    <t xml:space="preserve">Résultat Pour le fonds « R-co Advenis Equilibre » (statut Production), la société de gestion indiquée est : Rothschild &amp; Co Asset Management Cette information est celle enregistrée dans le référentiel Product Info pour le fonds concerné.</t>
  </si>
  <si>
    <t xml:space="preserve">Q0137</t>
  </si>
  <si>
    <t xml:space="preserve">Sans changer de fonds, quel établissement assure le dépôt ?</t>
  </si>
  <si>
    <t xml:space="preserve">Résultat Pour le fonds « R-co Advenis Equilibre », l’établissement dépositaire indiqué est : Caceis Bank Détails complémentaires Il s’agit de l’établissement assurant la fonction de dépositaire pour ce fonds dans le référentiel Product Info.</t>
  </si>
  <si>
    <t xml:space="preserve">Q0138</t>
  </si>
  <si>
    <t xml:space="preserve">Et pour ce même produit, où est-il domicilié ?</t>
  </si>
  <si>
    <t xml:space="preserve">Résultat Pour le fonds « R-co Advenis Equilibre », le domicile du fonds est : France Détails complémentaires Le fonds est enregistré avec une domiciliation en France dans le référentiel Product Info.</t>
  </si>
  <si>
    <t xml:space="preserve">Q0139</t>
  </si>
  <si>
    <t xml:space="preserve">Autre point sur ce fonds : quelle valeur est indiquée pour les frais de gestion effectifs du fonds ? Si tu ne trouves pas, dis-le clairement.</t>
  </si>
  <si>
    <t xml:space="preserve">Résultat Aucune information disponible pour cette demande. Détails complémentaires Pour le fonds « R-co Advenis Equilibre » en Production, aucune valeur n’est renseignée dans le référentiel Product Info pour les frais de gestion effectifs du fonds. Je ne trouve donc pas de montant ou de pourcentage à communiquer.</t>
  </si>
  <si>
    <t xml:space="preserve">Q0140</t>
  </si>
  <si>
    <t xml:space="preserve">Au passage, qui est le commissaire aux comptes ?</t>
  </si>
  <si>
    <t xml:space="preserve">KPMG Audit</t>
  </si>
  <si>
    <t xml:space="preserve">Résultat Pour le fonds « R-co Advenis Equilibre », le commissaire aux comptes indiqué est : KPMG Audit Détails complémentaires Cette information est renseignée au niveau du fonds dans le référentiel Product Info.</t>
  </si>
  <si>
    <t xml:space="preserve">Q0141</t>
  </si>
  <si>
    <t xml:space="preserve">C029</t>
  </si>
  <si>
    <t xml:space="preserve">R-co Conviction High Yield Euro</t>
  </si>
  <si>
    <t xml:space="preserve">Pour R-co Conviction High Yield Euro, quel gérant est indiqué en premier ?</t>
  </si>
  <si>
    <t xml:space="preserve">Résultat Pour le fonds R-co Conviction High Yield Euro, le gérant indiqué en premier (gérant principal) est : Kristell AGAESSE Détails complémentaires D'autres gérants sont également associés au fonds via les rôles de gérants secondaires, mais le premier gérant renseigné est bien Kristell AGAESSE.</t>
  </si>
  <si>
    <t xml:space="preserve">Q0142</t>
  </si>
  <si>
    <t xml:space="preserve">Résultat Le fonds R-co Conviction High Yield Euro est domicilié en France. Détails complémentaires Aucune autre information de domiciliation n'est renseignée pour ce fonds en statut Production.</t>
  </si>
  <si>
    <t xml:space="preserve">Q0143</t>
  </si>
  <si>
    <t xml:space="preserve">Autre point sur ce fonds : c’est un fonds de quelle classe d’actifs ?</t>
  </si>
  <si>
    <t xml:space="preserve">Résultat La classe d’actifs du fonds R-co Conviction High Yield Euro est : Fixed Income Détails complémentaires Cette classification correspond à l’expertise de gestion associée au fonds. Fixed Income désigne l’univers des investissements obligataires et produits de taux.</t>
  </si>
  <si>
    <t xml:space="preserve">Q0144</t>
  </si>
  <si>
    <t xml:space="preserve">Au passage, quelle zone d’investissement est indiquée ?</t>
  </si>
  <si>
    <t xml:space="preserve">Résultat Aucune information disponible pour cette demande. Détails complémentaires Pour le fonds R-co Conviction High Yield Euro, aucune zone d’investissement n’est renseignée dans le référentiel sur le champ dédié à la zone d’investissement.</t>
  </si>
  <si>
    <t xml:space="preserve">Q0145</t>
  </si>
  <si>
    <t xml:space="preserve">Pour compléter la fiche, quelle réglementation OPC lui est applicable ? Réponds uniquement sur ce point.</t>
  </si>
  <si>
    <t xml:space="preserve">OPCVM.</t>
  </si>
  <si>
    <t xml:space="preserve">Q0146</t>
  </si>
  <si>
    <t xml:space="preserve">C030</t>
  </si>
  <si>
    <t xml:space="preserve">Alfred Investment</t>
  </si>
  <si>
    <t xml:space="preserve">Je regarde Alfred Investment. Où est-il domicilié ?</t>
  </si>
  <si>
    <t xml:space="preserve">Q0147</t>
  </si>
  <si>
    <t xml:space="preserve">Autre point sur ce fonds : est-ce que tu as sa forme juridique ?</t>
  </si>
  <si>
    <t xml:space="preserve">Je ne peux pas répondre à la forme juridique de ce fonds avec les informations disponibles dans notre échange. Le fonds « Alfred Investment » n’a pas été retrouvé dans les données auxquelles j’ai accès. Sans pouvoir identifier précisément le fonds, je ne peux pas récupérer sa forme juridique. Si vous disposez du nom exact du fonds, d’un code ISIN ou du nom d’une part associée, je pourrai refaire la recherche.</t>
  </si>
  <si>
    <t xml:space="preserve">Q0148</t>
  </si>
  <si>
    <t xml:space="preserve">Au passage, qui est le dépositaire ?</t>
  </si>
  <si>
    <t xml:space="preserve">Je ne peux pas identifier le dépositaire du fonds concerné. Dans notre échange, le fonds « Alfred Investment » n’a pas été retrouvé dans les données disponibles, et je n’ai donc pas pu accéder à sa fiche produit. Sans identification certaine du fonds, il n’est pas possible de récupérer son dépositaire. Si vous disposez du nom exact du fonds, d’un code ISIN ou du nom d’une part associée, je pourrai vérifier le dépositaire.</t>
  </si>
  <si>
    <t xml:space="preserve">Q0149</t>
  </si>
  <si>
    <t xml:space="preserve">Pour compléter la fiche, sur combien de temps est-il conseillé de le conserver ?</t>
  </si>
  <si>
    <t xml:space="preserve">Résultat Information trouvée Pour le fonds Alfred Investment, la durée de détention recommandée est de 5 ans. Détails complémentaires Statut : Production Durée de détention recommandée : 5 ans</t>
  </si>
  <si>
    <t xml:space="preserve">Q0150</t>
  </si>
  <si>
    <t xml:space="preserve">Résultat Information trouvée Alfred Investment relève de l’Article 6 du règlement SFDR. Détails complémentaires Catégorie SFDR : Article 6 Statut du fonds : Production</t>
  </si>
  <si>
    <t xml:space="preserve">Q0151</t>
  </si>
  <si>
    <t xml:space="preserve">C031</t>
  </si>
  <si>
    <t xml:space="preserve">Je prépare une fiche sur R-co Target 2029 HY : quel pays de domiciliation est renseigné ?</t>
  </si>
  <si>
    <t xml:space="preserve">Résultat Information trouvée Le fonds R-co Target 2029 HY a pour pays de domiciliation : France. Détails complémentaires Le fonds est présent en statut Production et le pays de domiciliation renseigné est France.</t>
  </si>
  <si>
    <t xml:space="preserve">Q0152</t>
  </si>
  <si>
    <t xml:space="preserve">Au passage, quelle est sa devise comptable ?</t>
  </si>
  <si>
    <t xml:space="preserve">Résultat Information trouvée La devise comptable du fonds R-co Target 2029 HY est : EUR (euro). Détails complémentaires Pays de domiciliation : France Devise comptable : EUR (euro)</t>
  </si>
  <si>
    <t xml:space="preserve">Q0153</t>
  </si>
  <si>
    <t xml:space="preserve">R-co Conviction Equity Value Euro</t>
  </si>
  <si>
    <t xml:space="preserve">Je passe à R-co Conviction Equity Value Euro : sur combien de temps est-il conseillé de le conserver ?</t>
  </si>
  <si>
    <t xml:space="preserve">Résultat Information trouvée Pour le fonds R-co Conviction Equity Value Euro, la durée de détention recommandée est de 5 ans. Détails complémentaires Cette durée correspond à l’horizon d’investissement conseillé renseigné pour ce fonds en statut Production.</t>
  </si>
  <si>
    <t xml:space="preserve">Q0154</t>
  </si>
  <si>
    <t xml:space="preserve">Sans changer de fonds, sous quelle réglementation OPC est-il classé ?</t>
  </si>
  <si>
    <t xml:space="preserve">Résultat Information trouvée Le fonds R-co Conviction Equity Value Euro est classé sous la réglementation OPCVM. Détails complémentaires La réglementation applicable renseignée pour ce fonds en statut Production est : OPCVM.</t>
  </si>
  <si>
    <t xml:space="preserve">Q0155</t>
  </si>
  <si>
    <t xml:space="preserve">Je reviens à R-co Target 2029 HY : quelle classification SFDR est renseignée ?</t>
  </si>
  <si>
    <t xml:space="preserve">Résultat Information trouvée La classification SFDR renseignée pour le fonds R-co Target 2029 HY est : Article 8. Détails complémentaires Le fonds est classé SFDR Article 8 dans les données de référence en statut Production.</t>
  </si>
  <si>
    <t xml:space="preserve">Q0156</t>
  </si>
  <si>
    <t xml:space="preserve">C032</t>
  </si>
  <si>
    <t xml:space="preserve">5m Invest</t>
  </si>
  <si>
    <t xml:space="preserve">Pour 5m Invest, il relève de quel article SFDR ?</t>
  </si>
  <si>
    <t xml:space="preserve">Résultat Information trouvée Le fonds/produit « 5m Invest » relève de l’Article 6 SFDR. Détails complémentaires Statut : Production Classification SFDR : Article 6</t>
  </si>
  <si>
    <t xml:space="preserve">Q0157</t>
  </si>
  <si>
    <t xml:space="preserve">Résultat Information trouvée Pour le fonds « 5m Invest », la réglementation OPC applicable est : OPCVM. Détails complémentaires Statut : Production Réglementation applicable : OPCVM (Organisme de Placement Collectif en Valeurs Mobilières)</t>
  </si>
  <si>
    <t xml:space="preserve">Q0158</t>
  </si>
  <si>
    <t xml:space="preserve">Sans changer de fonds, la prise en compte des PAI est-elle indiquée ?</t>
  </si>
  <si>
    <t xml:space="preserve">Résultat Information trouvée Pour le fonds « 5m Invest », la prise en compte des PAI (Principales Incidences Négatives) est indiquée comme : Non. Détails complémentaires Statut : Production Prise en compte des PAI : Non</t>
  </si>
  <si>
    <t xml:space="preserve">Q0159</t>
  </si>
  <si>
    <t xml:space="preserve">Et pour ce même produit, quelle valeur est indiquée pour les frais de gestion maximum du fonds ?</t>
  </si>
  <si>
    <t xml:space="preserve">Résultat Information trouvée Aucune valeur n'est renseignée pour les « frais de gestion maximum du fonds » sur le produit « 5m Invest ». Détails complémentaires Statut : Production Frais de gestion maximum du fonds : non renseignés dans les données disponibles.</t>
  </si>
  <si>
    <t xml:space="preserve">Q0160</t>
  </si>
  <si>
    <t xml:space="preserve">Autre point sur ce fonds : quel était le SRI du mois précédent ?</t>
  </si>
  <si>
    <t xml:space="preserve">Résultat Aucune information disponible pour cette demande. Détails complémentaires J’ai identifié la part en production associée au fonds « 5m Invest », mais aucune donnée dynamique de SRI/SRRI n’est disponible pour ce fonds sur le mois précédent dans les données consultables. Il n’est donc pas possible de restituer une valeur de SRI du mois précédent à partir des informations présentes.</t>
  </si>
  <si>
    <t xml:space="preserve">Q0161</t>
  </si>
  <si>
    <t xml:space="preserve">C033</t>
  </si>
  <si>
    <t xml:space="preserve">R-co Thematic Real Estate</t>
  </si>
  <si>
    <t xml:space="preserve">Je regarde R-co Thematic Real Estate. Quelle réglementation OPC lui est applicable ?</t>
  </si>
  <si>
    <t xml:space="preserve">Résultat Information trouvée Pour le fonds « R-co Thematic Real Estate », la réglementation OPC applicable est : OPCVM. Détails complémentaires Le fonds a été trouvé en statut Production et son champ de réglementation OPC est renseigné à la valeur OPCVM.</t>
  </si>
  <si>
    <t xml:space="preserve">Q0162</t>
  </si>
  <si>
    <t xml:space="preserve">Sans changer de fonds, quel est le premier gérant secondaire ?</t>
  </si>
  <si>
    <t xml:space="preserve">RIGAUDIERE Thierry</t>
  </si>
  <si>
    <t xml:space="preserve">Résultat Information trouvée Le premier gérant secondaire du fonds « R-co Thematic Real Estate » est : Thierry Rigaudière. Détails complémentaires Aucune autre information complémentaire pertinente pour cette demande.</t>
  </si>
  <si>
    <t xml:space="preserve">Q0163</t>
  </si>
  <si>
    <t xml:space="preserve">Et pour ce même produit, quelle est sa classe d’actifs ?</t>
  </si>
  <si>
    <t xml:space="preserve">Résultat Information trouvée La classe d’actifs du fonds « R-co Thematic Real Estate » est : Equities. Détails complémentaires Cette information correspond au niveau « Classe d’actifs » (Management Expertise Level 3) associé au fonds.</t>
  </si>
  <si>
    <t xml:space="preserve">Q0164</t>
  </si>
  <si>
    <t xml:space="preserve">Autre point sur ce fonds : quel plafond de frais de gestion est renseigné pour ce fonds ?</t>
  </si>
  <si>
    <t xml:space="preserve">Résultat Information trouvée Aucune valeur de plafond de frais de gestion n’est renseignée pour le fonds « R-co Thematic Real Estate ». Détails complémentaires Le champ correspondant au plafond de frais de gestion est vide pour ce fonds dans les données disponibles.</t>
  </si>
  <si>
    <t xml:space="preserve">Q0165</t>
  </si>
  <si>
    <t xml:space="preserve">Résultat Information trouvée Aucune note de risque officielle n’est renseignée pour le fonds « R-co Thematic Real Estate ». Détails complémentaires Le champ correspondant à la note de risque officielle est vide dans les données disponibles pour ce fonds.</t>
  </si>
  <si>
    <t xml:space="preserve">Q0166</t>
  </si>
  <si>
    <t xml:space="preserve">C034</t>
  </si>
  <si>
    <t xml:space="preserve">GEMMA</t>
  </si>
  <si>
    <t xml:space="preserve">Je prépare une fiche sur GEMMA : quelle société de gestion est indiquée ?</t>
  </si>
  <si>
    <t xml:space="preserve">Résultat Information trouvée Pour le fonds GEMMA (statut Production), la société de gestion indiquée est : Rothschild &amp; Co Asset Management Détails complémentaires Aucune autre société de gestion n’est associée à ce fonds dans les données consultées.</t>
  </si>
  <si>
    <t xml:space="preserve">Q0167</t>
  </si>
  <si>
    <t xml:space="preserve">Résultat Information trouvée Pour le fonds GEMMA, l’établissement dépositaire indiqué est : CACEIS Bank Belgium Branch Détails complémentaires Il s’agit de l’établissement en charge de la fonction de dépôt du fonds.</t>
  </si>
  <si>
    <t xml:space="preserve">Q0168</t>
  </si>
  <si>
    <t xml:space="preserve">Résultat Information trouvée Pour le fonds GEMMA, le SRI disponible dans les données consultées est : SRI : 3 Détails complémentaires Je ne trouve pas d’historique mensuel permettant d’identifier explicitement la valeur du SRI au mois précédent. La valeur de risque actuellement disponible pour GEMMA est de 3.</t>
  </si>
  <si>
    <t xml:space="preserve">Q0169</t>
  </si>
  <si>
    <t xml:space="preserve">Au passage, en quelle devise est tenue sa comptabilité ?</t>
  </si>
  <si>
    <t xml:space="preserve">Résultat Information trouvée Pour le fonds GEMMA, la devise de comptabilité est : EUR (€) Détails complémentaires La comptabilité du fonds est donc tenue en euro.</t>
  </si>
  <si>
    <t xml:space="preserve">Q0170</t>
  </si>
  <si>
    <t xml:space="preserve">Pour compléter la fiche, quelle forme juridique est indiquée ?</t>
  </si>
  <si>
    <t xml:space="preserve">Résultat Information trouvée Pour le fonds GEMMA, la forme juridique indiquée est : SICAV Détails complémentaires GEMMA est donc constitué sous la forme d’une Société d’Investissement à Capital Variable (SICAV).</t>
  </si>
  <si>
    <t xml:space="preserve">Q0171</t>
  </si>
  <si>
    <t xml:space="preserve">C035</t>
  </si>
  <si>
    <t xml:space="preserve">Pour R-co Thematic Real Estate, quelle est sa classe d’actifs ?</t>
  </si>
  <si>
    <t xml:space="preserve">Résultat Pour le fonds R-co Thematic Real Estate (statut Production), la classe d’actifs est : Equities Détails complémentaires Dans le référentiel Product Info, la « classe d’actifs » correspond au champ de Management d’expertise (niveau 3). Pour ce fonds, la valeur enregistrée est Equities.</t>
  </si>
  <si>
    <t xml:space="preserve">Q0172</t>
  </si>
  <si>
    <t xml:space="preserve">Résultat Aucune information disponible pour cette demande. Détails complémentaires J’ai recherché le SRI/SRRI associé à la part principale du fonds de production « R-co Thematic Real Estate » et aucune donnée historique n’est disponible dans le référentiel consulté pour déterminer le SRI du mois précédent.</t>
  </si>
  <si>
    <t xml:space="preserve">Q0173</t>
  </si>
  <si>
    <t xml:space="preserve">Résultat La classification SFDR renseignée pour le fonds R-co Thematic Real Estate est : Article 8 Détails complémentaires Cette classification est celle enregistrée sur la version du fonds en statut Production.</t>
  </si>
  <si>
    <t xml:space="preserve">Q0174</t>
  </si>
  <si>
    <t xml:space="preserve">Pour compléter la fiche, quelle catégorie AMF ESG lui est attribuée ?</t>
  </si>
  <si>
    <t xml:space="preserve">Résultat La catégorie AMF ESG attribuée au fonds R-co Thematic Real Estate est : Catégorie 2 Détails complémentaires Cette catégorie correspond à la valeur actuellement renseignée sur le fonds en statut Production.</t>
  </si>
  <si>
    <t xml:space="preserve">Q0175</t>
  </si>
  <si>
    <t xml:space="preserve">Résultat L’établissement dépositaire du fonds R-co Thematic Real Estate est : Rothschild &amp; Co Martin Maurel Détails complémentaires Il s’agit de l’établissement renseigné comme dépositaire pour la version du fonds en statut Production.</t>
  </si>
  <si>
    <t xml:space="preserve">Q0176</t>
  </si>
  <si>
    <t xml:space="preserve">C036</t>
  </si>
  <si>
    <t xml:space="preserve">Renecian</t>
  </si>
  <si>
    <t xml:space="preserve">Je regarde Renecian. Quel était le SRI du mois précédent ?</t>
  </si>
  <si>
    <t xml:space="preserve">Je trouve bien un fonds « Renecian » en statut Production, mais aucune information exploitable relative au SRI ni à son historique mensuel n’est disponible dans les données consultées. Résultat Aucune information disponible pour cette demande. Détails complémentaires Le fonds Renecian est présent dans le référentiel en Production, mais je ne retrouve pas de donnée permettant d’identifier le SRI du mois précédent.</t>
  </si>
  <si>
    <t xml:space="preserve">Q0177</t>
  </si>
  <si>
    <t xml:space="preserve">Résultat La classification SFDR renseignée pour le fonds Renecian (statut Production) est : Article 6. Détails complémentaires Fonds : Renecian Classification SFDR : Article 6</t>
  </si>
  <si>
    <t xml:space="preserve">Q0178</t>
  </si>
  <si>
    <t xml:space="preserve">RMM Trésorerie 6M</t>
  </si>
  <si>
    <t xml:space="preserve">Je passe à RMM Trésorerie 6M : quelle zone d’investissement est indiquée ?</t>
  </si>
  <si>
    <t xml:space="preserve">Résultat Aucune information disponible pour cette demande. Détails complémentaires Le fonds « RMM Trésorerie 6M » est bien présent en Production, mais aucune zone d’investissement renseignée n’a été retrouvée dans les données consultées pour ce fonds.</t>
  </si>
  <si>
    <t xml:space="preserve">Q0179</t>
  </si>
  <si>
    <t xml:space="preserve">Résultat La société de gestion renseignée pour le fonds « RMM Trésorerie 6M » est : Rothschild &amp; Co Asset Management. Détails complémentaires Fonds : RMM Trésorerie 6M Société de gestion : Rothschild &amp; Co Asset Management</t>
  </si>
  <si>
    <t xml:space="preserve">Q0180</t>
  </si>
  <si>
    <t xml:space="preserve">Je reviens à Renecian : qui est l’administrateur du fonds ? Réponds uniquement sur ce point.</t>
  </si>
  <si>
    <t xml:space="preserve">Caceis Fund Administration.</t>
  </si>
  <si>
    <t xml:space="preserve">Q0181</t>
  </si>
  <si>
    <t xml:space="preserve">C037</t>
  </si>
  <si>
    <t xml:space="preserve">Résultat Information trouvée Le gérant principal du fonds « R-co Conviction Subfin » est : Philippe LOMNE. Détails complémentaires Le fonds est en statut Production.</t>
  </si>
  <si>
    <t xml:space="preserve">Q0182</t>
  </si>
  <si>
    <t xml:space="preserve">Pour compléter la fiche, qui figure comme premier gérant de renfort ?</t>
  </si>
  <si>
    <t xml:space="preserve">Résultat Information trouvée Le premier gérant de renfort du fonds « R-co Conviction Subfin » est : Emmanuel PETIT. Détails complémentaires Le fonds est en statut Production.</t>
  </si>
  <si>
    <t xml:space="preserve">Q0183</t>
  </si>
  <si>
    <t xml:space="preserve">Résultat Information trouvée La société de gestion renseignée pour le fonds « R-co Conviction Subfin » est : Rothschild &amp; Co Asset Management. Détails complémentaires Le fonds est en statut Production.</t>
  </si>
  <si>
    <t xml:space="preserve">Q0184</t>
  </si>
  <si>
    <t xml:space="preserve">Et pour ce même produit, un deuxième gérant secondaire est-il renseigné, et lequel ? Si tu ne trouves pas, dis-le clairement.</t>
  </si>
  <si>
    <t xml:space="preserve">Résultat Information trouvée Aucun deuxième gérant secondaire n'est renseigné pour le fonds « R-co Conviction Subfin ». Détails complémentaires Le champ correspondant au deuxième gérant de renfort est vide dans les données disponibles pour ce fonds en statut Production.</t>
  </si>
  <si>
    <t xml:space="preserve">Q0185</t>
  </si>
  <si>
    <t xml:space="preserve">Résultat Information trouvée L’établissement dépositaire du fonds « R-co Conviction Subfin » est : Rothschild &amp; Co Martin Maurel. Détails complémentaires Le fonds est en statut Production.</t>
  </si>
  <si>
    <t xml:space="preserve">Q0186</t>
  </si>
  <si>
    <t xml:space="preserve">C038</t>
  </si>
  <si>
    <t xml:space="preserve">Horusia Global</t>
  </si>
  <si>
    <t xml:space="preserve">Pour Horusia Global, quelle forme juridique est indiquée ?</t>
  </si>
  <si>
    <t xml:space="preserve">Résultat Information trouvée Pour le fonds « Horusia Global », la forme juridique indiquée est : FCP.</t>
  </si>
  <si>
    <t xml:space="preserve">Q0187</t>
  </si>
  <si>
    <t xml:space="preserve">Résultat Information trouvée Pour le fonds « Horusia Global » en statut Production, la société de gestion renseignée est : Rothschild &amp; Co Asset Management.</t>
  </si>
  <si>
    <t xml:space="preserve">Q0188</t>
  </si>
  <si>
    <t xml:space="preserve">Résultat Information trouvée Pour le fonds « Horusia Global » en statut Production, le pays de domiciliation renseigné est : France.</t>
  </si>
  <si>
    <t xml:space="preserve">Q0189</t>
  </si>
  <si>
    <t xml:space="preserve">Autre point sur ce fonds : qui est indiqué comme deuxième gérant secondaire ?</t>
  </si>
  <si>
    <t xml:space="preserve">Résultat Information trouvée Aucun deuxième gérant secondaire n'est renseigné pour le fonds « Horusia Global » en statut Production. Détails complémentaires Aucune information disponible dans le champ correspondant au deuxième gérant secondaire.</t>
  </si>
  <si>
    <t xml:space="preserve">Q0190</t>
  </si>
  <si>
    <t xml:space="preserve">Résultat Information trouvée Pour le fonds « Horusia Global » en statut Production, l’administrateur du fonds (valorisateur) renseigné est : Caceis Fund Administration. Détails complémentaires Aucune autre information complémentaire pertinente n’est renseignée pour cette demande.</t>
  </si>
  <si>
    <t xml:space="preserve">Q0191</t>
  </si>
  <si>
    <t xml:space="preserve">C039</t>
  </si>
  <si>
    <t xml:space="preserve">R-co Core Equity Europe</t>
  </si>
  <si>
    <t xml:space="preserve">Je regarde R-co Core Equity Europe. Qui est renseigné comme société de gestion ?</t>
  </si>
  <si>
    <t xml:space="preserve">Résultat Information trouvée Pour le fonds « R-co Core Equity Europe », la société de gestion renseignée est : Rothschild &amp; Co Asset Management Détails complémentaires Le fonds trouvé dans le référentiel est présent uniquement sous des statuts historiques (Historisé et Dissous). La société de gestion renseignée est identique sur les enregistrements retrouvés.</t>
  </si>
  <si>
    <t xml:space="preserve">Q0192</t>
  </si>
  <si>
    <t xml:space="preserve">Et pour ce même produit, quelle zone d’investissement est indiquée ?</t>
  </si>
  <si>
    <t xml:space="preserve">Europe</t>
  </si>
  <si>
    <t xml:space="preserve">Résultat Information trouvée Aucune information disponible pour cette demande. Détails complémentaires Pour les enregistrements retrouvés de « R-co Core Equity Europe », aucune zone d’investissement n’est renseignée dans le référentiel. Les deux versions du produit retrouvées (Historisée et Dissoute) ne comportent pas de zone d’investissement associée.</t>
  </si>
  <si>
    <t xml:space="preserve">Q0193</t>
  </si>
  <si>
    <t xml:space="preserve">Autre point sur ce fonds : quelle est sa note de risque officielle ?</t>
  </si>
  <si>
    <t xml:space="preserve">Résultat Information trouvée Aucune information disponible pour cette demande. Détails complémentaires Pour les enregistrements retrouvés du fonds « R-co Core Equity Europe », la note de risque officielle n'est pas renseignée dans le référentiel. Les versions Historisée et Dissoute du fonds ne contiennent pas de valeur pour cette information.</t>
  </si>
  <si>
    <t xml:space="preserve">Q0194</t>
  </si>
  <si>
    <t xml:space="preserve">Résultat Information trouvée L’administrateur du fonds « R-co Core Equity Europe » est : Caceis Fund Administration Détails complémentaires Cette information est identique sur les deux enregistrements retrouvés du fonds dans le référentiel (Historisé et Dissous).</t>
  </si>
  <si>
    <t xml:space="preserve">Q0195</t>
  </si>
  <si>
    <t xml:space="preserve">Résultat Information trouvée Pour le fonds « R-co Core Equity Europe », la durée de détention recommandée est : 5 ans Détails complémentaires Cette durée est identique sur les deux enregistrements retrouvés du fonds dans le référentiel (Historisé et Dissous).</t>
  </si>
  <si>
    <t xml:space="preserve">Q0196</t>
  </si>
  <si>
    <t xml:space="preserve">C040</t>
  </si>
  <si>
    <t xml:space="preserve">R-co MF Obli Crédit Euro</t>
  </si>
  <si>
    <t xml:space="preserve">Je prépare une fiche sur R-co MF Obli Crédit Euro : quelle société de gestion est indiquée ?</t>
  </si>
  <si>
    <t xml:space="preserve">Résultat Information trouvée Pour le fonds « R-co MF Obli Crédit Euro » en statut Production, la société de gestion indiquée est : « Rothschild &amp; Co Asset Management ». Détails complémentaires Le fonds « R-co MF Obli Crédit Euro » est bien présent dans le référentiel avec une version en statut Production, rattachée à cette société de gestion.</t>
  </si>
  <si>
    <t xml:space="preserve">Q0197</t>
  </si>
  <si>
    <t xml:space="preserve">Résultat Information trouvée Pour le fonds « R-co MF Obli Crédit Euro » en statut Production, l’établissement dépositaire indiqué est : « Rothschild &amp; Co Martin Maurel ». Détails complémentaires Cette information correspond au dépositaire enregistré pour le fonds dans le référentiel Product Info.</t>
  </si>
  <si>
    <t xml:space="preserve">Q0198</t>
  </si>
  <si>
    <t xml:space="preserve">Résultat Information trouvée Pour le fonds « R-co MF Obli Crédit Euro » en statut Production, l’administrateur du fonds (valorisateur) est : « Caceis Fund Administration ». Détails complémentaires Cette entité est renseignée comme administrateur du fonds dans le référentiel Product Info.</t>
  </si>
  <si>
    <t xml:space="preserve">Q0199</t>
  </si>
  <si>
    <t xml:space="preserve">Pour compléter la fiche, tu as le nom du CAC ?</t>
  </si>
  <si>
    <t xml:space="preserve">Résultat Information trouvée Pour le fonds « R-co MF Obli Crédit Euro » en statut Production, le commissaire aux comptes (CAC) indiqué est : « Deloitte &amp; Associés ». Détails complémentaires Cette société est enregistrée comme commissaire aux comptes du fonds dans le référentiel Product Info.</t>
  </si>
  <si>
    <t xml:space="preserve">Q0200</t>
  </si>
  <si>
    <t xml:space="preserve">Sans changer de fonds, qui est le centralisateur ?</t>
  </si>
  <si>
    <t xml:space="preserve">Résultat Information trouvée Pour le fonds « R-co MF Obli Crédit Euro » en statut Production, le centralisateur indiqué est : « Rothschild &amp; Co Martin Maurel ». Détails complémentaires Le centralisateur et le dépositaire renseignés pour ce fonds sont la même entité : « Rothschild &amp; Co Martin Maurel ».</t>
  </si>
  <si>
    <t xml:space="preserve">Q0201</t>
  </si>
  <si>
    <t xml:space="preserve">C041</t>
  </si>
  <si>
    <t xml:space="preserve">Pour R-co Target 2029 HY, quel gérant est indiqué en premier ?</t>
  </si>
  <si>
    <t xml:space="preserve">Résultat Information trouvée Pour le fonds « R-co Target 2029 HY », le gérant indiqué en premier (gérant principal) est : Kristell AGAESSE Détails complémentaires Un gérant secondaire est également renseigné sur ce fonds, mais le premier gérant indiqué est bien Kristell AGAESSE.</t>
  </si>
  <si>
    <t xml:space="preserve">Q0202</t>
  </si>
  <si>
    <t xml:space="preserve">Résultat Information trouvée L’administrateur du fonds « R-co Target 2029 HY » est : Caceis Fund Administration Détails complémentaires Il s’agit du valorisateur / administrateur de fonds renseigné pour ce fonds en production.</t>
  </si>
  <si>
    <t xml:space="preserve">Q0203</t>
  </si>
  <si>
    <t xml:space="preserve">Je passe à R-co Conviction High Yield Euro : c’est un fonds de quelle classe d’actifs ?</t>
  </si>
  <si>
    <t xml:space="preserve">Résultat Information trouvée Pour le fonds « R-co Conviction High Yield Euro », la classe d’actifs est : Fixed Income Détails complémentaires Dans le référentiel Product Info, cette information est portée par le champ « Classe d’actif » (Management Expertise niveau 3).</t>
  </si>
  <si>
    <t xml:space="preserve">Q0204</t>
  </si>
  <si>
    <t xml:space="preserve">Résultat Information trouvée Pour le fonds « R-co Conviction High Yield Euro », la zone d’investissement indiquée est : Zone euro Détails complémentaires Aucune autre zone d’investissement n’est renseignée pour ce fonds dans les données retournées.</t>
  </si>
  <si>
    <t xml:space="preserve">Q0205</t>
  </si>
  <si>
    <t xml:space="preserve">Fund of Funds</t>
  </si>
  <si>
    <t xml:space="preserve">Je reviens à R-co Target 2029 HY : le champ fonds de fonds indique quoi ?</t>
  </si>
  <si>
    <t xml:space="preserve">Résultat Information trouvée Pour le fonds « R-co Target 2029 HY », le champ « Fonds de fonds » indique : Non Détails complémentaires Le fonds n’est donc pas qualifié comme fonds de fonds dans le référentiel Product Info.</t>
  </si>
  <si>
    <t xml:space="preserve">Q0206</t>
  </si>
  <si>
    <t xml:space="preserve">C042</t>
  </si>
  <si>
    <t xml:space="preserve">R-co Etoile</t>
  </si>
  <si>
    <t xml:space="preserve">Je regarde R-co Etoile. Qui est l’administrateur du fonds ?</t>
  </si>
  <si>
    <t xml:space="preserve">Résultat Information trouvée Pour le fonds R-co Etoile, l’administrateur du fonds (valorisateur) est : Caceis Fund Administration. Détails complémentaires Le fonds consulté est en statut Production.</t>
  </si>
  <si>
    <t xml:space="preserve">Q0207</t>
  </si>
  <si>
    <t xml:space="preserve">Pour compléter la fiche, est-ce que tu as sa forme juridique ?</t>
  </si>
  <si>
    <t xml:space="preserve">Résultat Information trouvée La forme juridique du fonds R-co Etoile est : FCP (Fonds Commun de Placement). Détails complémentaires Aucune autre forme juridique n’est associée à ce fonds dans le référentiel.</t>
  </si>
  <si>
    <t xml:space="preserve">Q0208</t>
  </si>
  <si>
    <t xml:space="preserve">Sans changer de fonds, qui est le dépositaire ?</t>
  </si>
  <si>
    <t xml:space="preserve">Résultat Information trouvée Pour le fonds R-co Etoile, le dépositaire est : Caceis Bank. Détails complémentaires Le fonds consulté est en statut Production.</t>
  </si>
  <si>
    <t xml:space="preserve">Q0209</t>
  </si>
  <si>
    <t xml:space="preserve">Et pour ce même produit, qui apparaît comme troisième gérant secondaire ?</t>
  </si>
  <si>
    <t xml:space="preserve">Résultat Information trouvée Pour le fonds R-co Etoile, aucun troisième gérant secondaire n’est renseigné. Détails complémentaires Le champ correspondant au troisième gérant secondaire est vide pour ce fonds en statut Production.</t>
  </si>
  <si>
    <t xml:space="preserve">Q0210</t>
  </si>
  <si>
    <t xml:space="preserve">Autre point sur ce fonds : il relève de quel article SFDR ?</t>
  </si>
  <si>
    <t xml:space="preserve">Résultat Information trouvée Le fonds R-co Etoile relève de la catégorie Article 8 SFDR. Détails complémentaires La classification SFDR enregistrée pour ce fonds en Production est : Article 8.</t>
  </si>
  <si>
    <t xml:space="preserve">Q0211</t>
  </si>
  <si>
    <t xml:space="preserve">C043</t>
  </si>
  <si>
    <t xml:space="preserve">Je prépare une fiche sur R-co Thematic Blockchain Global Equity : quel administrateur est renseigné ?</t>
  </si>
  <si>
    <t xml:space="preserve">Résultat Information trouvée Pour le fonds « R-co Thematic Blockchain Global Equity », l’administrateur (valorisateur) renseigné est : Caceis Fund Administration. Détails complémentaires Le fonds est présent en statut Production.</t>
  </si>
  <si>
    <t xml:space="preserve">Q0212</t>
  </si>
  <si>
    <t xml:space="preserve">Sans changer de fonds, quelle est sa devise comptable ?</t>
  </si>
  <si>
    <t xml:space="preserve">Résultat Information trouvée La devise comptable du fonds « R-co Thematic Blockchain Global Equity » est : EUR. Détails complémentaires Il s'agit de la devise de comptabilité du fonds en statut Production.</t>
  </si>
  <si>
    <t xml:space="preserve">Q0213</t>
  </si>
  <si>
    <t xml:space="preserve">Et pour ce même produit, le champ fonds de fonds indique quoi ?</t>
  </si>
  <si>
    <t xml:space="preserve">Résultat Information trouvée Pour le fonds « R-co Thematic Blockchain Global Equity », le champ « Fonds de fonds » est renseigné à : Non. Détails complémentaires Le fonds n'est donc pas identifié comme un fonds de fonds dans le référentiel.</t>
  </si>
  <si>
    <t xml:space="preserve">Q0214</t>
  </si>
  <si>
    <t xml:space="preserve">Autre point sur ce fonds : y a-t-il un troisième gérant secondaire renseigné ? Si tu ne trouves pas, dis-le clairement.</t>
  </si>
  <si>
    <t xml:space="preserve">Résultat Information trouvée Pour le fonds « R-co Thematic Blockchain Global Equity », aucun troisième gérant secondaire n'est renseigné. Détails complémentaires La recherche ne retourne aucune valeur pour le champ correspondant au troisième gérant secondaire. D'après les données disponibles, il n'y a donc pas de troisième gérant secondaire enregistré pour ce fonds.</t>
  </si>
  <si>
    <t xml:space="preserve">Q0215</t>
  </si>
  <si>
    <t xml:space="preserve">Au passage, quelle classification SFDR est renseignée ? Réponds uniquement sur ce point.</t>
  </si>
  <si>
    <t xml:space="preserve">Résultat La classification SFDR renseignée pour « R-co Thematic Blockchain Global Equity » est : Article 8.</t>
  </si>
  <si>
    <t xml:space="preserve">Q0216</t>
  </si>
  <si>
    <t xml:space="preserve">C044</t>
  </si>
  <si>
    <t xml:space="preserve">Recloses Patrimoine Dynamic</t>
  </si>
  <si>
    <t xml:space="preserve">Pour Recloses Patrimoine Dynamic, il relève de quel article SFDR ?</t>
  </si>
  <si>
    <t xml:space="preserve">Résultat Information trouvée Le fonds Recloses Patrimoine Dynamic relève de l’Article 8 SFDR. Détails complémentaires Statut du fonds : Production Catégorie SFDR : Article 8 (promotion de caractéristiques environnementales et/ou sociales)</t>
  </si>
  <si>
    <t xml:space="preserve">Q0217</t>
  </si>
  <si>
    <t xml:space="preserve">Hybrid</t>
  </si>
  <si>
    <t xml:space="preserve">Résultat Information trouvée Pour le fonds Recloses Patrimoine Dynamic, le champ Fonds de fonds est renseigné à : Hybride Détails complémentaires Cela signifie que le fonds est catégorisé comme un fonds de fonds de type hybride dans le référentiel Product Info.</t>
  </si>
  <si>
    <t xml:space="preserve">Q0218</t>
  </si>
  <si>
    <t xml:space="preserve">Autre point sur ce fonds : la prise en compte des PAI est-elle indiquée ?</t>
  </si>
  <si>
    <t xml:space="preserve">Résultat Information trouvée Pour le fonds Recloses Patrimoine Dynamic, la prise en compte des PAI (Principal Adverse Impacts) est indiquée comme : Oui Détails complémentaires Les indicateurs ESG/EET associés à la prise en compte des incidences négatives principales sont renseignés à « Oui » pour ce fonds. Cela confirme que les PAI sont pris en considération dans le référentiel produit.</t>
  </si>
  <si>
    <t xml:space="preserve">Q0219</t>
  </si>
  <si>
    <t xml:space="preserve">Au passage, quelle est sa classe d’actifs ?</t>
  </si>
  <si>
    <t xml:space="preserve">Résultat Information trouvée Pour le fonds Recloses Patrimoine Dynamic, la classe d’actifs est : Diversified Détails complémentaires Le chemin de management d’expertise associé au fonds est : Diversified Private Wealth Private Wealth Wealth Management Selon le référentiel Product Info, la classe d’actifs correspond au niveau le plus fin de ce chemin, soit Diversified.</t>
  </si>
  <si>
    <t xml:space="preserve">Q0220</t>
  </si>
  <si>
    <t xml:space="preserve">Fund Range</t>
  </si>
  <si>
    <t xml:space="preserve">Pour compléter la fiche, à quelle gamme appartient-il ?</t>
  </si>
  <si>
    <t xml:space="preserve">RMM</t>
  </si>
  <si>
    <t xml:space="preserve">Résultat Information trouvée Le fonds Recloses Patrimoine Dynamic appartient à la gamme : RMM Détails complémentaires Cette information est renseignée dans le référentiel produit au niveau de la gamme du fonds.</t>
  </si>
  <si>
    <t xml:space="preserve">Q0221</t>
  </si>
  <si>
    <t xml:space="preserve">C045</t>
  </si>
  <si>
    <t xml:space="preserve">Je regarde R-co Thematic Real Estate. Le champ fonds de fonds indique quoi ?</t>
  </si>
  <si>
    <t xml:space="preserve">Résultat Pour le fonds « R-co Thematic Real Estate » en statut Production, le champ « Fonds de fonds » est renseigné à : Non Le fonds n'est donc pas qualifié comme un fonds de fonds dans le référentiel.</t>
  </si>
  <si>
    <t xml:space="preserve">Q0222</t>
  </si>
  <si>
    <t xml:space="preserve">Autre point sur ce fonds : quel est le premier gérant secondaire ?</t>
  </si>
  <si>
    <t xml:space="preserve">Résultat Pour le fonds « R-co Thematic Real Estate » en statut Production, le premier gérant secondaire est : Thierry Rigaudière Détails complémentaires Il est renseigné comme gérant secondaire 1 du fonds.</t>
  </si>
  <si>
    <t xml:space="preserve">Q0223</t>
  </si>
  <si>
    <t xml:space="preserve">Résultat Pour le fonds « R-co Thematic Real Estate », la classe d’actifs est : Equities Détails complémentaires Cette information correspond à la classe d’actifs rattachée au fonds en Production.</t>
  </si>
  <si>
    <t xml:space="preserve">Q0224</t>
  </si>
  <si>
    <t xml:space="preserve">FDS25507</t>
  </si>
  <si>
    <t xml:space="preserve">Résultat Pour le fonds « R-co Thematic Real Estate », le code AMF renseigné est : FDS25507 Détails complémentaires Code AMF enregistré sur la version du fonds en Production.</t>
  </si>
  <si>
    <t xml:space="preserve">Q0225</t>
  </si>
  <si>
    <t xml:space="preserve">Sans changer de fonds, quelle est sa note de risque officielle ?</t>
  </si>
  <si>
    <t xml:space="preserve">Résultat Aucune information disponible pour cette demande. Détails complémentaires Pour le fonds « R-co Thematic Real Estate » en Production, aucune valeur n'est renseignée dans le champ correspondant à la note de risque officielle.</t>
  </si>
  <si>
    <t xml:space="preserve">Q0226</t>
  </si>
  <si>
    <t xml:space="preserve">C046</t>
  </si>
  <si>
    <t xml:space="preserve">Fairwin Evolution Strategy</t>
  </si>
  <si>
    <t xml:space="preserve">Je prépare une fiche sur Fairwin Evolution Strategy : quelle société de gestion est indiquée ?</t>
  </si>
  <si>
    <t xml:space="preserve">Résultat Pour le fonds/produit « Fairwin Evolution Strategy », la société de gestion indiquée est : Rothschild &amp; Co Asset Management Donnée trouvée dans le référentiel Product Info pour le fonds en statut Production.</t>
  </si>
  <si>
    <t xml:space="preserve">Q0227</t>
  </si>
  <si>
    <t xml:space="preserve">Résultat Pour « Fairwin Evolution Strategy », l’établissement dépositaire indiqué est : Caceis Bank Détails complémentaires Société de gestion : Rothschild &amp; Co Asset Management Dépositaire : Caceis Bank</t>
  </si>
  <si>
    <t xml:space="preserve">Q0228</t>
  </si>
  <si>
    <t xml:space="preserve">Je passe à 5m Invest : quel code AMF est renseigné ?</t>
  </si>
  <si>
    <t xml:space="preserve">FDS73719</t>
  </si>
  <si>
    <t xml:space="preserve">Résultat Pour le fonds « 5m Invest », le code AMF renseigné est : FDS73719 Détails complémentaires Fonds : 5m Invest Code AMF : FDS73719</t>
  </si>
  <si>
    <t xml:space="preserve">Q0229</t>
  </si>
  <si>
    <t xml:space="preserve">Sans changer de fonds, en quelle devise est tenue sa comptabilité ?</t>
  </si>
  <si>
    <t xml:space="preserve">Résultat Pour le fonds « 5m Invest », la devise de comptabilité est : EUR (euro) Détails complémentaires Fonds : 5m Invest Devise de comptabilité : EUR (euro)</t>
  </si>
  <si>
    <t xml:space="preserve">Q0230</t>
  </si>
  <si>
    <t xml:space="preserve">Je reviens à Fairwin Evolution Strategy : quelle forme juridique est indiquée ?</t>
  </si>
  <si>
    <t xml:space="preserve">Résultat Pour « Fairwin Evolution Strategy », la forme juridique indiquée est : FCP (Fonds Commun de Placement) Détails complémentaires Fonds : Fairwin Evolution Strategy Forme juridique : FCP (Fonds Commun de Placement)</t>
  </si>
  <si>
    <t xml:space="preserve">Q0231</t>
  </si>
  <si>
    <t xml:space="preserve">C047</t>
  </si>
  <si>
    <t xml:space="preserve">R-co Valor Equity</t>
  </si>
  <si>
    <t xml:space="preserve">Pour R-co Valor Equity, quelle est sa classe d’actifs ?</t>
  </si>
  <si>
    <t xml:space="preserve">Résultat Information trouvée Pour le fonds R-co Valor Equity, la classe d’actifs est : Equities Détails complémentaires Le chemin de classification de l’expertise de gestion est : Equities &gt; Core &gt; EQUITIES &gt; DIRECT INVESTMENT Cette information provient du fonds en statut Production.</t>
  </si>
  <si>
    <t xml:space="preserve">Q0232</t>
  </si>
  <si>
    <t xml:space="preserve">FDS104644</t>
  </si>
  <si>
    <t xml:space="preserve">Résultat Information trouvée Le code AMF renseigné pour le fonds R-co Valor Equity est : FDS104644 Détails complémentaires Aucune autre information complémentaire pertinente n’est associée à cette demande.</t>
  </si>
  <si>
    <t xml:space="preserve">Q0233</t>
  </si>
  <si>
    <t xml:space="preserve">Résultat Information trouvée La classification SFDR renseignée pour le fonds R-co Valor Equity est : Article 8 Détails complémentaires Cette classification correspond à un fonds promouvant des caractéristiques environnementales et/ou sociales au sens du règlement SFDR.</t>
  </si>
  <si>
    <t xml:space="preserve">Q0234</t>
  </si>
  <si>
    <t xml:space="preserve">Résultat Information trouvée Aucune valeur de plafond de frais de gestion n'est renseignée pour le fonds R-co Valor Equity. Détails complémentaires Le champ correspondant au plafond de frais de gestion est présent dans la fiche du fonds, mais aucune donnée n'y est actuellement enregistrée pour ce produit en statut Production.</t>
  </si>
  <si>
    <t xml:space="preserve">Q0235</t>
  </si>
  <si>
    <t xml:space="preserve">Autre point sur ce fonds : le champ PAI est-il à oui ou à non ?</t>
  </si>
  <si>
    <t xml:space="preserve">Résultat Aucune information disponible pour cette demande. Détails complémentaires Je ne retrouve pas de champ identifié explicitement comme « PAI » dans les données consultables du fonds R-co Valor Equity. Sans correspondance métier explicite entre l’intitulé « PAI » et un champ du référentiel, je ne peux pas déterminer de façon fiable si la valeur est « Oui » ou « Non ».</t>
  </si>
  <si>
    <t xml:space="preserve">Q0236</t>
  </si>
  <si>
    <t xml:space="preserve">C048</t>
  </si>
  <si>
    <t xml:space="preserve">Elan Orchestra</t>
  </si>
  <si>
    <t xml:space="preserve">Je regarde Elan Orchestra. Quel code AMF est renseigné ?</t>
  </si>
  <si>
    <t xml:space="preserve">FDS564</t>
  </si>
  <si>
    <t xml:space="preserve">non capturé</t>
  </si>
  <si>
    <t xml:space="preserve">Q0237</t>
  </si>
  <si>
    <t xml:space="preserve">Q0238</t>
  </si>
  <si>
    <t xml:space="preserve">Q0239</t>
  </si>
  <si>
    <t xml:space="preserve">Transfer Agent</t>
  </si>
  <si>
    <t xml:space="preserve">Autre point sur ce fonds : qui assure la fonction d’agent de transfert ?</t>
  </si>
  <si>
    <t xml:space="preserve">Q0240</t>
  </si>
  <si>
    <t xml:space="preserve">Q0241</t>
  </si>
  <si>
    <t xml:space="preserve">C049</t>
  </si>
  <si>
    <t xml:space="preserve">Je prépare une fiche sur R-co Conviction High Yield SD Euro : peux-tu me donner le nom du gérant principal ?</t>
  </si>
  <si>
    <t xml:space="preserve">LONGEARD Michaël</t>
  </si>
  <si>
    <t xml:space="preserve">Résultat Le gérant principal du fonds « R-co Conviction High Yield SD Euro » est : Michaël LONGEARD Cette information provient de la version du fonds en statut Production.</t>
  </si>
  <si>
    <t xml:space="preserve">Q0242</t>
  </si>
  <si>
    <t xml:space="preserve">Et pour ce même produit, qui figure comme premier gérant de renfort ?</t>
  </si>
  <si>
    <t xml:space="preserve">Résultat Le premier gérant de renfort du fonds « R-co Conviction High Yield SD Euro » est : Kristell AGAESSE Détails complémentaires Le fonds considéré est la version en statut Production.</t>
  </si>
  <si>
    <t xml:space="preserve">Q0243</t>
  </si>
  <si>
    <t xml:space="preserve">Je ne trouve pas de champ métier identifié explicitement comme « PAI » dans les métadonnées disponibles du référentiel produit. Comme plusieurs attributs ESG peuvent être associés à la notion de PAI (Principal Adverse Impacts), je ne peux pas déterminer de manière fiable lequel vous souhaitez consulter pour « R-co Conviction High Yield SD Euro » sans ambiguïté. Pouvez-vous me préciser l’intitulé exact du champ PAI tel qu’il apparaît dans votre fiche produit ou dans l’application ?</t>
  </si>
  <si>
    <t xml:space="preserve">Q0244</t>
  </si>
  <si>
    <t xml:space="preserve">Au passage, y a-t-il un troisième gérant secondaire renseigné ?</t>
  </si>
  <si>
    <t xml:space="preserve">Résultat Oui, un troisième gérant secondaire est renseigné pour le fonds « R-co Conviction High Yield SD Euro ». Emmanuel PETIT Détails complémentaires Cette information correspond à la version du fonds en statut Production.</t>
  </si>
  <si>
    <t xml:space="preserve">Q0245</t>
  </si>
  <si>
    <t xml:space="preserve">Résultat La classification SFDR renseignée pour le fonds « R-co Conviction High Yield SD Euro » est : Article 8 Détails complémentaires L'information provient de la version du fonds en statut Production.</t>
  </si>
  <si>
    <t xml:space="preserve">Q0246</t>
  </si>
  <si>
    <t xml:space="preserve">C050</t>
  </si>
  <si>
    <t xml:space="preserve">BDCP Conviction</t>
  </si>
  <si>
    <t xml:space="preserve">Pour BDCP Conviction, quelle forme juridique est indiquée ?</t>
  </si>
  <si>
    <t xml:space="preserve">Q0247</t>
  </si>
  <si>
    <t xml:space="preserve">Q0248</t>
  </si>
  <si>
    <t xml:space="preserve">Au passage, où est-il domicilié ?</t>
  </si>
  <si>
    <t xml:space="preserve">Q0249</t>
  </si>
  <si>
    <t xml:space="preserve">Q0250</t>
  </si>
  <si>
    <t xml:space="preserve">Sans changer de fonds, qui gère principalement ce fonds ? Réponds uniquement sur ce point.</t>
  </si>
  <si>
    <t xml:space="preserve">PALLIERES (DE) Guillaume</t>
  </si>
  <si>
    <t xml:space="preserve">Q0251</t>
  </si>
  <si>
    <t xml:space="preserve">C051</t>
  </si>
  <si>
    <t xml:space="preserve">R-co Target 2030 IG</t>
  </si>
  <si>
    <t xml:space="preserve">Je regarde R-co Target 2030 IG. Le champ PAI est-il à oui ou à non ?</t>
  </si>
  <si>
    <t xml:space="preserve">Résultat Pour le fonds « R-co Target 2030 IG », le champ PAI est à « Oui ». Détails complémentaires L’information est renseignée à « Oui » sur le fonds en statut Production.</t>
  </si>
  <si>
    <t xml:space="preserve">Q0252</t>
  </si>
  <si>
    <t xml:space="preserve">Résultat Pour le fonds « R-co Target 2030 IG », la zone d’investissement indiquée est : Monde Détails complémentaires La zone d’investissement de niveau référentiel est renseignée à « Monde » pour ce fonds en Production.</t>
  </si>
  <si>
    <t xml:space="preserve">Q0253</t>
  </si>
  <si>
    <t xml:space="preserve">Je passe à R-co Conviction High Yield SD Euro : quelle est sa note de risque officielle ?</t>
  </si>
  <si>
    <t xml:space="preserve">Résultat Pour le fonds « R-co Conviction High Yield SD Euro », la note de risque officielle est : 2 Détails complémentaires Les informations de risque disponibles pour ce fonds en Production indiquent une valeur de 2.</t>
  </si>
  <si>
    <t xml:space="preserve">Q0254</t>
  </si>
  <si>
    <t xml:space="preserve">Résultat Le gérant principal du fonds « R-co Conviction High Yield SD Euro » est : Michaël LONGEARD Détails complémentaires Il est renseigné comme gérant principal du fonds en Production.</t>
  </si>
  <si>
    <t xml:space="preserve">Q0255</t>
  </si>
  <si>
    <t xml:space="preserve">Je reviens à R-co Target 2030 IG : sur combien de temps est-il conseillé de le conserver ?</t>
  </si>
  <si>
    <t xml:space="preserve">Until 31 December 2030</t>
  </si>
  <si>
    <t xml:space="preserve">Résultat Pour le fonds « R-co Target 2030 IG », la durée de détention recommandée est : Jusqu'au 31 décembre 2030 Détails complémentaires Cette durée de détention recommandée est celle renseignée pour le fonds en Production.</t>
  </si>
  <si>
    <t xml:space="preserve">Q0256</t>
  </si>
  <si>
    <t xml:space="preserve">C052</t>
  </si>
  <si>
    <t xml:space="preserve">Alchemy</t>
  </si>
  <si>
    <t xml:space="preserve">Je prépare une fiche sur Alchemy : quelle société de gestion est indiquée ?</t>
  </si>
  <si>
    <t xml:space="preserve">Q0257</t>
  </si>
  <si>
    <t xml:space="preserve">Q0258</t>
  </si>
  <si>
    <t xml:space="preserve">IGNATIEW Yoann</t>
  </si>
  <si>
    <t xml:space="preserve">Q0259</t>
  </si>
  <si>
    <t xml:space="preserve">Et pour ce même produit, quelle fréquence de VL est indiquée ? Si tu ne trouves pas, dis-le clairement.</t>
  </si>
  <si>
    <t xml:space="preserve">Q0260</t>
  </si>
  <si>
    <t xml:space="preserve">Autre point sur ce fonds : qui est le commissaire aux comptes ?</t>
  </si>
  <si>
    <t xml:space="preserve">Deloitte Réviseurs d'Entreprises</t>
  </si>
  <si>
    <t xml:space="preserve">Q0261</t>
  </si>
  <si>
    <t xml:space="preserve">C053</t>
  </si>
  <si>
    <t xml:space="preserve">R-co Target 2032 HY</t>
  </si>
  <si>
    <t xml:space="preserve">Pour R-co Target 2032 HY, quel gérant est indiqué en premier ?</t>
  </si>
  <si>
    <t xml:space="preserve">Résultat Pour le fonds R-co Target 2032 HY, le gérant indiqué en premier (gérant principal) est : Kristell AGAESSE Détails complémentaires Un gérant secondaire est également renseigné pour ce fonds, mais le premier gérant indiqué est bien Kristell AGAESSE.</t>
  </si>
  <si>
    <t xml:space="preserve">Q0262</t>
  </si>
  <si>
    <t xml:space="preserve">Sans changer de fonds, qui est le premier cogérant indiqué ?</t>
  </si>
  <si>
    <t xml:space="preserve">Résultat Pour le fonds R-co Target 2032 HY, le premier cogérant indiqué (gérant secondaire 1) est : Michaël LONGEARD Détails complémentaires Aucun autre détail n’est nécessaire pour identifier le premier cogérant de ce fonds.</t>
  </si>
  <si>
    <t xml:space="preserve">Q0263</t>
  </si>
  <si>
    <t xml:space="preserve">Et pour ce même produit, c’est un fonds de quelle classe d’actifs ?</t>
  </si>
  <si>
    <t xml:space="preserve">Résultat Pour le fonds R-co Target 2032 HY, la classe d’actifs est : Fixed Income (obligataire) Détails complémentaires Le chemin d’expertise associé au fonds est : Direct Investment Fixed Income High Yield Fixed Income Cela correspond à un fonds obligataire spécialisé sur le segment High Yield.</t>
  </si>
  <si>
    <t xml:space="preserve">Q0264</t>
  </si>
  <si>
    <t xml:space="preserve">Autre point sur ce fonds : quel code AMF est renseigné ?</t>
  </si>
  <si>
    <t xml:space="preserve">Résultat Aucune information disponible pour cette demande. Détails complémentaires Pour le fonds R-co Target 2032 HY, aucun code AMF n'est renseigné dans le référentiel.</t>
  </si>
  <si>
    <t xml:space="preserve">Q0265</t>
  </si>
  <si>
    <t xml:space="preserve">Au passage, quel pays de domiciliation est renseigné ?</t>
  </si>
  <si>
    <t xml:space="preserve">Résultat Pour le fonds R-co Target 2032 HY, le pays de domiciliation renseigné est : France Détails complémentaires Aucune autre information de domiciliation n'est renseignée au niveau du fonds.</t>
  </si>
  <si>
    <t xml:space="preserve">Q0266</t>
  </si>
  <si>
    <t xml:space="preserve">C054</t>
  </si>
  <si>
    <t xml:space="preserve">R-co OPAL Modéré</t>
  </si>
  <si>
    <t xml:space="preserve">Je regarde R-co OPAL Modéré. Qui gère principalement ce fonds ?</t>
  </si>
  <si>
    <t xml:space="preserve">TERRAS Marc</t>
  </si>
  <si>
    <t xml:space="preserve">Résultat Information trouvée Le gérant principal du fonds « R-co OPAL Modéré » en statut Production est : Marc TERRAS Cette information est issue de la fiche du fonds en Production, où Marc TERRAS est renseigné comme gérant principal. Détails complémentaires Le fonds « R-co OPAL Modéré » est bien présent en statut Production dans le référentiel.</t>
  </si>
  <si>
    <t xml:space="preserve">Q0267</t>
  </si>
  <si>
    <t xml:space="preserve">Et pour ce même produit, est-ce que tu as sa forme juridique ?</t>
  </si>
  <si>
    <t xml:space="preserve">Résultat Information trouvée La forme juridique du fonds « R-co OPAL Modéré » est : FCP (Fonds Commun de Placement) Détails complémentaires L'information provient de la fiche du fonds en statut Production.</t>
  </si>
  <si>
    <t xml:space="preserve">Q0268</t>
  </si>
  <si>
    <t xml:space="preserve">Autre point sur ce fonds : qui est le dépositaire ?</t>
  </si>
  <si>
    <t xml:space="preserve">Résultat Information trouvée Le dépositaire du fonds « R-co OPAL Modéré » est : Rothschild &amp; Co Martin Maurel Détails complémentaires Cette information est issue de la fiche du fonds en statut Production.</t>
  </si>
  <si>
    <t xml:space="preserve">Q0269</t>
  </si>
  <si>
    <t xml:space="preserve">Résultat Information trouvée La région d’investissement du fonds « R-co OPAL Modéré » est : Monde Détails complémentaires Cette information correspond à la fiche du fonds en statut Production.</t>
  </si>
  <si>
    <t xml:space="preserve">Q0270</t>
  </si>
  <si>
    <t xml:space="preserve">Pour compléter la fiche, il relève de quel article SFDR ?</t>
  </si>
  <si>
    <t xml:space="preserve">Résultat Information trouvée Le fonds « R-co OPAL Modéré » relève de : Article 8 (SFDR) Détails complémentaires L’information est issue de la fiche du fonds en statut Production.</t>
  </si>
  <si>
    <t xml:space="preserve">Q0271</t>
  </si>
  <si>
    <t xml:space="preserve">C055</t>
  </si>
  <si>
    <t xml:space="preserve">Je prépare une fiche sur R-co Conviction High Yield Euro : peux-tu me donner le nom du gérant principal ?</t>
  </si>
  <si>
    <t xml:space="preserve">Résultat Information trouvée Le gérant principal du fonds « R-co Conviction High Yield Euro » est : AGAESSE Kristell. Détails complémentaires Le fonds « R-co Conviction High Yield Euro » est actuellement en statut Production.</t>
  </si>
  <si>
    <t xml:space="preserve">Q0272</t>
  </si>
  <si>
    <t xml:space="preserve">Autre point sur ce fonds : quelle est sa devise comptable ?</t>
  </si>
  <si>
    <t xml:space="preserve">Résultat Information trouvée La devise comptable du fonds « R-co Conviction High Yield Euro » est l’euro (EUR). Détails complémentaires Symbole de la devise : €.</t>
  </si>
  <si>
    <t xml:space="preserve">Q0273</t>
  </si>
  <si>
    <t xml:space="preserve">Résultat Information trouvée Le fonds « R-co Conviction High Yield Euro » est positionné sur la région d’investissement : Zone euro. Détails complémentaires Cette région correspond au périmètre d’investissement principal défini pour le fonds.</t>
  </si>
  <si>
    <t xml:space="preserve">Q0274</t>
  </si>
  <si>
    <t xml:space="preserve">Pour compléter la fiche, sous quelle réglementation OPC est-il classé ?</t>
  </si>
  <si>
    <t xml:space="preserve">Résultat Information trouvée Le fonds « R-co Conviction High Yield Euro » est classé sous la réglementation OPCVM. Détails complémentaires Il relève donc du cadre réglementaire des Organismes de Placement Collectif en Valeurs Mobilières (OPCVM).</t>
  </si>
  <si>
    <t xml:space="preserve">Q0275</t>
  </si>
  <si>
    <t xml:space="preserve">Résultat Information trouvée La classification SFDR renseignée pour le fonds « R-co Conviction High Yield Euro » est : Article 8. Détails complémentaires Cette classification indique que le fonds promeut des caractéristiques environnementales et/ou sociales au sens du règlement SFDR.</t>
  </si>
  <si>
    <t xml:space="preserve">Q0276</t>
  </si>
  <si>
    <t xml:space="preserve">C056</t>
  </si>
  <si>
    <t xml:space="preserve">ROPS Actions Européennes 2</t>
  </si>
  <si>
    <t xml:space="preserve">Pour ROPS Actions Européennes 2, il relève de quel article SFDR ?</t>
  </si>
  <si>
    <t xml:space="preserve">Je n’ai pas pu identifier directement le fonds « ROPS Actions Européennes 2 » dans les données accessibles avec les informations actuellement retournées par Dataverse. Aucune information disponible pour cette demande.</t>
  </si>
  <si>
    <t xml:space="preserve">Q0277</t>
  </si>
  <si>
    <t xml:space="preserve">Résultat Information trouvée ROPS Actions Européennes 2 relève de l’Article 8 du règlement SFDR et sa région d’investissement est l’Europe. Détails complémentaires Article SFDR : Article 8 Région d’investissement : Europe Statut : Production</t>
  </si>
  <si>
    <t xml:space="preserve">Q0278</t>
  </si>
  <si>
    <t xml:space="preserve">RMM Invest 11</t>
  </si>
  <si>
    <t xml:space="preserve">Je passe à RMM Invest 11 : la prise en compte des PAI est-elle indiquée ?</t>
  </si>
  <si>
    <t xml:space="preserve">Résultat Pour le fonds RMM Invest 11, je ne retrouve pas d’indication renseignée sur le champ correspondant à la prise en compte des PAI dans les données retournées pour ce fonds. Détails complémentaires Fonds : RMM Invest 11 Statut : Production Catégorie SFDR : Article 6 Région d’investissement : France Aucune information disponible concernant la prise en compte des PAI pour ce fonds dans les données consultées.</t>
  </si>
  <si>
    <t xml:space="preserve">ne retrouve pas la donnée</t>
  </si>
  <si>
    <t xml:space="preserve">Revue des écarts</t>
  </si>
  <si>
    <t xml:space="preserve">Q0279</t>
  </si>
  <si>
    <t xml:space="preserve">Sans changer de fonds, quelle est sa classe d’actifs ?</t>
  </si>
  <si>
    <t xml:space="preserve">Résultat Pour le fonds RMM Invest 11, la classe d’actifs est : Equities. Détails complémentaires Dans le référentiel Product Info, la classe d’actifs correspond au champ « Management d’expertise ». Pour RMM Invest 11, cette valeur est renseignée à « Equities ».</t>
  </si>
  <si>
    <t xml:space="preserve">Q0280</t>
  </si>
  <si>
    <t xml:space="preserve">Je reviens à ROPS Actions Européennes 2 : quelle est sa devise comptable ?</t>
  </si>
  <si>
    <t xml:space="preserve">Résultat La devise comptable de ROPS Actions Européennes 2 est l’EUR (euro). Détails complémentaires Fonds : ROPS Actions Européennes 2 Devise comptable : EUR Statut : Production</t>
  </si>
  <si>
    <t xml:space="preserve">Q0281</t>
  </si>
  <si>
    <t xml:space="preserve">C057</t>
  </si>
  <si>
    <t xml:space="preserve">R-co Target 2032 IG</t>
  </si>
  <si>
    <t xml:space="preserve">Je regarde R-co Target 2032 IG. Sur quelle région d’investissement est-il positionné ?</t>
  </si>
  <si>
    <t xml:space="preserve">Résultat Le fonds R-co Target 2032 IG est positionné sur la région d’investissement : Monde. Détails complémentaires Fonds : R-co Target 2032 IG Région d’investissement : Monde Statut : Production</t>
  </si>
  <si>
    <t xml:space="preserve">Q0282</t>
  </si>
  <si>
    <t xml:space="preserve">Résultat Le premier gérant secondaire de R-co Target 2032 IG est : Philippe LOMNE. Détails complémentaires Fonds : R-co Target 2032 IG Premier gérant secondaire : Philippe LOMNE</t>
  </si>
  <si>
    <t xml:space="preserve">Q0283</t>
  </si>
  <si>
    <t xml:space="preserve">Résultat La classe d’actifs de R-co Target 2032 IG est : Fixed Income. Détails complémentaires Fonds : R-co Target 2032 IG Classe d’actifs : Fixed Income (obligataire)</t>
  </si>
  <si>
    <t xml:space="preserve">Q0284</t>
  </si>
  <si>
    <t xml:space="preserve">Résultat Aucune information disponible pour cette demande. Détails complémentaires Pour le fonds R-co Target 2032 IG, aucun plafond de frais de gestion n'est renseigné dans le champ dédié du référentiel de données en Production. Aucun montant de frais de gestion maximal n'a été retourné par la base pour ce fonds.</t>
  </si>
  <si>
    <t xml:space="preserve">Q0285</t>
  </si>
  <si>
    <t xml:space="preserve">Autre point sur ce fonds : quelle est sa note de risque officielle ? Réponds uniquement sur ce point.</t>
  </si>
  <si>
    <t xml:space="preserve">Aucune information disponible pour cette demande.</t>
  </si>
  <si>
    <t xml:space="preserve">Q0286</t>
  </si>
  <si>
    <t xml:space="preserve">C058</t>
  </si>
  <si>
    <t xml:space="preserve">Mélèze</t>
  </si>
  <si>
    <t xml:space="preserve">Je prépare une fiche sur Mélèze : quelle société de gestion est indiquée ?</t>
  </si>
  <si>
    <t xml:space="preserve">Résultat Aucune information disponible pour cette demande.</t>
  </si>
  <si>
    <t xml:space="preserve">Q0287</t>
  </si>
  <si>
    <t xml:space="preserve">Je ne dispose pas d’une correspondance exploitable pour identifier le fonds « Mélèze » dans les données accessibles. Sans identification du fonds, je ne peux pas déterminer l’établissement dépositaire associé. Résultat Aucune information disponible pour cette demande.</t>
  </si>
  <si>
    <t xml:space="preserve">Q0288</t>
  </si>
  <si>
    <t xml:space="preserve">Résultat Aucune information disponible pour cette demande. Le produit « Mélèze » n’a pas pu être identifié dans les données accessibles, je ne peux donc pas déterminer sa devise comptable.</t>
  </si>
  <si>
    <t xml:space="preserve">Q0289</t>
  </si>
  <si>
    <t xml:space="preserve">Autre point sur ce fonds : tu as son code AMF ? Si tu ne trouves pas, dis-le clairement.</t>
  </si>
  <si>
    <t xml:space="preserve">Résultat Je ne trouve pas de fonds identifié sous le nom « Mélèze » dans les données accessibles. Le code AMF n’est donc pas disponible pour ce fonds. Si je ne trouve pas l’information dans le référentiel, je ne peux pas la déduire ou l’inventer.</t>
  </si>
  <si>
    <t xml:space="preserve">Q0290</t>
  </si>
  <si>
    <t xml:space="preserve">Au passage, quelle forme juridique est indiquée ?</t>
  </si>
  <si>
    <t xml:space="preserve">Résultat Je ne trouve pas de fonds correspondant à « Mélèze » dans les données accessibles. La forme juridique n’est donc pas disponible pour ce fonds. Détails complémentaires Aucune information disponible pour cette demande.</t>
  </si>
  <si>
    <t xml:space="preserve">Q0291</t>
  </si>
  <si>
    <t xml:space="preserve">C059</t>
  </si>
  <si>
    <t xml:space="preserve">Pour R-co Core Equity Europe, quelle est sa classe d’actifs ?</t>
  </si>
  <si>
    <t xml:space="preserve">Résultat Information trouvée Pour le fonds « R-co Core Equity Europe », la classe d’actifs correspond au niveau le plus fin du management d’expertise. Classe d’actifs : Equities (Actions) Le chemin d’expertise associé est de type : Equities &lt; Core &lt; EQUITIES &lt; DIRECT INVESTMENT Cela signifie que le fonds est rattaché à la classe d’actifs Actions, avec une expertise de gestion Core.</t>
  </si>
  <si>
    <t xml:space="preserve">Q0292</t>
  </si>
  <si>
    <t xml:space="preserve">Résultat Information trouvée Pour le produit « R-co Core Equity Euro », la devise comptable est : EUR (€) Détails complémentaires La devise de référence comptable du fonds est l’euro.</t>
  </si>
  <si>
    <t xml:space="preserve">réponse sur un autre fonds (R-co Core Equity Euro)</t>
  </si>
  <si>
    <t xml:space="preserve">Q0293</t>
  </si>
  <si>
    <t xml:space="preserve">Résultat Information trouvée Pour le fonds « R-co Core Equity Euro », la classification SFDR renseignée est : Article 8 Détails complémentaires Le fonds est donc classé SFDR Article 8, c’est-à-dire qu’il promeut des caractéristiques environnementales et/ou sociales.</t>
  </si>
  <si>
    <t xml:space="preserve">Q0294</t>
  </si>
  <si>
    <t xml:space="preserve">Au passage, quel était le SRI du mois précédent ?</t>
  </si>
  <si>
    <t xml:space="preserve">Résultat Aucune information disponible pour cette demande. Détails complémentaires Je ne trouve pas dans les données consultables l’historique mensuel du SRI pour ce fonds. Les informations accessibles permettent d’obtenir le niveau de risque actuellement renseigné sur le produit, mais pas sa valeur au mois précédent.</t>
  </si>
  <si>
    <t xml:space="preserve">Q0295</t>
  </si>
  <si>
    <t xml:space="preserve">Résultat Information trouvée Pour le fonds « R-co Core Equity Euro », la durée de détention recommandée est : 5 ans Détails complémentaires Cette durée correspond à l’horizon d’investissement recommandé renseigné pour le fonds.</t>
  </si>
  <si>
    <t xml:space="preserve">Q0296</t>
  </si>
  <si>
    <t xml:space="preserve">C060</t>
  </si>
  <si>
    <t xml:space="preserve">R-co Esis</t>
  </si>
  <si>
    <t xml:space="preserve">Je regarde R-co Esis. Quelle est sa devise comptable ?</t>
  </si>
  <si>
    <t xml:space="preserve">Résultat Information trouvée La devise comptable du fonds R-co Esis est : EUR. Détails complémentaires R-co Esis est référencé en statut Production et sa devise comptable est l’euro (EUR).</t>
  </si>
  <si>
    <t xml:space="preserve">Q0297</t>
  </si>
  <si>
    <t xml:space="preserve">Résultat Information trouvée La classification SFDR renseignée pour le fonds R-co Esis est : Article 8. Détails complémentaires Cette classification indique que le fonds promeut des caractéristiques environnementales et/ou sociales au sens du règlement SFDR.</t>
  </si>
  <si>
    <t xml:space="preserve">Q0298</t>
  </si>
  <si>
    <t xml:space="preserve">Résultat Information trouvée Aucune zone d’investissement n’est renseignée pour le fonds R-co Esis. Détails complémentaires Le champ correspondant à la zone d’investissement est vide dans les données disponibles pour ce fonds.</t>
  </si>
  <si>
    <t xml:space="preserve">Q0299</t>
  </si>
  <si>
    <t xml:space="preserve">Résultat Information trouvée La durée de détention recommandée pour le fonds R-co Esis est de : 5 ans. Détails complémentaires Cette durée correspond à l’horizon d’investissement conseillé renseigné dans le référentiel produit.</t>
  </si>
  <si>
    <t xml:space="preserve">Q0300</t>
  </si>
  <si>
    <t xml:space="preserve">Sans changer de fonds, qui est l’administrateur du fonds ?</t>
  </si>
  <si>
    <t xml:space="preserve">Résultat Information trouvée L’administrateur du fonds (valorisateur) de R-co Esis est : Caceis Fund Administration. Détails complémentaires Cette entité est renseignée comme administrateur du fonds dans le référentiel produit.</t>
  </si>
  <si>
    <t xml:space="preserve">Q0301</t>
  </si>
  <si>
    <t xml:space="preserve">C061</t>
  </si>
  <si>
    <t xml:space="preserve">R-co Valor</t>
  </si>
  <si>
    <t xml:space="preserve">Je prépare une fiche sur R-co Valor : peux-tu me donner le nom du gérant principal ?</t>
  </si>
  <si>
    <t xml:space="preserve">Résultat Information trouvée Le gérant principal du fonds R-co Valor est : Yoann IGNATIEW. Détails complémentaires Le fonds R-co Valor est en statut Production dans le référentiel.</t>
  </si>
  <si>
    <t xml:space="preserve">Q0302</t>
  </si>
  <si>
    <t xml:space="preserve">Résultat Information trouvée Le premier gérant de renfort du fonds R-co Valor est : Charles-Edouard BILBAULT. Détails complémentaires Pour R-co Valor (statut Production) : Gérant principal : Yoann IGNATIEW Premier gérant de renfort : Charles-Edouard BILBAULT</t>
  </si>
  <si>
    <t xml:space="preserve">Q0303</t>
  </si>
  <si>
    <t xml:space="preserve">Je passe à R-co Target 2032 IG : quelle est sa note de risque officielle ?</t>
  </si>
  <si>
    <t xml:space="preserve">Résultat Information trouvée La note de risque officielle de R-co Target 2032 IG est : 2. Détails complémentaires La valeur de risque enregistrée pour ce fonds est cohérente entre la note définie à la création et la note actuellement enregistrée : 2.</t>
  </si>
  <si>
    <t xml:space="preserve">Q0304</t>
  </si>
  <si>
    <t xml:space="preserve">Résultat Information trouvée La classe d’actifs de R-co Target 2032 IG est : Fixed Income. Détails complémentaires Cette information correspond à la classe d’actifs enregistrée dans le référentiel produit pour ce fonds en Production.</t>
  </si>
  <si>
    <t xml:space="preserve">Q0305</t>
  </si>
  <si>
    <t xml:space="preserve">Je reviens à R-co Valor : quelle classification SFDR est renseignée ?</t>
  </si>
  <si>
    <t xml:space="preserve">Résultat Information trouvée La classification SFDR renseignée pour R-co Valor est : Article 8. Détails complémentaires Le fonds R-co Valor est enregistré en statut Production avec une classification SFDR de type Article 8.</t>
  </si>
  <si>
    <t xml:space="preserve">Q0306</t>
  </si>
  <si>
    <t xml:space="preserve">C062</t>
  </si>
  <si>
    <t xml:space="preserve">RMM Real Estate 1</t>
  </si>
  <si>
    <t xml:space="preserve">Pour RMM Real Estate 1, quelle forme juridique est indiquée ?</t>
  </si>
  <si>
    <t xml:space="preserve">SLP</t>
  </si>
  <si>
    <t xml:space="preserve">Résultat Pour le fonds RMM Real Estate 1, la forme juridique indiquée est : SLP. Détails complémentaires Le fonds RMM Real Estate 1 est présent en statut Production et sa forme juridique enregistrée est « SLP ».</t>
  </si>
  <si>
    <t xml:space="preserve">Q0307</t>
  </si>
  <si>
    <t xml:space="preserve">8 years</t>
  </si>
  <si>
    <t xml:space="preserve">Résultat Pour le fonds RMM Real Estate 1, la durée de détention recommandée est de 8 ans. Détails complémentaires Cette durée correspond à l’horizon de placement recommandé enregistré pour ce fonds en Production.</t>
  </si>
  <si>
    <t xml:space="preserve">Q0308</t>
  </si>
  <si>
    <t xml:space="preserve">Résultat Le fonds RMM Real Estate 1 est domicilié en France. Détails complémentaires Le pays de domiciliation enregistré pour ce fonds en Production est la France.</t>
  </si>
  <si>
    <t xml:space="preserve">Q0309</t>
  </si>
  <si>
    <t xml:space="preserve">Et pour ce même produit, tu as son code AMF ?</t>
  </si>
  <si>
    <t xml:space="preserve">Résultat Aucune information disponible pour cette demande. Détails complémentaires Pour le fonds RMM Real Estate 1, aucun code AMF n'est renseigné dans les données disponibles du référentiel.</t>
  </si>
  <si>
    <t xml:space="preserve">Q0310</t>
  </si>
  <si>
    <t xml:space="preserve">Résultat Le fonds RMM Real Estate 1 relève de l’Article 8 du règlement SFDR. Détails complémentaires La catégorie SFDR enregistrée pour ce fonds en Production est « Article 8 ».</t>
  </si>
  <si>
    <t xml:space="preserve">Q0311</t>
  </si>
  <si>
    <t xml:space="preserve">C063</t>
  </si>
  <si>
    <t xml:space="preserve">Je regarde R-co Thematic Silver Plus. Sur combien de temps est-il conseillé de le conserver ?</t>
  </si>
  <si>
    <t xml:space="preserve">Résultat Information trouvée Pour le fonds R-co Thematic Silver Plus, la durée de conservation recommandée est de 5 ans. Détails complémentaires Cette durée correspond à l’horizon d’investissement recommandé enregistré pour ce fonds dans le référentiel Product Info.</t>
  </si>
  <si>
    <t xml:space="preserve">Q0312</t>
  </si>
  <si>
    <t xml:space="preserve">Résultat Information trouvée Pour le fonds R-co Thematic Silver Plus, la zone d’investissement indiquée est : Zone euro. Détails complémentaires Aucune autre information de zone d’investissement n’a été renseignée sur l’enregistrement consulté. La région associée au fonds est « Zone euro ».</t>
  </si>
  <si>
    <t xml:space="preserve">Q0313</t>
  </si>
  <si>
    <t xml:space="preserve">Résultat Information trouvée Aucune information disponible pour cette demande. Détails complémentaires Pour le fonds R-co Thematic Silver Plus, aucune note de risque officielle n’est renseignée dans le référentiel consulté.</t>
  </si>
  <si>
    <t xml:space="preserve">Q0314</t>
  </si>
  <si>
    <t xml:space="preserve">Résultat Information trouvée Aucune information disponible pour cette demande. Détails complémentaires Pour le fonds R-co Thematic Silver Plus, aucun taux de frais de gestion effectifs n’est renseigné dans le référentiel consulté.</t>
  </si>
  <si>
    <t xml:space="preserve">Q0315</t>
  </si>
  <si>
    <t xml:space="preserve">Résultat Information trouvée La classification SFDR renseignée pour le fonds R-co Thematic Silver Plus est : Article 8. Détails complémentaires Cette classification indique que le fonds promeut des caractéristiques environnementales et/ou sociales au sens du règlement SFDR.</t>
  </si>
  <si>
    <t xml:space="preserve">Q0316</t>
  </si>
  <si>
    <t xml:space="preserve">C064</t>
  </si>
  <si>
    <t xml:space="preserve">Colibri Invest</t>
  </si>
  <si>
    <t xml:space="preserve">Je prépare une fiche sur Colibri Invest : quelle société de gestion est indiquée ?</t>
  </si>
  <si>
    <t xml:space="preserve">Rothschild &amp; Co Investment Managers</t>
  </si>
  <si>
    <t xml:space="preserve">Résultat Information trouvée Pour le fonds « Colibri Invest » (statut Production), la société de gestion indiquée est : Rothschild &amp; Co Investment Managers Détails complémentaires Le fonds « Colibri Invest » est bien présent en statut Production dans le référentiel, avec Rothschild &amp; Co Investment Managers comme société de gestion associée.</t>
  </si>
  <si>
    <t xml:space="preserve">Q0317</t>
  </si>
  <si>
    <t xml:space="preserve">Résultat Information trouvée Pour le fonds « Colibri Invest », l’établissement dépositaire indiqué est : CACEIS Bank Luxembourg Branch Détails complémentaires Cette information est renseignée au niveau du fonds « Colibri Invest » en statut Production.</t>
  </si>
  <si>
    <t xml:space="preserve">Q0318</t>
  </si>
  <si>
    <t xml:space="preserve">Résultat Information trouvée Pour le fonds « Colibri Invest », la classification SFDR indiquée est : Article 6 Détails complémentaires Le fonds est référencé en statut Production avec une catégorie SFDR « Article 6 ».</t>
  </si>
  <si>
    <t xml:space="preserve">Q0319</t>
  </si>
  <si>
    <t xml:space="preserve">Résultat Information trouvée Pour le fonds « Colibri Invest », l’administrateur (valorisateur) renseigné est : CACEIS Bank Luxembourg Branch Détails complémentaires Pour ce fonds en statut Production, le valorisateur et le dépositaire renseignés sont le même établissement : CACEIS Bank Luxembourg Branch.</t>
  </si>
  <si>
    <t xml:space="preserve">Q0320</t>
  </si>
  <si>
    <t xml:space="preserve">Pour compléter la fiche, qui est le commissaire aux comptes ? Réponds uniquement sur ce point.</t>
  </si>
  <si>
    <t xml:space="preserve">PricewaterhouseCoopers Assurance Luxembourg</t>
  </si>
  <si>
    <t xml:space="preserve">PricewaterhouseCoopers Assurance Luxembourg.</t>
  </si>
  <si>
    <t xml:space="preserve">Q0321</t>
  </si>
  <si>
    <t xml:space="preserve">C065</t>
  </si>
  <si>
    <t xml:space="preserve">R-co Conviction Credit SD Euro</t>
  </si>
  <si>
    <t xml:space="preserve">Pour R-co Conviction Credit SD Euro, quel gérant est indiqué en premier ?</t>
  </si>
  <si>
    <t xml:space="preserve">Résultat Pour le fonds/produit en Production « R-co Conviction Credit SD Euro », le gérant indiqué en premier (gérant principal) est : Philippe LOMNE Détails complémentaires Aucun autre détail demandé.</t>
  </si>
  <si>
    <t xml:space="preserve">Q0322</t>
  </si>
  <si>
    <t xml:space="preserve">Résultat Le fonds « R-co Conviction Credit SD Euro » relève de l’Article 8 du règlement SFDR. Détails complémentaires L’information enregistrée pour ce fonds en Production est : Article 8.</t>
  </si>
  <si>
    <t xml:space="preserve">Q0323</t>
  </si>
  <si>
    <t xml:space="preserve">Résultat La classe d’actifs du fonds « R-co Conviction Credit SD Euro » est : Fixed Income (obligataire) Détails complémentaires La classification enregistrée pour ce fonds en Production correspond à l’expertise de gestion « Fixed Income ».</t>
  </si>
  <si>
    <t xml:space="preserve">Q0324</t>
  </si>
  <si>
    <t xml:space="preserve">Résultat La zone d’investissement indiquée pour le fonds « R-co Conviction Credit SD Euro » est : Zone euro Détails complémentaires C’est la zone géographique enregistrée pour ce fonds en Production.</t>
  </si>
  <si>
    <t xml:space="preserve">Q0325</t>
  </si>
  <si>
    <t xml:space="preserve">Sans changer de fonds, quel est son conservateur ?</t>
  </si>
  <si>
    <t xml:space="preserve">Résultat Le conservateur du fonds « R-co Conviction Credit SD Euro » est : Rothschild &amp; Co Martin Maurel Détails complémentaires Cette société est renseignée comme conservateur du fonds en Production.</t>
  </si>
  <si>
    <t xml:space="preserve">Q0326</t>
  </si>
  <si>
    <t xml:space="preserve">C066</t>
  </si>
  <si>
    <t xml:space="preserve">Vital Flex Opportunités</t>
  </si>
  <si>
    <t xml:space="preserve">Je regarde Vital Flex Opportunités. Il relève de quel article SFDR ?</t>
  </si>
  <si>
    <t xml:space="preserve">Résultat Information trouvée Le fonds Vital Flex Opportunités relève de l’Article 8 SFDR et est en statut Production. Détails complémentaires L’Article 8 correspond aux produits qui promeuvent des caractéristiques environnementales et/ou sociales au sens du règlement SFDR.</t>
  </si>
  <si>
    <t xml:space="preserve">Q0327</t>
  </si>
  <si>
    <t xml:space="preserve">Résultat Information trouvée La forme juridique de Vital Flex Opportunités est un FCP (Fonds Commun de Placement). Détails complémentaires Ce fonds est également classé Article 8 SFDR.</t>
  </si>
  <si>
    <t xml:space="preserve">Q0328</t>
  </si>
  <si>
    <t xml:space="preserve">Je passe à 5m Invest : qui est le dépositaire ?</t>
  </si>
  <si>
    <t xml:space="preserve">Résultat Information trouvée Le dépositaire du fonds 5m Invest est Caceis Bank.</t>
  </si>
  <si>
    <t xml:space="preserve">Q0329</t>
  </si>
  <si>
    <t xml:space="preserve">Résultat Information trouvée Le conservateur du fonds 5m Invest est également Caceis Bank. Détails complémentaires Pour ce fonds, le dépositaire et le conservateur sont la même entité : Caceis Bank.</t>
  </si>
  <si>
    <t xml:space="preserve">Q0330</t>
  </si>
  <si>
    <t xml:space="preserve">Je reviens à Vital Flex Opportunités : qui est l’administrateur du fonds ?</t>
  </si>
  <si>
    <t xml:space="preserve">Résultat Information trouvée L’administrateur du fonds de Vital Flex Opportunités est Caceis Fund Administration.</t>
  </si>
  <si>
    <t xml:space="preserve">Q0331</t>
  </si>
  <si>
    <t xml:space="preserve">C067</t>
  </si>
  <si>
    <t xml:space="preserve">Je prépare une fiche sur R-co Valor Equity : quelle classification SFDR est renseignée ?</t>
  </si>
  <si>
    <t xml:space="preserve">Résultat Information trouvée La classification SFDR renseignée pour le fonds R-co Valor Equity est : Article 8. Détails complémentaires Le fonds est identifié en statut Production et sa catégorie SFDR enregistrée est Article 8.</t>
  </si>
  <si>
    <t xml:space="preserve">Q0332</t>
  </si>
  <si>
    <t xml:space="preserve">Résultat Information trouvée La devise comptable du fonds R-co Valor Equity est : EUR (€). Détails complémentaires Le fonds en statut Production est comptabilisé en euro.</t>
  </si>
  <si>
    <t xml:space="preserve">Q0333</t>
  </si>
  <si>
    <t xml:space="preserve">Résultat Information trouvée L’établissement dépositaire du fonds R-co Valor Equity est Rothschild &amp; Co Martin Maurel. Détails complémentaires Cet établissement est renseigné comme dépositaire du fonds en statut Production.</t>
  </si>
  <si>
    <t xml:space="preserve">Q0334</t>
  </si>
  <si>
    <t xml:space="preserve">Et pour ce même produit, quel taux de frais de gestion effectifs est renseigné pour ce fonds ? Si tu ne trouves pas, dis-le clairement.</t>
  </si>
  <si>
    <t xml:space="preserve">Résultat Information trouvée Aucun taux de frais de gestion effectifs n'est renseigné pour le fonds R-co Valor Equity dans les données disponibles. Détails complémentaires Le champ correspondant aux frais de gestion effectifs est présent dans le référentiel, mais aucune valeur n'est retournée pour ce fonds en statut Production.</t>
  </si>
  <si>
    <t xml:space="preserve">Q0335</t>
  </si>
  <si>
    <t xml:space="preserve">Autre point sur ce fonds : quel est son conservateur ?</t>
  </si>
  <si>
    <t xml:space="preserve">Résultat Information trouvée Le conservateur du fonds R-co Valor Equity est Rothschild &amp; Co Martin Maurel. Détails complémentaires Pour ce fonds en statut Production, le conservateur renseigné est le même établissement que celui indiqué comme dépositaire.</t>
  </si>
  <si>
    <t xml:space="preserve">Q0336</t>
  </si>
  <si>
    <t xml:space="preserve">C068</t>
  </si>
  <si>
    <t xml:space="preserve">Parimeta 2</t>
  </si>
  <si>
    <t xml:space="preserve">Pour Parimeta 2, il relève de quel article SFDR ?</t>
  </si>
  <si>
    <t xml:space="preserve">Résultat Information trouvée Parimeta 2 relève de l’Article 8 SFDR. Détails complémentaires Fonds : Parimeta 2 Classification SFDR : Article 8 Statut : Production</t>
  </si>
  <si>
    <t xml:space="preserve">Q0337</t>
  </si>
  <si>
    <t xml:space="preserve">Résultat Information trouvée L’établissement dépositaire du fonds Parimeta 2 est Caceis Bank. Détails complémentaires Fonds : Parimeta 2 Dépositaire : Caceis Bank</t>
  </si>
  <si>
    <t xml:space="preserve">Q0338</t>
  </si>
  <si>
    <t xml:space="preserve">Résultat Information trouvée Pour le fonds Parimeta 2, la prise en compte des incidences négatives principales (PAI – Principal Adverse Impacts) est indiquée comme étant prise en compte : Oui. Détails complémentaires Les indicateurs EET associés à cette thématique sont renseignés positivement pour ce fonds, avec une valeur « Oui ». Cela confirme que la prise en compte des PAI est déclarée pour Parimeta 2.</t>
  </si>
  <si>
    <t xml:space="preserve">Q0339</t>
  </si>
  <si>
    <t xml:space="preserve">Autre point sur ce fonds : quelle valeur est indiquée pour les frais de gestion maximum du fonds ?</t>
  </si>
  <si>
    <t xml:space="preserve">Résultat Information trouvée Aucune valeur n’est renseignée pour les frais de gestion maximum du fonds sur le fonds Parimeta 2. Détails complémentaires Le fonds a bien été identifié en statut Production, mais le champ correspondant aux frais de gestion maximum n’est pas alimenté dans les données disponibles.</t>
  </si>
  <si>
    <t xml:space="preserve">Q0340</t>
  </si>
  <si>
    <t xml:space="preserve">Au passage, qui est le centralisateur ?</t>
  </si>
  <si>
    <t xml:space="preserve">Résultat Information trouvée Le centralisateur du fonds Parimeta 2 est Caceis Bank. Détails complémentaires Fonds : Parimeta 2 Centralisateur : Caceis Bank Pour ce fonds, le centralisateur et le dépositaire sont renseignés comme étant le même établissement.</t>
  </si>
  <si>
    <t xml:space="preserve">Q0341</t>
  </si>
  <si>
    <t xml:space="preserve">C069</t>
  </si>
  <si>
    <t xml:space="preserve">Je regarde R-co Conviction Subfin. Quel établissement assure le dépôt ?</t>
  </si>
  <si>
    <t xml:space="preserve">Résultat Pour le fonds R-co Conviction Subfin, l’établissement dépositaire est : Rothschild &amp; Co Martin Maurel Détails complémentaires Information trouvée dans le référentiel Product Info pour ce fonds en statut Production.</t>
  </si>
  <si>
    <t xml:space="preserve">Q0342</t>
  </si>
  <si>
    <t xml:space="preserve">Résultat Le premier gérant secondaire de R-co Conviction Subfin est : Emmanuel PETIT Détails complémentaires Information trouvée sur le fonds en statut Production.</t>
  </si>
  <si>
    <t xml:space="preserve">Q0343</t>
  </si>
  <si>
    <t xml:space="preserve">Résultat La classe d’actifs de R-co Conviction Subfin est : Fixed Income Détails complémentaires Dans le référentiel Product Info, la classe d’actifs correspond au niveau « Management d’expertise » associé au fonds. Pour R-co Conviction Subfin, cette valeur est « Fixed Income ».</t>
  </si>
  <si>
    <t xml:space="preserve">Q0344</t>
  </si>
  <si>
    <t xml:space="preserve">Résultat Le commissaire aux comptes de R-co Conviction Subfin est : Deloitte &amp; Associés Détails complémentaires Information trouvée dans le référentiel Product Info pour ce fonds en statut Production.</t>
  </si>
  <si>
    <t xml:space="preserve">Q0345</t>
  </si>
  <si>
    <t xml:space="preserve">Résultat Aucune information disponible pour cette demande. Détails complémentaires La note de risque officielle n’est pas renseignée pour le fonds R-co Conviction Subfin dans les données disponibles du référentiel Product Info.</t>
  </si>
  <si>
    <t xml:space="preserve">Q0346</t>
  </si>
  <si>
    <t xml:space="preserve">C070</t>
  </si>
  <si>
    <t xml:space="preserve">Je prépare une fiche sur Avenstor : quelle société de gestion est indiquée ?</t>
  </si>
  <si>
    <t xml:space="preserve">Résultat Pour le fonds/produit « Avenstor », la société de gestion indiquée est : Rothschild &amp; Co Asset Management Cette information est associée à l’enregistrement Avenstor en statut Production.</t>
  </si>
  <si>
    <t xml:space="preserve">Q0347</t>
  </si>
  <si>
    <t xml:space="preserve">Résultat Pour le fonds Avenstor, l’établissement dépositaire indiqué est : Caceis Bank Détails complémentaires Il s’agit du dépositaire référencé pour ce fonds en statut Production.</t>
  </si>
  <si>
    <t xml:space="preserve">Q0348</t>
  </si>
  <si>
    <t xml:space="preserve">SFPB - Société Fiduciaire Paul Brunier Audit &amp; Comptabilité</t>
  </si>
  <si>
    <t xml:space="preserve">Résultat Pour le fonds Avenstor, le commissaire aux comptes indiqué est : SFPB - Société Fiduciaire Paul Brunier Audit &amp; Comptabilité Détails complémentaires Cette société est référencée comme commissaire aux comptes du fonds en statut Production.</t>
  </si>
  <si>
    <t xml:space="preserve">Q0349</t>
  </si>
  <si>
    <t xml:space="preserve">Résultat Pour le fonds Avenstor, la devise de comptabilité est : EUR (euro) Détails complémentaires La comptabilité du fonds est tenue en euro.</t>
  </si>
  <si>
    <t xml:space="preserve">Q0350</t>
  </si>
  <si>
    <t xml:space="preserve">Résultat Pour le fonds Avenstor, la forme juridique indiquée est : SICAV Détails complémentaires Cette forme juridique est celle référencée pour le fonds en statut Production.</t>
  </si>
  <si>
    <t xml:space="preserve">Q0351</t>
  </si>
  <si>
    <t xml:space="preserve">C071</t>
  </si>
  <si>
    <t xml:space="preserve">Pour R-co Target 2032 IG, quelle est sa classe d’actifs ?</t>
  </si>
  <si>
    <t xml:space="preserve">Résultat Information trouvée Pour le fonds R-co Target 2032 IG, la classe d’actifs est : Fixed Income (Obligataire) Détails complémentaires Le chemin de management d’expertise associé au fonds est : Niveau 0 : Direct Investment Niveau 1 : Fixed Income Niveau 2 : Investment Grade Niveau 3 (classe d’actifs) : Fixed Income Ce fonds est en statut Production.</t>
  </si>
  <si>
    <t xml:space="preserve">Q0352</t>
  </si>
  <si>
    <t xml:space="preserve">Résultat Information trouvée Le commissaire aux comptes du fonds R-co Target 2032 IG est : SFPB - Société Fiduciaire Paul Brunier Audit &amp; Comptabilité Détails complémentaires Cette information est rattachée au fonds en statut Production.</t>
  </si>
  <si>
    <t xml:space="preserve">Q0353</t>
  </si>
  <si>
    <t xml:space="preserve">R-co 4Change Green Bonds</t>
  </si>
  <si>
    <t xml:space="preserve">Je passe à R-co 4Change Green Bonds : quelle classification SFDR est renseignée ?</t>
  </si>
  <si>
    <t xml:space="preserve">Article 9</t>
  </si>
  <si>
    <t xml:space="preserve">Résultat Information trouvée Pour le fonds R-co 4Change Green Bonds, la classification SFDR renseignée est : Article 9 Détails complémentaires Le fonds est enregistré en statut Production.</t>
  </si>
  <si>
    <t xml:space="preserve">Q0354</t>
  </si>
  <si>
    <t xml:space="preserve">Résultat Aucune information disponible pour cette demande. Détails complémentaires Je retrouve bien le fonds R-co 4Change Green Bonds en Production, mais aucune donnée historique permettant d’identifier le SRI du mois précédent n’est disponible dans les informations consultables. La donnée actuelle ne permet pas de reconstituer sa valeur au mois précédent.</t>
  </si>
  <si>
    <t xml:space="preserve">Q0355</t>
  </si>
  <si>
    <t xml:space="preserve">Feeder Fund ?</t>
  </si>
  <si>
    <t xml:space="preserve">Je reviens à R-co Target 2032 IG : que dit le champ fonds nourricier ? Réponds uniquement sur ce point.</t>
  </si>
  <si>
    <t xml:space="preserve">Non. Le champ « fonds nourricier » est renseigné à : Non.</t>
  </si>
  <si>
    <t xml:space="preserve">Q0356</t>
  </si>
  <si>
    <t xml:space="preserve">C072</t>
  </si>
  <si>
    <t xml:space="preserve">Secafi</t>
  </si>
  <si>
    <t xml:space="preserve">Je regarde Secafi. Qui est le commissaire aux comptes ?</t>
  </si>
  <si>
    <t xml:space="preserve">Q0357</t>
  </si>
  <si>
    <t xml:space="preserve">Q0358</t>
  </si>
  <si>
    <t xml:space="preserve">Résultat Information trouvée Pour le fonds Secafi : Classification SFDR : Article 6 Zone d’investissement : Monde Sources : Détails complémentaires Le fonds Secafi est en statut Production.</t>
  </si>
  <si>
    <t xml:space="preserve">Q0359</t>
  </si>
  <si>
    <t xml:space="preserve">Et pour ce même produit, quelle valeur est indiquée pour les frais de gestion effectifs du fonds ?</t>
  </si>
  <si>
    <t xml:space="preserve">Résultat Information trouvée Pour le fonds Secafi, aucune valeur n'est renseignée pour le champ « frais de gestion effectifs du fonds ». Détails complémentaires Le fonds Secafi a bien été identifié en statut Production, mais aucun montant n'est retourné pour cette information.</t>
  </si>
  <si>
    <t xml:space="preserve">Q0360</t>
  </si>
  <si>
    <t xml:space="preserve">Résultat Information trouvée L’administrateur du fonds Secafi est : CACEIS Bank Luxembourg Branch Détails complémentaires Cette société est renseignée comme valorisateur / administrateur du fonds dans le référentiel produit.</t>
  </si>
  <si>
    <t xml:space="preserve">Q0361</t>
  </si>
  <si>
    <t xml:space="preserve">C073</t>
  </si>
  <si>
    <t xml:space="preserve">Je prépare une fiche sur R-co 4Change Green Bonds : peux-tu me donner le nom du gérant principal ?</t>
  </si>
  <si>
    <t xml:space="preserve">RACAUD Nicolas</t>
  </si>
  <si>
    <t xml:space="preserve">Résultat Information trouvée Le gérant principal du fonds « R-co 4Change Green Bonds » est : Nicolas RACAUD Détails complémentaires Le fonds « R-co 4Change Green Bonds » est en statut Production.</t>
  </si>
  <si>
    <t xml:space="preserve">Q0362</t>
  </si>
  <si>
    <t xml:space="preserve">Résultat Information trouvée Le premier gérant de renfort du fonds « R-co 4Change Green Bonds » est : Emmanuel PETIT Détails complémentaires Le gérant principal du fonds est Nicolas RACAUD.</t>
  </si>
  <si>
    <t xml:space="preserve">Q0363</t>
  </si>
  <si>
    <t xml:space="preserve">Et pour ce même produit, que dit le champ fonds nourricier ?</t>
  </si>
  <si>
    <t xml:space="preserve">Résultat Information trouvée Pour le fonds « R-co 4Change Green Bonds », le champ « Fonds nourricier » est renseigné à : Non Détails complémentaires Cela indique que ce fonds n'est pas identifié comme un fonds nourricier dans le référentiel.</t>
  </si>
  <si>
    <t xml:space="preserve">Q0364</t>
  </si>
  <si>
    <t xml:space="preserve">Autre point sur ce fonds : quelle date de première VL est renseignée ? Si tu ne trouves pas, dis-le clairement.</t>
  </si>
  <si>
    <t xml:space="preserve">Résultat Information trouvée Aucune date de première VL n'est renseignée pour le fonds « R-co 4Change Green Bonds ». Détails complémentaires Le champ correspondant à la date de première VL ne contient pas de valeur dans le référentiel pour ce fonds.</t>
  </si>
  <si>
    <t xml:space="preserve">Q0365</t>
  </si>
  <si>
    <t xml:space="preserve">Résultat Information trouvée La classification SFDR renseignée pour le fonds « R-co 4Change Green Bonds » est : Article 9 Détails complémentaires Cette classification correspond à la catégorie SFDR la plus exigeante en matière d’objectifs d’investissement durable.</t>
  </si>
  <si>
    <t xml:space="preserve">Q0366</t>
  </si>
  <si>
    <t xml:space="preserve">C074</t>
  </si>
  <si>
    <t xml:space="preserve">R-co Allocation ETF Balanced</t>
  </si>
  <si>
    <t xml:space="preserve">Pour R-co Allocation ETF Balanced, quelle forme juridique est indiquée ?</t>
  </si>
  <si>
    <t xml:space="preserve">Résultat Information trouvée Pour le fonds « R-co Allocation ETF Balanced », la forme juridique indiquée est : SICAV. Détails complémentaires Le fonds est présent en statut Production.</t>
  </si>
  <si>
    <t xml:space="preserve">Q0367</t>
  </si>
  <si>
    <t xml:space="preserve">Résultat Information trouvée Pour le fonds « R-co Allocation ETF Balanced », le champ « fonds nourricier » est renseigné à : Non. Détails complémentaires Le fonds n'est donc pas identifié comme un fonds nourricier dans le référentiel.</t>
  </si>
  <si>
    <t xml:space="preserve">Q0368</t>
  </si>
  <si>
    <t xml:space="preserve">Résultat Information trouvée Pour le fonds « R-co Allocation ETF Balanced », le pays de domiciliation est : France. Détails complémentaires Le fonds est référencé en statut Production.</t>
  </si>
  <si>
    <t xml:space="preserve">Q0369</t>
  </si>
  <si>
    <t xml:space="preserve">Résultat Information trouvée Pour le fonds « R-co Allocation ETF Balanced », la classification SFDR renseignée est : Article 6. Détails complémentaires Le fonds est enregistré en statut Production.</t>
  </si>
  <si>
    <t xml:space="preserve">Q0370</t>
  </si>
  <si>
    <t xml:space="preserve">OPAL</t>
  </si>
  <si>
    <t xml:space="preserve">Résultat Information trouvée Pour le fonds « R-co Allocation ETF Balanced », la gamme renseignée est : OPAL. Détails complémentaires Le fonds est présent dans le référentiel en statut Production.</t>
  </si>
  <si>
    <t xml:space="preserve">Q0371</t>
  </si>
  <si>
    <t xml:space="preserve">C075</t>
  </si>
  <si>
    <t xml:space="preserve">Je regarde R-co Valor Bond Opportunities. Que dit le champ fonds nourricier ?</t>
  </si>
  <si>
    <t xml:space="preserve">Résultat Information trouvée Pour le fonds « R-co Valor Bond Opportunities », le champ « fonds nourricier » est renseigné à : Non Détails complémentaires Le fonds est en statut Production. Le champ « fonds nourricier » indique donc qu’il ne s’agit pas d’un fonds nourricier.</t>
  </si>
  <si>
    <t xml:space="preserve">Q0372</t>
  </si>
  <si>
    <t xml:space="preserve">Résultat Information trouvée Pour le fonds « R-co Valor Bond Opportunities », la zone d’investissement indiquée est : Monde Aucune zone d’investissement détaillée supplémentaire n’est renseignée dans la relation dédiée aux zones d’investissement pour ce fonds. La zone géographique enregistrée au niveau du fonds est « Monde ».</t>
  </si>
  <si>
    <t xml:space="preserve">Q0373</t>
  </si>
  <si>
    <t xml:space="preserve">Résultat Information trouvée Aucune information disponible pour cette demande. Le champ correspondant à la note de risque officielle n’est pas renseigné pour le fonds « R-co Valor Bond Opportunities » dans les données disponibles.</t>
  </si>
  <si>
    <t xml:space="preserve">Q0374</t>
  </si>
  <si>
    <t xml:space="preserve">Valor</t>
  </si>
  <si>
    <t xml:space="preserve">Résultat Information trouvée Le fonds « R-co Valor Bond Opportunities » appartient à la gamme : Valor Détails complémentaires Il s’agit donc d’un fonds rattaché à la gamme commerciale « Valor ».</t>
  </si>
  <si>
    <t xml:space="preserve">Q0375</t>
  </si>
  <si>
    <t xml:space="preserve">Sans changer de fonds, sur combien de temps est-il conseillé de le conserver ?</t>
  </si>
  <si>
    <t xml:space="preserve">3 years</t>
  </si>
  <si>
    <t xml:space="preserve">Résultat Information trouvée Pour le fonds « R-co Valor Bond Opportunities », la durée de détention recommandée est : 3 ans Détails complémentaires Cette durée correspond à l’horizon d’investissement recommandé enregistré pour le fonds.</t>
  </si>
  <si>
    <t xml:space="preserve">Q0376</t>
  </si>
  <si>
    <t xml:space="preserve">C076</t>
  </si>
  <si>
    <t xml:space="preserve">R-co Objectif Dynamique</t>
  </si>
  <si>
    <t xml:space="preserve">Je prépare une fiche sur R-co Objectif Dynamique : quelle société de gestion est indiquée ?</t>
  </si>
  <si>
    <t xml:space="preserve">Résultat Pour le fonds « R-co Objectif Dynamique » en statut Production, la société de gestion indiquée est : Rothschild &amp; Co Asset Management Cette information provient de la version actuellement en Production du fonds.</t>
  </si>
  <si>
    <t xml:space="preserve">Q0377</t>
  </si>
  <si>
    <t xml:space="preserve">Résultat Pour le fonds « R-co Objectif Dynamique » en statut Production, l’établissement dépositaire indiqué est : Caceis Bank Détails complémentaires La société de gestion est Rothschild &amp; Co Asset Management, et le dépositaire est Caceis Bank.</t>
  </si>
  <si>
    <t xml:space="preserve">Q0378</t>
  </si>
  <si>
    <t xml:space="preserve">R-co 4Change Moderate Allocation</t>
  </si>
  <si>
    <t xml:space="preserve">Je passe à R-co 4Change Moderate Allocation : à quelle gamme appartient-il ?</t>
  </si>
  <si>
    <t xml:space="preserve">4Change</t>
  </si>
  <si>
    <t xml:space="preserve">Résultat Le fonds « R-co 4Change Moderate Allocation » en statut Production appartient à la gamme : 4Change Détails complémentaires Ombrelle : R-co Classe d’actif / expertise : Diversified Gérante : Ludivine Quincerot</t>
  </si>
  <si>
    <t xml:space="preserve">Q0379</t>
  </si>
  <si>
    <t xml:space="preserve">Résultat Pour le fonds « R-co 4Change Moderate Allocation » en statut Production, l’administrateur renseigné est : Caceis Fund Administration Détails complémentaires Cet établissement est indiqué comme valorisateur / administrateur du fonds.</t>
  </si>
  <si>
    <t xml:space="preserve">Q0380</t>
  </si>
  <si>
    <t xml:space="preserve">Je reviens à R-co Objectif Dynamique : qui est le commissaire aux comptes ?</t>
  </si>
  <si>
    <t xml:space="preserve">Résultat Pour le fonds « R-co Objectif Dynamique » en statut Production, le commissaire aux comptes renseigné est : Deloitte &amp; Associés Détails complémentaires Pour ce même fonds, les principaux intervenants identifiés sont : Société de gestion : Rothschild &amp; Co Asset Management Dépositaire : Caceis Bank Commissaire aux comptes : Deloitte &amp; Associés</t>
  </si>
  <si>
    <t xml:space="preserve">Q0381</t>
  </si>
  <si>
    <t xml:space="preserve">C077</t>
  </si>
  <si>
    <t xml:space="preserve">Pour R-co Conviction Club, quel gérant est indiqué en premier ?</t>
  </si>
  <si>
    <t xml:space="preserve">Résultat Pour le fonds R-co Conviction Club, le gérant indiqué en premier (gérant principal) est : Ludivine QUINCEROT (DE) Cette information provient du fonds en statut Production.</t>
  </si>
  <si>
    <t xml:space="preserve">Q0382</t>
  </si>
  <si>
    <t xml:space="preserve">Conviction</t>
  </si>
  <si>
    <t xml:space="preserve">Résultat Le fonds R-co Conviction Club appartient à la gamme : Conviction Détails complémentaires Le fonds est référencé en statut Production.</t>
  </si>
  <si>
    <t xml:space="preserve">Q0383</t>
  </si>
  <si>
    <t xml:space="preserve">IMENEURAET Vincent</t>
  </si>
  <si>
    <t xml:space="preserve">Résultat Pour le fonds R-co Conviction Club, le deuxième gérant secondaire indiqué est : Vincent IMENEURAET Détails complémentaires Il s'agit du gérant renseigné dans le rôle « gérant secondaire 2 » du fonds en Production.</t>
  </si>
  <si>
    <t xml:space="preserve">Q0384</t>
  </si>
  <si>
    <t xml:space="preserve">Et pour ce même produit, à quelle fréquence la VL est-elle calculée ?</t>
  </si>
  <si>
    <t xml:space="preserve">Résultat Aucune information disponible pour cette demande. Détails complémentaires Pour le fonds R-co Conviction Club en Production, aucune fréquence de calcul de la VL n'est renseignée au niveau du fonds.</t>
  </si>
  <si>
    <t xml:space="preserve">Q0385</t>
  </si>
  <si>
    <t xml:space="preserve">Does it invest in SI? (EET 20170)</t>
  </si>
  <si>
    <t xml:space="preserve">Autre point sur ce fonds : que dit le champ EET sur l’investissement durable ?</t>
  </si>
  <si>
    <t xml:space="preserve">Résultat Pour le fonds R-co Conviction Club, la part minimale d’investissements durables déclarée dans l’EET est de : 30 % Détails complémentaires Cette valeur correspond au champ EET relatif à la part minimale d’investissements durables du fonds en Production.</t>
  </si>
  <si>
    <t xml:space="preserve">répond par la part minimale d'investissements durables, cohérente avec la valeur attendue</t>
  </si>
  <si>
    <t xml:space="preserve">Q0386</t>
  </si>
  <si>
    <t xml:space="preserve">C078</t>
  </si>
  <si>
    <t xml:space="preserve">Capital &amp; Développement</t>
  </si>
  <si>
    <t xml:space="preserve">Je regarde Capital &amp; Développement. Quelle expertise de gestion de niveau 1 est renseignée ?</t>
  </si>
  <si>
    <t xml:space="preserve">PRIVATE WEALTH</t>
  </si>
  <si>
    <t xml:space="preserve">Résultat Pour le fonds « Capital &amp; Développement », l’expertise de gestion de niveau 1 renseignée est : PRIVATE WEALTH Détails complémentaires Cette information est issue du niveau 1 de la hiérarchie « Management d’expertise » associée au fonds en statut Production.</t>
  </si>
  <si>
    <t xml:space="preserve">Q0387</t>
  </si>
  <si>
    <t xml:space="preserve">Résultat La forme juridique du fonds « Capital &amp; Développement » est : SICAV Détails complémentaires Aucune autre forme juridique n’est renseignée pour ce fonds en statut Production.</t>
  </si>
  <si>
    <t xml:space="preserve">Q0388</t>
  </si>
  <si>
    <t xml:space="preserve">Résultat Le dépositaire du fonds « Capital &amp; Développement » est : Caceis Bank Détails complémentaires Cette information est renseignée sur la fiche du fonds en statut Production.</t>
  </si>
  <si>
    <t xml:space="preserve">Q0389</t>
  </si>
  <si>
    <t xml:space="preserve">Résultat Aucune information disponible pour cette demande. Détails complémentaires Pour le fonds « Capital &amp; Développement » en statut Production, aucune valeur n’est renseignée dans le champ correspondant aux frais de gestion maximum du fonds.</t>
  </si>
  <si>
    <t xml:space="preserve">Q0390</t>
  </si>
  <si>
    <t xml:space="preserve">Au passage, il relève de quel article SFDR ? Réponds uniquement sur ce point.</t>
  </si>
  <si>
    <t xml:space="preserve">Résultat Article 6.</t>
  </si>
  <si>
    <t xml:space="preserve">Q0391</t>
  </si>
  <si>
    <t xml:space="preserve">C079</t>
  </si>
  <si>
    <t xml:space="preserve">R-co Conviction Credit Euro</t>
  </si>
  <si>
    <t xml:space="preserve">Je prépare une fiche sur R-co Conviction Credit Euro : quelle gamme de fonds est indiquée ?</t>
  </si>
  <si>
    <t xml:space="preserve">Résultat Information trouvée Pour le fonds « R-co Conviction Credit Euro », la gamme de fonds indiquée est : « Conviction ». Détails complémentaires Fonds : R-co Conviction Credit Euro Gamme : Conviction Statut : Production</t>
  </si>
  <si>
    <t xml:space="preserve">Q0392</t>
  </si>
  <si>
    <t xml:space="preserve">Résultat Information trouvée La devise comptable du fonds « R-co Conviction Credit Euro » est : EUR. Détails complémentaires Fonds : R-co Conviction Credit Euro Devise comptable : EUR (euro)</t>
  </si>
  <si>
    <t xml:space="preserve">Q0393</t>
  </si>
  <si>
    <t xml:space="preserve">Résultat Information trouvée Pour le fonds « R-co Conviction Credit Euro », le champ EET relatif à la part minimale d’investissements durables déclarée dans l’EET indique : 30 %. Détails complémentaires Fonds : R-co Conviction Credit Euro Part minimale d’investissements durables déclarée dans l’EET : 30 %</t>
  </si>
  <si>
    <t xml:space="preserve">Q0394</t>
  </si>
  <si>
    <t xml:space="preserve">Résultat Information trouvée Le fonds « R-co Conviction Credit Euro » est classé sous la réglementation : OPCVM. Détails complémentaires Fonds : R-co Conviction Credit Euro Réglementation applicable : OPCVM (Organisme de Placement Collectif en Valeurs Mobilières)</t>
  </si>
  <si>
    <t xml:space="preserve">Q0395</t>
  </si>
  <si>
    <t xml:space="preserve">Résultat Information trouvée La classification SFDR renseignée pour le fonds « R-co Conviction Credit Euro » est : Article 8. Détails complémentaires Fonds : R-co Conviction Credit Euro Classification SFDR : Article 8 Cette information est celle enregistrée dans le référentiel produit pour le fonds en Production.</t>
  </si>
  <si>
    <t xml:space="preserve">Q0396</t>
  </si>
  <si>
    <t xml:space="preserve">C080</t>
  </si>
  <si>
    <t xml:space="preserve">R-co Funds Managers</t>
  </si>
  <si>
    <t xml:space="preserve">Pour R-co Funds Managers, il relève de quel article SFDR ?</t>
  </si>
  <si>
    <t xml:space="preserve">Résultat Aucune information disponible pour cette demande. Je ne retrouve pas de fonds ou de part nommé « R-co Funds Managers » dans les données consultées. Pour déterminer l’article SFDR, il est nécessaire d’identifier précisément le fonds ou la part concernée. Détails complémentaires « R-co Funds Managers » peut correspondre à une dénomination commerciale ou à une société de gestion plutôt qu’à un fonds. Avec le nom exact du fonds ou son code ISIN, je pourrai rechercher son classement SFDR.</t>
  </si>
  <si>
    <t xml:space="preserve">Q0397</t>
  </si>
  <si>
    <t xml:space="preserve">Je ne peux pas répondre sur le champ EET de ce fonds car le fonds n’a pas été identifié dans les données disponibles. Pour le champ EET relatif à l’investissement durable (part minimale d’investissements durables déclarée dans l’EET), j’ai besoin de la référence exacte du fonds ou de son code ISIN afin de consulter la valeur enregistrée.</t>
  </si>
  <si>
    <t xml:space="preserve">Q0398</t>
  </si>
  <si>
    <t xml:space="preserve">Je ne peux pas vérifier la prise en compte des PAI (Principal Adverse Impacts) sans avoir identifié précisément le fonds concerné. Le fonds « R-co Funds Managers » n’a pas pu être retrouvé tel quel dans les données. Avec le nom exact du fonds ou son code ISIN, je pourrai vérifier si la prise en compte des PAI est renseignée et vous communiquer la valeur enregistrée.</t>
  </si>
  <si>
    <t xml:space="preserve">Q0399</t>
  </si>
  <si>
    <t xml:space="preserve">Résultat Aucune information disponible pour cette demande. Le fonds n’a pas pu être identifié à partir de l’intitulé « R-co Funds Managers ». Sans identification certaine du fonds ou de la part, je ne peux pas consulter sa classe d’actifs dans le référentiel. Détails complémentaires Avec le nom exact du fonds ou un code ISIN, je pourrai rechercher : la classe d’actifs, le classement SFDR, la part minimale d’investissements durables (EET), la prise en compte des PAI, ainsi que les autres caractéristiques produit disponibles.</t>
  </si>
  <si>
    <t xml:space="preserve">Q0400</t>
  </si>
  <si>
    <t xml:space="preserve">BAILLY Anthony</t>
  </si>
  <si>
    <t xml:space="preserve">Résultat Aucune information disponible pour cette demande. Je ne dispose pas d’une identification valide du fonds auquel vous faites référence. Les échanges précédents n’ont pas permis de retrouver « R-co Funds Managers » dans le référentiel, je ne peux donc pas déterminer le premier cogérant indiqué. Détails complémentaires Avec le nom exact du fonds ou son code ISIN, je pourrai retrouver les gérants et cogérants associés.</t>
  </si>
  <si>
    <t xml:space="preserve">Q0401</t>
  </si>
  <si>
    <t xml:space="preserve">C081</t>
  </si>
  <si>
    <t xml:space="preserve">Je regarde R-co Valor. Que dit le champ EET sur l’investissement durable ?</t>
  </si>
  <si>
    <t xml:space="preserve">Résultat Pour le fonds R-co Valor (statut Production), le champ EET relatif à la part minimale d’investissements durables déclarée dans l’EET est de 30 %. Détails complémentaires Part minimale d’investissements durables (EET) : 30 %. Classification SFDR : Article 8. Autre indicateur EET disponible : 75 % pour l’objectif d’investissements alignés sur les caractéristiques environnementales ou sociales.</t>
  </si>
  <si>
    <t xml:space="preserve">Q0402</t>
  </si>
  <si>
    <t xml:space="preserve">Résultat Le premier gérant secondaire de R-co Valor est Charles-Edouard BILBAULT. Détails complémentaires Gérant principal : Yoann IGNATIEW Premier gérant secondaire : Charles-Edouard BILBAULT Deuxième gérant secondaire : Henri CAPTIER Ces informations correspondent au fonds R-co Valor en statut Production.</t>
  </si>
  <si>
    <t xml:space="preserve">Q0403</t>
  </si>
  <si>
    <t xml:space="preserve">R-co Conviction Equity Multi Caps Euro</t>
  </si>
  <si>
    <t xml:space="preserve">Je passe à R-co Conviction Equity Multi Caps Euro : qui est indiqué comme deuxième gérant secondaire ?</t>
  </si>
  <si>
    <t xml:space="preserve">Résultat Pour R-co Conviction Equity Multi Caps Euro (statut Production), le deuxième gérant secondaire est Nathalie BOURDONCLE. Détails complémentaires Gérant principal : Thierry RIGAUDIERE Premier gérant secondaire : Valérie OELHOFFEN Deuxième gérant secondaire : Nathalie BOURDONCLE</t>
  </si>
  <si>
    <t xml:space="preserve">Q0404</t>
  </si>
  <si>
    <t xml:space="preserve">Sans changer de fonds, dans quelle classe d’actifs est-il classé ?</t>
  </si>
  <si>
    <t xml:space="preserve">Résultat R-co Conviction Equity Multi Caps Euro est classé dans la classe d’actifs Equities. Détails complémentaires Le chemin de management d’expertise associé est : Niveau 0 : Direct Investment Niveau 1 : Equities Niveau 2 : Thematic Niveau 3 (classe d’actifs) : Equities</t>
  </si>
  <si>
    <t xml:space="preserve">Q0405</t>
  </si>
  <si>
    <t xml:space="preserve">Je reviens à R-co Valor : quelle est sa note de risque officielle ?</t>
  </si>
  <si>
    <t xml:space="preserve">Résultat Pour R-co Valor (statut Production), la note de risque officielle est de 4 sur l’échelle de risque. Détails complémentaires La valeur de risque actuellement renseignée est 4.</t>
  </si>
  <si>
    <t xml:space="preserve">Q0406</t>
  </si>
  <si>
    <t xml:space="preserve">C082</t>
  </si>
  <si>
    <t xml:space="preserve">Cygne Distinctif</t>
  </si>
  <si>
    <t xml:space="preserve">Je prépare une fiche sur Cygne Distinctif : quelle société de gestion est indiquée ?</t>
  </si>
  <si>
    <t xml:space="preserve">Quel est le scope dans lequel vous souhaitez effectuer la recherche ?</t>
  </si>
  <si>
    <t xml:space="preserve">Q0407</t>
  </si>
  <si>
    <t xml:space="preserve">La requête a été modifiée pour : "Pour compléter la fiche, quel établissement assure le dépôt ?". Pourriez-vous préciser le scope de recherche à utiliser ?</t>
  </si>
  <si>
    <t xml:space="preserve">Q0408</t>
  </si>
  <si>
    <t xml:space="preserve">La requête a été modifiée pour rechercher "Sans changer de fonds, qui est le premier cogérant indiqué ?". Pourriez-vous préciser le scope de recherche à utiliser ?</t>
  </si>
  <si>
    <t xml:space="preserve">Q0409</t>
  </si>
  <si>
    <t xml:space="preserve">La réaffectation à un représentant n’est pas configurée pour ce copilote à l’heure actuelle. Toutefois, c’est ici que l’assistant peut vous indiquer comment contacter quelqu’un d’une autre façon. Puis-je vous aider pour autre chose ?</t>
  </si>
  <si>
    <t xml:space="preserve">Q0410</t>
  </si>
  <si>
    <t xml:space="preserve">Autre point sur ce fonds : quelle forme juridique est indiquée ?</t>
  </si>
  <si>
    <t xml:space="preserve">Résultat Aucune information disponible pour cette demande. Je ne retrouve pas de donnée concernant le fonds « Cygne Distinctif » dans les informations accessibles. Je ne peux donc pas confirmer la forme juridique de ce fonds.</t>
  </si>
  <si>
    <t xml:space="preserve">Q0411</t>
  </si>
  <si>
    <t xml:space="preserve">C083</t>
  </si>
  <si>
    <t xml:space="preserve">R-co Target 2027 HY</t>
  </si>
  <si>
    <t xml:space="preserve">Pour R-co Target 2027 HY, quelle est sa classe d’actifs ?</t>
  </si>
  <si>
    <t xml:space="preserve">Résultat Information trouvée Pour le fonds R-co Target 2027 HY, la classe d’actifs (Management d’expertise) est : Niveau 3 : Fixed Income Niveau 2 : High Yield Niveau 1 : FIXED INCOME Niveau 0 : DIRECT INVESTMENT Détails complémentaires Le chemin complet de la classe d’actifs est : Fixed Income &lt; High Yield &lt; FIXED INCOME &lt; DIRECT INVESTMENT Selon la hiérarchie métier, le niveau le plus fin (classe d’actifs) est donc : Fixed Income / High Yield.</t>
  </si>
  <si>
    <t xml:space="preserve">Q0412</t>
  </si>
  <si>
    <t xml:space="preserve">Résultat Information trouvée Le premier cogérant indiqué pour le fonds R-co Target 2027 HY est : LONGEARD Michaël Détails complémentaires Il est renseigné comme premier gérant secondaire (cogérant n°1) du fonds.</t>
  </si>
  <si>
    <t xml:space="preserve">Q0413</t>
  </si>
  <si>
    <t xml:space="preserve">Résultat Information trouvée La classification SFDR renseignée pour le fonds R-co Target 2027 HY est : Article 8 Détails complémentaires Cette classification indique que le fonds promeut des caractéristiques environnementales et/ou sociales au sens du règlement SFDR.</t>
  </si>
  <si>
    <t xml:space="preserve">Q0414</t>
  </si>
  <si>
    <t xml:space="preserve">Autre point sur ce fonds : à quelle fréquence la VL est-elle calculée ?</t>
  </si>
  <si>
    <t xml:space="preserve">Résultat Information trouvée Pour le fonds R-co Target 2027 HY, la fréquence de calcul de la valeur liquidative (VL) est : Quotidienne Détails complémentaires Toutes les parts en Production rattachées à ce fonds sont paramétrées avec une fréquence de VL quotidienne. Ainsi, la VL du fonds est calculée chaque jour de valorisation.</t>
  </si>
  <si>
    <t xml:space="preserve">donne la fréquence des parts alors que le produit est vide</t>
  </si>
  <si>
    <t xml:space="preserve">Q0415</t>
  </si>
  <si>
    <t xml:space="preserve">Résultat Information trouvée Le pays de domiciliation renseigné pour le fonds R-co Target 2027 HY est : France Détails complémentaires Le fonds est domicilié en France selon les informations de référence enregistrées.</t>
  </si>
  <si>
    <t xml:space="preserve">Q0416</t>
  </si>
  <si>
    <t xml:space="preserve">C084</t>
  </si>
  <si>
    <t xml:space="preserve">R-co OPAL European Equity Managers</t>
  </si>
  <si>
    <t xml:space="preserve">Je regarde R-co OPAL European Equity Managers. Qui est le premier cogérant indiqué ?</t>
  </si>
  <si>
    <t xml:space="preserve">AYACHE Thomas</t>
  </si>
  <si>
    <t xml:space="preserve">Résultat Pour le fonds R-co OPAL European Equity Managers, le premier cogérant indiqué est : Thomas AYACHE Détails complémentaires Il est renseigné comme premier cogérant du fonds en statut Production.</t>
  </si>
  <si>
    <t xml:space="preserve">Q0417</t>
  </si>
  <si>
    <t xml:space="preserve">Résultat La classification SFDR renseignée pour le fonds R-co OPAL European Equity Managers est : Article 8 Détails complémentaires Cette classification correspond à un fonds promouvant des caractéristiques environnementales et/ou sociales au sens du règlement SFDR.</t>
  </si>
  <si>
    <t xml:space="preserve">Q0418</t>
  </si>
  <si>
    <t xml:space="preserve">Résultat La zone d’investissement indiquée pour le fonds R-co OPAL European Equity Managers est : Europe Détails complémentaires Aucune autre information de zone d’investissement n’est renseignée sur ce fonds dans les données consultées.</t>
  </si>
  <si>
    <t xml:space="preserve">Q0419</t>
  </si>
  <si>
    <t xml:space="preserve">Résultat Le pays de domiciliation renseigné pour le fonds R-co OPAL European Equity Managers est : France Détails complémentaires Le fonds est enregistré avec une domiciliation en France.</t>
  </si>
  <si>
    <t xml:space="preserve">Q0420</t>
  </si>
  <si>
    <t xml:space="preserve">Résultat L’administrateur du fonds R-co OPAL European Equity Managers est : Caceis Fund Administration Détails complémentaires Cet acteur est renseigné comme valorisateur / administrateur du fonds dans le référentiel produit.</t>
  </si>
  <si>
    <t xml:space="preserve">Q0421</t>
  </si>
  <si>
    <t xml:space="preserve">C085</t>
  </si>
  <si>
    <t xml:space="preserve">Je prépare une fiche sur R-co Valor Equity : peux-tu me donner le nom du gérant principal ?</t>
  </si>
  <si>
    <t xml:space="preserve">Résultat Pour le fonds R-co Valor Equity, le gérant principal est : Yoann IGNATIEW Cette information provient de la fiche du fonds en statut Production.</t>
  </si>
  <si>
    <t xml:space="preserve">Q0422</t>
  </si>
  <si>
    <t xml:space="preserve">Résultat Pour le fonds R-co Valor Equity, le premier gérant de renfort est : Charles-Edouard BILBAULT Détails complémentaires Le fonds est bien en statut Production.</t>
  </si>
  <si>
    <t xml:space="preserve">Q0423</t>
  </si>
  <si>
    <t xml:space="preserve">Résultat Pour le fonds R-co Valor Equity, la région d’investissement est : Monde Détails complémentaires Le fonds consulté est en statut Production.</t>
  </si>
  <si>
    <t xml:space="preserve">Q0424</t>
  </si>
  <si>
    <t xml:space="preserve">Pour compléter la fiche, c’est un fonds de quelle classe d’actifs ?</t>
  </si>
  <si>
    <t xml:space="preserve">Résultat Pour le fonds R-co Valor Equity, la classe d’actifs est : Equities Détails complémentaires Cette information correspond à la classification « Classe d’actif » du fonds en statut Production.</t>
  </si>
  <si>
    <t xml:space="preserve">Q0425</t>
  </si>
  <si>
    <t xml:space="preserve">Sans changer de fonds, quelle classification SFDR est renseignée ? Réponds uniquement sur ce point.</t>
  </si>
  <si>
    <t xml:space="preserve">Article 8.</t>
  </si>
  <si>
    <t xml:space="preserve">Q0426</t>
  </si>
  <si>
    <t xml:space="preserve">C086</t>
  </si>
  <si>
    <t xml:space="preserve">Prats Hauts</t>
  </si>
  <si>
    <t xml:space="preserve">Pour Prats Hauts, quelle forme juridique est indiquée ?</t>
  </si>
  <si>
    <t xml:space="preserve">Résultat Pour le fonds Prats Hauts, la forme juridique indiquée est : SICAV. Détails complémentaires Le fonds est en statut Production.</t>
  </si>
  <si>
    <t xml:space="preserve">Q0427</t>
  </si>
  <si>
    <t xml:space="preserve">Résultat Pour le fonds Prats Hauts, la région d’investissement indiquée est : Monde. Détails complémentaires La forme juridique du fonds est SICAV et sa région d’investissement est Monde.</t>
  </si>
  <si>
    <t xml:space="preserve">Q0428</t>
  </si>
  <si>
    <t xml:space="preserve">Je passe à Elan Epargne Entreprises : où est-il domicilié ?</t>
  </si>
  <si>
    <t xml:space="preserve">Résultat Le fonds Elan Epargne Entreprises est domicilié en France. Détails complémentaires Le fonds est présent en statut Production.</t>
  </si>
  <si>
    <t xml:space="preserve">Q0429</t>
  </si>
  <si>
    <t xml:space="preserve">Résultat Pour le fonds Elan Epargne Entreprises, la classification SFDR renseignée est : Article 8. Détails complémentaires Le fonds est domicilié en France et est classé Article 8 au titre du SFDR.</t>
  </si>
  <si>
    <t xml:space="preserve">Q0430</t>
  </si>
  <si>
    <t xml:space="preserve">Je reviens à Prats Hauts : sous quelle réglementation OPC est-il classé ?</t>
  </si>
  <si>
    <t xml:space="preserve">Résultat Pour le fonds Prats Hauts, la réglementation OPC renseignée est : OPCVM. Détails complémentaires Les informations relevées pour ce fonds sont : Forme juridique : SICAV Région d’investissement : Monde Réglementation OPC : OPCVM</t>
  </si>
  <si>
    <t xml:space="preserve">Q0431</t>
  </si>
  <si>
    <t xml:space="preserve">C087</t>
  </si>
  <si>
    <t xml:space="preserve">Je regarde R-co Conviction Credit SD Euro. Sur quelle région d’investissement est-il positionné ?</t>
  </si>
  <si>
    <t xml:space="preserve">Résultat Information trouvée Le fonds « R-co Conviction Credit SD Euro » est positionné sur la région d’investissement : Zone euro. Détails complémentaires Le fonds est actuellement en statut Production.</t>
  </si>
  <si>
    <t xml:space="preserve">Q0432</t>
  </si>
  <si>
    <t xml:space="preserve">Pour compléter la fiche, où est-il domicilié ?</t>
  </si>
  <si>
    <t xml:space="preserve">Résultat Information trouvée Le fonds « R-co Conviction Credit SD Euro » est domicilié en France. Détails complémentaires Région d’investissement : Zone euro Domiciliation : France Ces informations correspondent à la version du fonds en Production.</t>
  </si>
  <si>
    <t xml:space="preserve">Q0433</t>
  </si>
  <si>
    <t xml:space="preserve">Résultat Information trouvée Aucune information disponible pour cette demande. Détails complémentaires Pour le fonds « R-co Conviction Credit SD Euro » en Production, la note de risque officielle n'est pas renseignée dans les données retournées.</t>
  </si>
  <si>
    <t xml:space="preserve">Q0434</t>
  </si>
  <si>
    <t xml:space="preserve">Résultat Information trouvée Aucune information disponible pour cette demande. Détails complémentaires Pour le fonds « R-co Conviction Credit SD Euro » en Production, aucune date de première VL n'est renseignée dans les données retournées.</t>
  </si>
  <si>
    <t xml:space="preserve">Q0435</t>
  </si>
  <si>
    <t xml:space="preserve">Autre point sur ce fonds : sur combien de temps est-il conseillé de le conserver ?</t>
  </si>
  <si>
    <t xml:space="preserve">Résultat Information trouvée Pour le fonds « R-co Conviction Credit SD Euro », la durée de détention recommandée est de 3 ans. Détails complémentaires Cette information correspond à la version du fonds en Production.</t>
  </si>
  <si>
    <t xml:space="preserve">Q0436</t>
  </si>
  <si>
    <t xml:space="preserve">C088</t>
  </si>
  <si>
    <t xml:space="preserve">Je prépare une fiche sur ROPS - Obligations Convertibles 0-40 Europe 1 : quelle société de gestion est indiquée ?</t>
  </si>
  <si>
    <t xml:space="preserve">Résultat Pour le fonds/produit « ROPS - Obligations Convertibles 0-40 Europe 1 » en statut Production, la société de gestion indiquée est : Rothschild &amp; Co Asset Management. Détails complémentaires Le produit « ROPS - Obligations Convertibles 0-40 Europe 1 » est présent en Production dans le référentiel et est rattaché à cette société de gestion.</t>
  </si>
  <si>
    <t xml:space="preserve">Q0437</t>
  </si>
  <si>
    <t xml:space="preserve">Résultat L’établissement dépositaire indiqué pour « ROPS - Obligations Convertibles 0-40 Europe 1 » est : Caceis Bank Détails complémentaires Cette information est rattachée à la version du fonds en statut Production.</t>
  </si>
  <si>
    <t xml:space="preserve">Q0438</t>
  </si>
  <si>
    <t xml:space="preserve">Et pour ce même produit, quelle forme juridique est indiquée ?</t>
  </si>
  <si>
    <t xml:space="preserve">Résultat Pour le produit « ROPS - Obligations Convertibles 0-40 Europe 1 », la forme juridique indiquée est : FCP (Fonds Commun de Placement) Détails complémentaires Cette information correspond à la version du produit en statut Production.</t>
  </si>
  <si>
    <t xml:space="preserve">Q0439</t>
  </si>
  <si>
    <t xml:space="preserve">Autre point sur ce fonds : qui apparaît comme troisième gérant secondaire ? Si tu ne trouves pas, dis-le clairement.</t>
  </si>
  <si>
    <t xml:space="preserve">Résultat Aucune information disponible pour un troisième gérant secondaire sur le fonds « ROPS - Obligations Convertibles 0-40 Europe 1 ». Détails complémentaires Dans l’enregistrement du fonds en statut Production, aucun troisième gérant secondaire n’est renseigné. Je ne peux donc pas identifier de personne pour ce rôle.</t>
  </si>
  <si>
    <t xml:space="preserve">Q0440</t>
  </si>
  <si>
    <t xml:space="preserve">Résultat Le commissaire aux comptes indiqué pour le fonds « ROPS - Obligations Convertibles 0-40 Europe 1 » est : PricewaterhouseCoopers Audit Détails complémentaires Cette information est issue de la version du fonds en statut Production.</t>
  </si>
  <si>
    <t xml:space="preserve">Q0441</t>
  </si>
  <si>
    <t xml:space="preserve">C089</t>
  </si>
  <si>
    <t xml:space="preserve">Pour R-co Thematic Real Estate, quel gérant est indiqué en premier ?</t>
  </si>
  <si>
    <t xml:space="preserve">REUGE Paul</t>
  </si>
  <si>
    <t xml:space="preserve">Résultat Pour le fonds « R-co Thematic Real Estate », le gérant indiqué en premier (gérant principal) est : Paul REUGE Détails complémentaires : Un gérant secondaire 1 est également renseigné pour ce fonds.</t>
  </si>
  <si>
    <t xml:space="preserve">Q0442</t>
  </si>
  <si>
    <t xml:space="preserve">Résultat Pour le fonds « R-co Thematic Real Estate », la forme juridique indiquée est : SICAV Détails complémentaires Aucune autre forme juridique n’est renseignée pour ce fonds en statut Production.</t>
  </si>
  <si>
    <t xml:space="preserve">Q0443</t>
  </si>
  <si>
    <t xml:space="preserve">Résultat Pour le fonds « R-co Thematic Real Estate », la classe d’actifs indiquée est : Equities Détails complémentaires La classe d’actifs est issue du référentiel « Management d’expertise » associé au fonds.</t>
  </si>
  <si>
    <t xml:space="preserve">Q0444</t>
  </si>
  <si>
    <t xml:space="preserve">Résultat Pour le fonds « R-co Thematic Real Estate », la zone d’investissement indiquée est : Zone euro Détails complémentaires Aucune zone d’investissement spécifique n’est renseignée via le référentiel dédié ; la zone géographique indiquée sur le fonds est « Zone euro ».</t>
  </si>
  <si>
    <t xml:space="preserve">Q0445</t>
  </si>
  <si>
    <t xml:space="preserve">Résultat Aucune information disponible pour cette demande. Détails complémentaires La note de risque officielle n’est pas renseignée pour le fonds « R-co Thematic Real Estate » dans les données disponibles du référentiel.</t>
  </si>
  <si>
    <t xml:space="preserve">Q0446</t>
  </si>
  <si>
    <t xml:space="preserve">C090</t>
  </si>
  <si>
    <t xml:space="preserve">Vital Flex Dynamique</t>
  </si>
  <si>
    <t xml:space="preserve">Je regarde Vital Flex Dynamique. Quelle forme juridique est indiquée ?</t>
  </si>
  <si>
    <t xml:space="preserve">Je ne trouve pas d’enregistrement correspondant à « Vital Flex Dynamique » avec les recherches disponibles. Résultat Aucune information disponible pour cette demande.</t>
  </si>
  <si>
    <t xml:space="preserve">Q0447</t>
  </si>
  <si>
    <t xml:space="preserve">Autre point sur ce fonds : quelle réglementation OPC lui est applicable ?</t>
  </si>
  <si>
    <t xml:space="preserve">Résultat Pour le fonds « Vital Flex Dynamique », la réglementation OPC applicable indiquée est : OPCVM. Détails complémentaires Le fonds « Vital Flex Dynamique » est en statut Production et son champ de réglementation OPC est renseigné à « OPCVM ».</t>
  </si>
  <si>
    <t xml:space="preserve">Q0448</t>
  </si>
  <si>
    <t xml:space="preserve">Résultat Le dépositaire du fonds « Vital Flex Dynamique » est : Rothschild &amp; Co Martin Maurel. Détails complémentaires Cette information est renseignée au niveau du fonds en statut Production.</t>
  </si>
  <si>
    <t xml:space="preserve">Q0449</t>
  </si>
  <si>
    <t xml:space="preserve">Résultat Aucune note de risque officielle n'est renseignée pour le fonds « Vital Flex Dynamique ». Détails complémentaires Le champ correspondant à la note de risque officielle ne contient pas de valeur pour ce fonds dans les données disponibles.</t>
  </si>
  <si>
    <t xml:space="preserve">Q0450</t>
  </si>
  <si>
    <t xml:space="preserve">Résultat Le fonds « Vital Flex Dynamique » relève de l’Article 8 du règlement SFDR. Détails complémentaires La catégorie SFDR renseignée pour ce fonds en Production est : Article 8.</t>
  </si>
  <si>
    <t xml:space="preserve">Q0451</t>
  </si>
  <si>
    <t xml:space="preserve">C091</t>
  </si>
  <si>
    <t xml:space="preserve">Je prépare une fiche sur R-co Conviction Credit Euro : est-ce que tu as sa forme juridique ?</t>
  </si>
  <si>
    <t xml:space="preserve">Résultat Information trouvée La forme juridique du fonds « R-co Conviction Credit Euro » est : SICAV. Détails complémentaires Le fonds a été trouvé dans le référentiel Product Info avec un statut Production.</t>
  </si>
  <si>
    <t xml:space="preserve">Q0452</t>
  </si>
  <si>
    <t xml:space="preserve">Résultat Information trouvée La devise comptable du fonds « R-co Conviction Credit Euro » est : EUR (euro). Détails complémentaires Le fonds est référencé en statut Production.</t>
  </si>
  <si>
    <t xml:space="preserve">Q0453</t>
  </si>
  <si>
    <t xml:space="preserve">Je passe à R-co Conviction Club : quelle est sa note de risque officielle ?</t>
  </si>
  <si>
    <t xml:space="preserve">Résultat Information trouvée Pour le fonds « R-co Conviction Club », aucune note de risque officielle n'est renseignée dans les données disponibles. Détails complémentaires Le fonds a bien été trouvé dans le référentiel Product Info avec un statut Production, mais la note de risque officielle n'est pas renseignée.</t>
  </si>
  <si>
    <t xml:space="preserve">Q0454</t>
  </si>
  <si>
    <t xml:space="preserve">Résultat Information trouvée Le fonds « R-co Conviction Club » est classé sous la réglementation OPC : OPCVM. Détails complémentaires Cette réglementation est celle renseignée pour le fonds en statut Production.</t>
  </si>
  <si>
    <t xml:space="preserve">Q0455</t>
  </si>
  <si>
    <t xml:space="preserve">Je reviens à R-co Conviction Credit Euro : quelle classification SFDR est renseignée ?</t>
  </si>
  <si>
    <t xml:space="preserve">Résultat Information trouvée La classification SFDR renseignée pour le fonds « R-co Conviction Credit Euro » est : Article 8. Détails complémentaires Cette classification est celle enregistrée pour le fonds en statut Production.</t>
  </si>
  <si>
    <t xml:space="preserve">Q0456</t>
  </si>
  <si>
    <t xml:space="preserve">C092</t>
  </si>
  <si>
    <t xml:space="preserve">R-co Lux Montjoly Investissements</t>
  </si>
  <si>
    <t xml:space="preserve">Pour R-co Lux Montjoly Investissements, il relève de quel article SFDR ?</t>
  </si>
  <si>
    <t xml:space="preserve">Résultat Information trouvée Le fonds « R-co Lux Montjoly Investissements » relève de l’Article 6 SFDR. Détails complémentaires Fonds : R-co Lux Montjoly Investissements Statut : Production Classification SFDR : Article 6</t>
  </si>
  <si>
    <t xml:space="preserve">Q0457</t>
  </si>
  <si>
    <t xml:space="preserve">Résultat Information trouvée Aucune information disponible pour cette demande. Détails complémentaires Pour le fonds « R-co Lux Montjoly Investissements » en statut Production, aucune valeur de note de risque officielle n'est renseignée dans les données disponibles.</t>
  </si>
  <si>
    <t xml:space="preserve">Q0458</t>
  </si>
  <si>
    <t xml:space="preserve">Résultat Information trouvée Aucune information disponible pour cette demande. Détails complémentaires Pour le fonds « R-co Lux Montjoly Investissements » en statut Production, aucune information renseignée n’a été trouvée concernant la prise en compte des PAI (Principal Adverse Impacts) dans les données disponibles.</t>
  </si>
  <si>
    <t xml:space="preserve">Q0459</t>
  </si>
  <si>
    <t xml:space="preserve">Et pour ce même produit, quelle fréquence de VL est indiquée ?</t>
  </si>
  <si>
    <t xml:space="preserve">Résultat Information trouvée Aucune information disponible pour cette demande. Détails complémentaires Pour le fonds « R-co Lux Montjoly Investissements » en statut Production, aucune fréquence de valorisation (VL) n'est renseignée dans les données disponibles.</t>
  </si>
  <si>
    <t xml:space="preserve">Q0460</t>
  </si>
  <si>
    <t xml:space="preserve">Autre point sur ce fonds : quelle société de gestion est indiquée ? Réponds uniquement sur ce point.</t>
  </si>
  <si>
    <t xml:space="preserve">Résultat Rothschild &amp; Co Investment Managers.</t>
  </si>
  <si>
    <t xml:space="preserve">Q0461</t>
  </si>
  <si>
    <t xml:space="preserve">C093</t>
  </si>
  <si>
    <t xml:space="preserve">R-co Conviction Credit 12M Euro</t>
  </si>
  <si>
    <t xml:space="preserve">Je regarde R-co Conviction Credit 12M Euro. Quelle est sa note de risque officielle ?</t>
  </si>
  <si>
    <t xml:space="preserve">Résultat Aucune information disponible pour cette demande. Le fonds/les parts correspondant à « R-co Conviction Credit 12M Euro » sont présents dans le référentiel uniquement avec des statuts historiques ou dissous, et aucune note de risque officielle n'est retournée par les données disponibles pour ces enregistrements. Détails complémentaires Les enregistrements retrouvés concernent « R-co Lux Conviction Credit 12M Euro » et ses parts associées, mais ils ne sont pas en statut Production et la note de risque officielle n'est pas renseignée dans les résultats accessibles.</t>
  </si>
  <si>
    <t xml:space="preserve">Q0462</t>
  </si>
  <si>
    <t xml:space="preserve">Résultat Le premier gérant secondaire de « R-co Lux Conviction Credit 12M Euro » est : Julien MENGOZZI Détails complémentaires Ce gérant est renseigné dans le rôle de premier gérant secondaire du fonds.</t>
  </si>
  <si>
    <t xml:space="preserve">réponse sur un autre fonds (R-co Lux Conviction Credit 12M Euro)</t>
  </si>
  <si>
    <t xml:space="preserve">Q0463</t>
  </si>
  <si>
    <t xml:space="preserve">Résultat La classe d’actifs de « R-co Lux Conviction Credit 12M Euro » est : Fixed Income (Obligataire) Détails complémentaires Le rattachement dans la hiérarchie d’expertise est : Niveau 3 : Fixed Income Niveau 2 : Investment Grade Niveau 1 : FIXED INCOME Niveau 0 : DIRECT INVESTMENT</t>
  </si>
  <si>
    <t xml:space="preserve">Q0464</t>
  </si>
  <si>
    <t xml:space="preserve">Autre point sur ce fonds : quel agent de transfert est indiqué ?</t>
  </si>
  <si>
    <t xml:space="preserve">Résultat L’agent de transfert indiqué pour « R-co Lux Conviction Credit 12M Euro » est : CACEIS Bank Luxembourg Branch Détails complémentaires Cet agent de transfert est renseigné de manière identique sur les enregistrements retrouvés pour ce fonds.</t>
  </si>
  <si>
    <t xml:space="preserve">réponse sur un autre fonds (R-co Lux Conviction Credit 12M Euro), valeur donnée sur cellule vide</t>
  </si>
  <si>
    <t xml:space="preserve">Q0465</t>
  </si>
  <si>
    <t xml:space="preserve">Au passage, tu as sa catégorie AMF en matière d’ESG ?</t>
  </si>
  <si>
    <t xml:space="preserve">Résultat La catégorie AMF ESG renseignée pour « R-co Lux Conviction Credit 12M Euro » est : Catégorie 2 Détails complémentaires L’information est présente sur les versions historiques du fonds retrouvées dans le référentiel. Pour l’un des enregistrements historiques, la catégorie n’est pas renseignée, mais les autres versions portent toutes la catégorie AMF ESG « 2 ».</t>
  </si>
  <si>
    <t xml:space="preserve">Q0466</t>
  </si>
  <si>
    <t xml:space="preserve">C094</t>
  </si>
  <si>
    <t xml:space="preserve">STELLA</t>
  </si>
  <si>
    <t xml:space="preserve">Je prépare une fiche sur STELLA : quelle société de gestion est indiquée ?</t>
  </si>
  <si>
    <t xml:space="preserve">Résultat Pour le fonds STELLA (statut Production), la société de gestion indiquée est : Rothschild &amp; Co Asset Management Détails complémentaires Aucune autre société de gestion n’est associée à ce fonds dans le référentiel pour l’enregistrement Production.</t>
  </si>
  <si>
    <t xml:space="preserve">Q0467</t>
  </si>
  <si>
    <t xml:space="preserve">Résultat Pour le fonds STELLA, l’établissement dépositaire indiqué est : Caceis Bank Détails complémentaires Caceis Bank est renseigné comme dépositaire du fonds dans le référentiel produit.</t>
  </si>
  <si>
    <t xml:space="preserve">Q0468</t>
  </si>
  <si>
    <t xml:space="preserve">Autre point sur ce fonds : quelle catégorie AMF ESG lui est attribuée ?</t>
  </si>
  <si>
    <t xml:space="preserve">Résultat Pour le fonds STELLA, la catégorie AMF ESG attribuée est : Catégorie 3 Détails complémentaires La valeur enregistrée dans le référentiel pour ce fonds en Production est « 3 ».</t>
  </si>
  <si>
    <t xml:space="preserve">Q0469</t>
  </si>
  <si>
    <t xml:space="preserve">Résultat Pour le fonds STELLA, la devise de comptabilité est : EUR (euro) Détails complémentaires La comptabilité du fonds est tenue en euros (€).</t>
  </si>
  <si>
    <t xml:space="preserve">Q0470</t>
  </si>
  <si>
    <t xml:space="preserve">Résultat Pour le fonds STELLA, la forme juridique indiquée est : FCP (Fonds Commun de Placement) Détails complémentaires Le référentiel produit renseigne la forme juridique « FCP » pour ce fonds en Production.</t>
  </si>
  <si>
    <t xml:space="preserve">Q0471</t>
  </si>
  <si>
    <t xml:space="preserve">C095</t>
  </si>
  <si>
    <t xml:space="preserve">Pour R-co 4Change Green Bonds, quelle est sa classe d’actifs ?</t>
  </si>
  <si>
    <t xml:space="preserve">Résultat Pour le fonds R-co 4Change Green Bonds, la classe d’actifs (Management d’expertise – niveau 3) est : Fixed Income Détails complémentaires Chemin complet de classification : Fixed Income Investment Grade FIXED INCOME DIRECT INVESTMENT La classe d’actifs correspond au premier niveau de ce chemin, soit : Fixed Income.</t>
  </si>
  <si>
    <t xml:space="preserve">Q0472</t>
  </si>
  <si>
    <t xml:space="preserve">1</t>
  </si>
  <si>
    <t xml:space="preserve">Résultat Pour le fonds R-co 4Change Green Bonds, la catégorie AMF ESG attribuée est : Catégorie 1 Détails complémentaires Aucune autre information complémentaire n’est associée à cette catégorie dans le référentiel consulté.</t>
  </si>
  <si>
    <t xml:space="preserve">Q0473</t>
  </si>
  <si>
    <t xml:space="preserve">Résultat Pour le fonds R-co 4Change Green Bonds, la classification SFDR renseignée est : Article 9 Détails complémentaires Ce fonds est donc classé SFDR en tant que produit relevant de l’Article 9 selon l’information enregistrée dans le référentiel.</t>
  </si>
  <si>
    <t xml:space="preserve">Q0474</t>
  </si>
  <si>
    <t xml:space="preserve">Pour compléter la fiche, quel était le SRI du mois précédent ?</t>
  </si>
  <si>
    <t xml:space="preserve">Résultat Pour le fonds R-co 4Change Green Bonds, l’information disponible dans le référentiel indique un SRI de 2. Détails complémentaires Les données consultées ne contiennent pas d’historique mensuel permettant d’identifier explicitement le « SRI du mois précédent ». La valeur de risque disponible associée au fonds est actuellement : SRI : 2 Aucune information disponible pour distinguer une valeur spécifique au mois précédent.</t>
  </si>
  <si>
    <t xml:space="preserve">Q0475</t>
  </si>
  <si>
    <t xml:space="preserve">Résultat Pour le fonds R-co 4Change Green Bonds, le conservateur est : Rothschild &amp; Co Martin Maurel Détails complémentaires Aucune autre information complémentaire n’est renseignée pour ce champ dans le référentiel consulté.</t>
  </si>
  <si>
    <t xml:space="preserve">Q0476</t>
  </si>
  <si>
    <t xml:space="preserve">C096</t>
  </si>
  <si>
    <t xml:space="preserve">RMM Invest 9</t>
  </si>
  <si>
    <t xml:space="preserve">Je regarde RMM Invest 9. Quelle catégorie AMF ESG lui est attribuée ?</t>
  </si>
  <si>
    <t xml:space="preserve">No category</t>
  </si>
  <si>
    <t xml:space="preserve">Résultat Information trouvée Pour le fonds RMM Invest 9, la catégorie AMF ESG attribuée est : Pas de catégorie.</t>
  </si>
  <si>
    <t xml:space="preserve">Q0477</t>
  </si>
  <si>
    <t xml:space="preserve">Résultat Information trouvée Pour le fonds RMM Invest 9, la classification SFDR renseignée est : Article 6. Détails complémentaires Catégorie AMF ESG : Pas de catégorie Classification SFDR : Article 6</t>
  </si>
  <si>
    <t xml:space="preserve">Q0478</t>
  </si>
  <si>
    <t xml:space="preserve">Cap Business</t>
  </si>
  <si>
    <t xml:space="preserve">Je passe à Cap Business : quelle zone d’investissement est indiquée ?</t>
  </si>
  <si>
    <t xml:space="preserve">Résultat Information trouvée Pour le fonds Cap Business, aucune zone d’investissement n’est renseignée dans les données disponibles. Détails complémentaires Aucune information disponible pour cette demande concernant la zone d’investissement.</t>
  </si>
  <si>
    <t xml:space="preserve">Q0479</t>
  </si>
  <si>
    <t xml:space="preserve">Résultat Information trouvée Pour le fonds Cap Business, le conservateur renseigné est : Rothschild &amp; Co Martin Maurel Détails complémentaires Aucune autre information complémentaire pertinente n’est renseignée pour cette demande.</t>
  </si>
  <si>
    <t xml:space="preserve">Q0480</t>
  </si>
  <si>
    <t xml:space="preserve">Je reviens à RMM Invest 9 : qui est l’administrateur du fonds ?</t>
  </si>
  <si>
    <t xml:space="preserve">Résultat Information trouvée Pour le fonds RMM Invest 9, l’administrateur du fonds (valorisateur) renseigné est : Caceis Fund Administration Détails complémentaires Aucune autre information complémentaire pertinente n’est demandée pour cette recherche.</t>
  </si>
  <si>
    <t xml:space="preserve">Q0481</t>
  </si>
  <si>
    <t xml:space="preserve">C097</t>
  </si>
  <si>
    <t xml:space="preserve">Je prépare une fiche sur R-co Valor 4Change Global Equity : peux-tu me donner le nom du gérant principal ?</t>
  </si>
  <si>
    <t xml:space="preserve">Résultat Le gérant principal du fonds « R-co Valor 4Change Global Equity » est : Yoann IGNATIEW Cette information provient de la version du fonds en statut Production.</t>
  </si>
  <si>
    <t xml:space="preserve">Q0482</t>
  </si>
  <si>
    <t xml:space="preserve">Résultat Le premier gérant de renfort du fonds « R-co Valor 4Change Global Equity » est : Anthony BAILLY Détails complémentaires Cette information correspond au premier gérant de renfort renseigné sur la version du fonds en statut Production.</t>
  </si>
  <si>
    <t xml:space="preserve">Q0483</t>
  </si>
  <si>
    <t xml:space="preserve">Résultat Le conservateur du fonds « R-co Valor 4Change Global Equity » est : Rothschild &amp; Co Martin Maurel Détails complémentaires Cette information est issue de la fiche du fonds en statut Production.</t>
  </si>
  <si>
    <t xml:space="preserve">Q0484</t>
  </si>
  <si>
    <t xml:space="preserve">Et pour ce même produit, à quelle fréquence la VL est-elle calculée ? Si tu ne trouves pas, dis-le clairement.</t>
  </si>
  <si>
    <t xml:space="preserve">Résultat Je ne trouve pas d’information exploitable sur la fréquence de calcul de la VL pour le fonds « R-co Valor 4Change Global Equity ». Détails complémentaires Le champ correspondant à la fréquence de valorisation n'est pas renseigné dans les données consultées pour ce fonds en statut Production. Aucune information disponible pour cette demande.</t>
  </si>
  <si>
    <t xml:space="preserve">Q0485</t>
  </si>
  <si>
    <t xml:space="preserve">Résultat La classification SFDR renseignée pour le fonds « R-co Valor 4Change Global Equity » est : Article 9 Détails complémentaires Cette classification est celle enregistrée sur la version du fonds en statut Production.</t>
  </si>
  <si>
    <t xml:space="preserve">Q0486</t>
  </si>
  <si>
    <t xml:space="preserve">C098</t>
  </si>
  <si>
    <t xml:space="preserve">R-co Stratégie Club</t>
  </si>
  <si>
    <t xml:space="preserve">Pour R-co Stratégie Club, quelle forme juridique est indiquée ?</t>
  </si>
  <si>
    <t xml:space="preserve">Désolé, une erreur inattendue s’est produite. Nous sommes en train de l’étudier. Code d’erreur : SystemError. ID de conversation : 34c64403-9a28-4835-aa1c-ce833b6f09de. Heure (UTC) : 10/15/2026 1:48:12 PM.</t>
  </si>
  <si>
    <t xml:space="preserve">message d'erreur de la plateforme</t>
  </si>
  <si>
    <t xml:space="preserve">Q0487</t>
  </si>
  <si>
    <t xml:space="preserve">Résultat Pour le fonds R-co Stratégie Club, le conservateur indiqué est : Rotschild &amp; Co Martin Maurel. Détails complémentaires Le fonds est en statut Production dans le référentiel.</t>
  </si>
  <si>
    <t xml:space="preserve">valeur exacte (faute de frappe : Rotschild)</t>
  </si>
  <si>
    <t xml:space="preserve">Q0488</t>
  </si>
  <si>
    <t xml:space="preserve">Résultat Pour le fonds R-co Stratégie Club, le pays de domiciliation est : France. Détails complémentaires Le fonds est référencé en statut Production.</t>
  </si>
  <si>
    <t xml:space="preserve">Q0489</t>
  </si>
  <si>
    <t xml:space="preserve">Autre point sur ce fonds : tu as son code AMF ?</t>
  </si>
  <si>
    <t xml:space="preserve">Résultat Aucune information disponible pour cette demande. Détails complémentaires Pour le fonds R-co Stratégie Club, aucun code AMF n'est renseigné dans le référentiel pour ce produit.</t>
  </si>
  <si>
    <t xml:space="preserve">Q0490</t>
  </si>
  <si>
    <t xml:space="preserve">Résultat Pour le fonds R-co Stratégie Club, le centralisateur est : Rothschild &amp; Co Martin Maurel. Détails complémentaires Le centralisateur renseigné est identique au conservateur pour ce fonds.</t>
  </si>
  <si>
    <t xml:space="preserve">Q0491</t>
  </si>
  <si>
    <t xml:space="preserve">C099</t>
  </si>
  <si>
    <t xml:space="preserve">Je regarde R-co Conviction Credit SD Euro. Quel est son conservateur ?</t>
  </si>
  <si>
    <t xml:space="preserve">Résultat Pour le fonds « R-co Conviction Credit SD Euro », le conservateur est : Rothschild &amp; Co Martin Maurel Cette information est renseignée sur le fonds en statut Production.</t>
  </si>
  <si>
    <t xml:space="preserve">Q0492</t>
  </si>
  <si>
    <t xml:space="preserve">Résultat Pour le fonds « R-co Conviction Credit SD Euro », la zone d’investissement indiquée est : Zone euro Détails complémentaires Aucune autre zone d’investissement n’est renseignée pour ce fonds dans les données consultées.</t>
  </si>
  <si>
    <t xml:space="preserve">Q0493</t>
  </si>
  <si>
    <t xml:space="preserve">Résultat Aucune information disponible pour cette demande. Détails complémentaires Pour le fonds « R-co Conviction Credit SD Euro », le champ correspondant à la note de risque officielle n'est pas renseigné dans les données de Production consultées. Le référentiel contient bien l'attribut de note de risque officielle au niveau du fonds, mais aucune valeur n'est enregistrée pour ce produit.</t>
  </si>
  <si>
    <t xml:space="preserve">Q0494</t>
  </si>
  <si>
    <t xml:space="preserve">Résultat Pour le fonds « R-co Conviction Credit SD Euro », le centralisateur est : Rothschild &amp; Co Martin Maurel Détails complémentaires Le centralisateur renseigné pour ce fonds est identique au conservateur.</t>
  </si>
  <si>
    <t xml:space="preserve">Q0495</t>
  </si>
  <si>
    <t xml:space="preserve">Pour compléter la fiche, sur combien de temps est-il conseillé de le conserver ? Réponds uniquement sur ce point.</t>
  </si>
  <si>
    <t xml:space="preserve">3 ans.</t>
  </si>
  <si>
    <t xml:space="preserve">Q0496</t>
  </si>
  <si>
    <t xml:space="preserve">C100</t>
  </si>
  <si>
    <t xml:space="preserve">R-co Midcap France</t>
  </si>
  <si>
    <t xml:space="preserve">Je prépare une fiche sur R-co Midcap France : quelle société de gestion est indiquée ?</t>
  </si>
  <si>
    <t xml:space="preserve">Résultat Pour le fonds « R-co Midcap France », la société de gestion indiquée est : Rothschild &amp; Co Asset Management Détails complémentaires Le fonds « R-co Midcap France » est présent en statut Production et est rattaché à la société de gestion Rothschild &amp; Co Asset Management.</t>
  </si>
  <si>
    <t xml:space="preserve">Q0497</t>
  </si>
  <si>
    <t xml:space="preserve">Résultat Pour le fonds « R-co Midcap France », l’établissement dépositaire indiqué est : Rothschild &amp; Co Martin Maurel Détails complémentaires Cet établissement est renseigné comme dépositaire du fonds dans le référentiel Product Info.</t>
  </si>
  <si>
    <t xml:space="preserve">Q0498</t>
  </si>
  <si>
    <t xml:space="preserve">Résultat Pour le fonds « R-co Midcap France », le centralisateur indiqué est : Rothschild &amp; Co Martin Maurel Détails complémentaires Le centralisateur renseigné pour ce fonds est le même établissement que le dépositaire : Rothschild &amp; Co Martin Maurel.</t>
  </si>
  <si>
    <t xml:space="preserve">Q0499</t>
  </si>
  <si>
    <t xml:space="preserve">Pour compléter la fiche, quel administrateur est renseigné ?</t>
  </si>
  <si>
    <t xml:space="preserve">Résultat Pour le fonds « R-co Midcap France », l’administrateur (valorisateur) renseigné est : Caceis Fund Administration Détails complémentaires Caceis Fund Administration est l’établissement indiqué comme administrateur du fonds dans le référentiel Product Info.</t>
  </si>
  <si>
    <t xml:space="preserve">Q0500</t>
  </si>
  <si>
    <t xml:space="preserve">Textes longs</t>
  </si>
  <si>
    <t xml:space="preserve">Domitius</t>
  </si>
  <si>
    <t xml:space="preserve">Investment objective (FR)</t>
  </si>
  <si>
    <t xml:space="preserve">Je passe à un autre dossier : pour Domitius, quelle information est renseignée sur l’objectif de gestion en français ?</t>
  </si>
  <si>
    <t xml:space="preserve">Domitius a pour objectif de rechercher, sur la durée de placement recommandé, une performance positive, en investissant essentiellement sur les marchés de taux mondiaux. Le portefeuille est composé à 90% minimum d'OPC de taux et/ou diversifiés (dont notamment les OPC spécialisés en obligations convertibles), ainsi qu'en obligations en direct. Le FIA aura également la possibilité d'investir en actions à titre accessoire et, dans la limite globale de 30 % de son actif, en obligations non notées ou à haut rendement à caractère spéculatif.</t>
  </si>
  <si>
    <t xml:space="preserve">Résultat Pour le fonds « Domitius », l’objectif de gestion en français renseigné est : « Domitius a pour objectif de rechercher, sur la durée de placement recommandé, une performance positive, en investissant essentiellement sur les marchés de taux mondiaux. Le portefeuille est composé à 90% minimum d'OPC de taux et/ou diversifiés (dont notamment les OPC spécialisés en obligations convertibles), ainsi qu'en obligations en direct. Le FIA aura également la possibilité d'investir en actions à titre accessoire et, dans la limite globale de 30 % de son actif, en obligations non notées ou à haut rendement à caractère spéculatif. » Détails complémentaires Cette description correspond à l’objectif de gestion en français actuellement renseigné pour le fonds Domitius.</t>
  </si>
  <si>
    <t xml:space="preserve">texte long (98% des mots)</t>
  </si>
  <si>
    <t xml:space="preserve">Q0501</t>
  </si>
  <si>
    <t xml:space="preserve">C101</t>
  </si>
  <si>
    <t xml:space="preserve">Max Indirect Management fees (%)</t>
  </si>
  <si>
    <t xml:space="preserve">Je vérifie R-co Conviction High Yield SD Euro avant d’envoyer une fiche client : le plafond des frais indirects de gestion ?</t>
  </si>
  <si>
    <t xml:space="preserve">0</t>
  </si>
  <si>
    <t xml:space="preserve">Je ne trouve pas directement la part « R-co Conviction High Yield SD Euro » dans les données accessibles avec les informations disponibles. Pour vérifier le plafond des frais indirects de gestion de cette part avant envoi de la fiche client, il me faut pouvoir identifier précisément l’enregistrement produit correspondant (par exemple via le code ISIN ou l’intitulé exact de la part tel qu’il figure dans le référentiel). Résultat Aucune information disponible pour cette demande.</t>
  </si>
  <si>
    <t xml:space="preserve">Q0502</t>
  </si>
  <si>
    <t xml:space="preserve">% Min SI (EET 20420)</t>
  </si>
  <si>
    <t xml:space="preserve">Pour ce même produit, la part minimale d’investissements durables déclarée dans l’EET ?</t>
  </si>
  <si>
    <t xml:space="preserve">30</t>
  </si>
  <si>
    <t xml:space="preserve">Résultat Aucune information disponible pour cette demande. Je ne parviens pas à identifier dans les données accessibles le produit « R-co Conviction High Yield SD Euro ». Sans correspondance produit ou part retrouvée dans le référentiel, la valeur « part minimale d’investissements durables déclarée dans l’EET » ne peut pas être déterminée.</t>
  </si>
  <si>
    <t xml:space="preserve">Q0503</t>
  </si>
  <si>
    <t xml:space="preserve">Quelle donnée faut-il retenir pour l’objectif de gestion en français ?</t>
  </si>
  <si>
    <t xml:space="preserve">Le compartiment a pour objectif de gestion d'obtenir, sur la durée de placement recommandée supérieure à 3 ans, une performance nette de frais de gestion supérieure à celle de son indice de référence (ICE BofA BB-B 1-3 Year Euro Developed Markets High Yield Constrained Custom Index) en s’exposant de façon dynamique au marché des titres spéculatifs à haut rendement à court-moyen terme libellé en euro grâce à une gestion discrétionnaire reposant sur l’analyse du risque crédit des émetteurs et de l’analyse de la courbe des taux.</t>
  </si>
  <si>
    <t xml:space="preserve">Résultat Aucune information disponible pour cette demande. Je ne dispose pas, dans les données consultées, d’une définition permettant d’identifier quel champ ou quelle donnée doit être retenu pour l’objectif de gestion en français. Pour répondre de manière fiable, il faudrait retrouver le produit ou la documentation métier correspondante dans le référentiel.</t>
  </si>
  <si>
    <t xml:space="preserve">Q0504</t>
  </si>
  <si>
    <t xml:space="preserve">Strategic allocation (FR)</t>
  </si>
  <si>
    <t xml:space="preserve">Passe maintenant à l’allocation stratégique en français.</t>
  </si>
  <si>
    <t xml:space="preserve">Le portefeuille de R-co Conviction High Yield SD Euro est composé d’obligations et de titres de créances négociables, à taux fixe, variable ou révisable, de titres subordonnés (dont 20% maximum de l’actif net d’obligations contingentes convertibles) et jusqu’à 100% d’obligations callable/puttable, d’obligations indexées, de toute qualité de signature, de toute échéance, de toute maturité (la maturité moyenne du portefeuille ne devant pas excéder 3 ans) et de bons à moyen terme négociables, ainsi que d’obligations convertibles (jusqu’à 10% maximum).
Le compartiment pourra être investi dans des titres et obligations émis par des Etats non-membres de l’OCDE et/ou des émetteurs ayant leur siège social dans un pays hors OCDE (y compris les pays émergents) jusqu’à 10% maximum de son actif.
L'exposition aux obligations et de titres de créances négociables non libellés en euro restera accessoire.</t>
  </si>
  <si>
    <t xml:space="preserve">Résultat Aucune information disponible pour cette demande. Je ne trouve pas dans les données accessibles d’information permettant d’identifier la donnée de référence à utiliser pour l’allocation stratégique en français. Aucune règle métier ou donnée correspondante n’a été retrouvée dans le référentiel consulté.</t>
  </si>
  <si>
    <t xml:space="preserve">Q0505</t>
  </si>
  <si>
    <t xml:space="preserve">Explicit Transaction costs ex-ante - 3 years mean</t>
  </si>
  <si>
    <t xml:space="preserve">Et pour la moyenne triennale des coûts de transaction explicites ex ante, qu’est-ce qui est indiqué ?</t>
  </si>
  <si>
    <t xml:space="preserve">Résultat Aucune information disponible pour cette demande. Je ne retrouve pas dans les données accessibles la valeur ou la règle associée à la « moyenne triennale des coûts de transaction explicites ex ante ». Aucune information exploitable n’a été trouvée pour ce champ.</t>
  </si>
  <si>
    <t xml:space="preserve">Q0506</t>
  </si>
  <si>
    <t xml:space="preserve">C102</t>
  </si>
  <si>
    <t xml:space="preserve">IPBP Oblig Inter</t>
  </si>
  <si>
    <t xml:space="preserve">Concernant IPBP Oblig Inter, peux-tu retrouver le plafond des frais indirects de gestion dans la fiche ?</t>
  </si>
  <si>
    <t xml:space="preserve">1.5</t>
  </si>
  <si>
    <t xml:space="preserve">Résultat Pour le fonds IPBP Oblig Inter (statut Production), le plafond des frais indirects de gestion indiqué dans la fiche est de 1,50 %. Détails complémentaires Fonds : IPBP Oblig Inter Statut : Production Plafond des frais indirects de gestion : 1,50 % (en devise de référence du fonds)</t>
  </si>
  <si>
    <t xml:space="preserve">Q0507</t>
  </si>
  <si>
    <t xml:space="preserve">Dans la continuité, la part minimale d’investissements durables déclarée dans l’EET ?</t>
  </si>
  <si>
    <t xml:space="preserve">Résultat Pour le fonds IPBP Oblig Inter (statut Production), la part minimale d’investissements durables déclarée dans l’EET est de 5 %. Détails complémentaires Fonds : IPBP Oblig Inter Part minimale d’investissements durables déclarée dans l’EET : 5 %</t>
  </si>
  <si>
    <t xml:space="preserve">Q0508</t>
  </si>
  <si>
    <t xml:space="preserve">AXA Sélection Flexible</t>
  </si>
  <si>
    <t xml:space="preserve">Autre dossier, AXA Sélection Flexible : peux-tu vérifier l’allocation stratégique en français ?</t>
  </si>
  <si>
    <t xml:space="preserve">Résultat Pour AXA Sélection Flexible (version Production), l’allocation stratégique en français n’est pas renseignée dans la fiche. En revanche, l’allocation stratégique est présente uniquement en anglais : 0 % à 100 % de l’actif net en produits de taux ou obligations convertibles (souveraines ou d’entreprises, notées ou non notées) ; les investissements High Yield sont limités à 20 % de l’actif net. 0 % à 100 % de l’actif net en actions de moyennes et grandes capitalisations. 0 % à 20 % de l’actif net en actions de petites capitalisations. 0 % à 10 % de l’actif net en OPCVM contribuant à l’objectif d’investissement du fonds. Actifs monétaires et instruments du marché monétaire. Jusqu’à 20 % de l’actif net dans les économies émergentes. Détails complémentaires La fiche contient bien un objectif de gestion en français, mais le champ « allocation stratégique en français » n’est pas alimenté. Seule la version anglaise de l’allocation stratégique est disponible dans le référentiel.</t>
  </si>
  <si>
    <t xml:space="preserve">Q0509</t>
  </si>
  <si>
    <t xml:space="preserve">High Water Mark</t>
  </si>
  <si>
    <t xml:space="preserve">Je voudrais également la mention relative au high water mark.</t>
  </si>
  <si>
    <t xml:space="preserve">Pas de high water mark</t>
  </si>
  <si>
    <t xml:space="preserve">Résultat Pour AXA Sélection Flexible (statut Production), la mention relative au High Water Mark est : Pas de high water mark. Détails complémentaires Aucune mécanique de commission de surperformance fondée sur un High Water Mark n’est indiquée dans la fiche du produit.</t>
  </si>
  <si>
    <t xml:space="preserve">Q0510</t>
  </si>
  <si>
    <t xml:space="preserve">Rétrocessions OPC De Tête</t>
  </si>
  <si>
    <t xml:space="preserve">Dernier point sur IPBP Oblig Inter, et non sur le fonds précédent : l’indicateur de rétrocessions sur OPC de tête ?</t>
  </si>
  <si>
    <t xml:space="preserve">Résultat Pour IPBP Oblig Inter, l’indicateur de rétrocessions sur OPC de tête est renseigné à : Oui Détails complémentaires La fiche du fonds indique que le fonds perçoit des rétrocessions sur OPC de tête.</t>
  </si>
  <si>
    <t xml:space="preserve">Q0511</t>
  </si>
  <si>
    <t xml:space="preserve">C103</t>
  </si>
  <si>
    <t xml:space="preserve">Implicit trans. costs ex ante/3Y mean</t>
  </si>
  <si>
    <t xml:space="preserve">Pour R-co Conviction Club, je cherche la moyenne triennale des coûts de transaction implicites ex ante. Quelle information est enregistrée ?</t>
  </si>
  <si>
    <t xml:space="preserve">0.02</t>
  </si>
  <si>
    <t xml:space="preserve">Résultat Information trouvée Pour le fonds R-co Conviction Club, la valeur enregistrée pour la moyenne triennale des coûts de transaction implicites ex ante est de 0,02. Cette information est rattachée à l’année de référence 2025. Détails complémentaires Fonds : R-co Conviction Club Coûts de transaction implicites ex ante (moyenne triennale) : 0,02 Année de référence : 2025</t>
  </si>
  <si>
    <t xml:space="preserve">Q0512</t>
  </si>
  <si>
    <t xml:space="preserve">All-in Tarification</t>
  </si>
  <si>
    <t xml:space="preserve">Qu’en est-il de l’indicateur de tarification all-in ?</t>
  </si>
  <si>
    <t xml:space="preserve">Résultat Information trouvée Pour le fonds R-co Conviction Club, l’indicateur de tarification all-in est renseigné à Oui. Détails complémentaires Fonds : R-co Conviction Club Tarification all-in : Oui Statut du fonds : Production</t>
  </si>
  <si>
    <t xml:space="preserve">Q0513</t>
  </si>
  <si>
    <t xml:space="preserve">Implicit Transaction costs ex-post (EMT)</t>
  </si>
  <si>
    <t xml:space="preserve">Peux-tu contrôler les coûts de transaction implicites ex post EMT pour ce dossier ?</t>
  </si>
  <si>
    <t xml:space="preserve">0.023</t>
  </si>
  <si>
    <t xml:space="preserve">Résultat Information trouvée Pour le fonds R-co Conviction Club, les coûts de transaction implicites ex post EMT enregistrés sont de 0,144 pour l’année 2025. Détails complémentaires Fonds : R-co Conviction Club Coûts de transaction implicites ex post EMT : 0,144 Année de référence : 2025 À titre de comparaison, la moyenne triennale des coûts de transaction implicites ex ante enregistrée pour ce fonds est de 0,02.</t>
  </si>
  <si>
    <t xml:space="preserve">nombre arrondi</t>
  </si>
  <si>
    <t xml:space="preserve">Q0514</t>
  </si>
  <si>
    <t xml:space="preserve">Explicit Transaction costs ex-post (EMT)</t>
  </si>
  <si>
    <t xml:space="preserve">Et sur les coûts de transaction explicites ex post EMT, quelle est la valeur ?</t>
  </si>
  <si>
    <t xml:space="preserve">0.144</t>
  </si>
  <si>
    <t xml:space="preserve">Résultat Information trouvée Pour le fonds R-co Conviction Club, les coûts de transaction explicites ex post EMT enregistrés sont de 0,00. Détails complémentaires Fonds : R-co Conviction Club Coûts de transaction explicites ex post EMT : 0,00 Année de référence : 2024 À noter que les coûts de transaction implicites ex post EMT enregistrés pour ce même fonds sont de 0,144 pour l’année 2025.</t>
  </si>
  <si>
    <t xml:space="preserve">Q0515</t>
  </si>
  <si>
    <t xml:space="preserve">Specific Actual Management Fees (%)</t>
  </si>
  <si>
    <t xml:space="preserve">Pour finir, indique-moi l’indicateur de frais de gestion spécifiques, sans l’interpréter comme un taux.</t>
  </si>
  <si>
    <t xml:space="preserve">Résultat Information trouvée Pour le fonds R-co Conviction Club, l’indicateur de frais de gestion spécifiques est renseigné à Non. Détails complémentaires Fonds : R-co Conviction Club Frais de gestion spécifiques : Non Il s’agit bien d’un indicateur (Oui/Non) et non d’un taux.</t>
  </si>
  <si>
    <t xml:space="preserve">Q0516</t>
  </si>
  <si>
    <t xml:space="preserve">C104</t>
  </si>
  <si>
    <t xml:space="preserve">Martin Maurel Capi Provence</t>
  </si>
  <si>
    <t xml:space="preserve">Max Indirect Redemption Fees (%)</t>
  </si>
  <si>
    <t xml:space="preserve">Pour le dossier Martin Maurel Capi Provence, peux-tu me confirmer le plafond des frais indirects de rachat, distinct d’un droit de sortie de part ?</t>
  </si>
  <si>
    <t xml:space="preserve">Résultat Information trouvée Pour le fonds/mandat « Martin Maurel Capi Provence », le plafond des frais indirects de rachat est de 1,50 %. Détails complémentaires Cette information correspond au plafond des frais indirects de rachat et est distincte d’un éventuel droit de sortie de part. Le plafond enregistré pour ce dossier est de 1,50 %.</t>
  </si>
  <si>
    <t xml:space="preserve">Q0517</t>
  </si>
  <si>
    <t xml:space="preserve">Et la moyenne triennale des coûts de transaction explicites ex ante pour ce même fonds ?</t>
  </si>
  <si>
    <t xml:space="preserve">Résultat Information trouvée Pour « Martin Maurel Capi Provence », la moyenne triennale des coûts de transaction explicites ex ante enregistrée est de 0,00 %. L’année de référence associée à cette donnée est 2025.</t>
  </si>
  <si>
    <t xml:space="preserve">Q0518</t>
  </si>
  <si>
    <t xml:space="preserve">Bourbon 1</t>
  </si>
  <si>
    <t xml:space="preserve">% Min SI Env. (EET 20440)</t>
  </si>
  <si>
    <t xml:space="preserve">Pour Bourbon 1 cette fois, que trouve-t-on concernant la part minimale d’investissements durables environnementaux dans l’EET ?</t>
  </si>
  <si>
    <t xml:space="preserve">Résultat Information trouvée Pour « Bourbon 1 », la part minimale d’investissements durables environnementaux déclarée dans l’EET est de 50 %. Détails complémentaires Cette valeur correspond à l’indicateur EET relatif à la part minimale d’investissements durables environnementaux du fonds.</t>
  </si>
  <si>
    <t xml:space="preserve">nombre différent(e) de l'attendu</t>
  </si>
  <si>
    <t xml:space="preserve">Q0519</t>
  </si>
  <si>
    <t xml:space="preserve">Performance fees</t>
  </si>
  <si>
    <t xml:space="preserve">Pour finaliser la réponse client, précise l’indication de commission de surperformance au niveau produit.</t>
  </si>
  <si>
    <t xml:space="preserve">Résultat Information trouvée Pour « Bourbon 1 », aucune indication de commission de surperformance n’est renseignée au niveau produit dans les données disponibles. Détails complémentaires Aucune information exploitable n’est retournée pour l’indicateur de commission de surperformance de ce produit. Aucune information disponible pour cette demande.</t>
  </si>
  <si>
    <t xml:space="preserve">Q0520</t>
  </si>
  <si>
    <t xml:space="preserve">Reprenons Martin Maurel Capi Provence pour terminer : peux-tu vérifier les coûts de transaction implicites ex post EMT ?</t>
  </si>
  <si>
    <t xml:space="preserve">0.011</t>
  </si>
  <si>
    <t xml:space="preserve">Résultat Information trouvée Pour « Martin Maurel Capi Provence », les coûts de transaction implicites ex post EMT sont de 0,00 %. Détails complémentaires L’année de référence enregistrée pour cette donnée est 2025.</t>
  </si>
  <si>
    <t xml:space="preserve">Q0521</t>
  </si>
  <si>
    <t xml:space="preserve">C105</t>
  </si>
  <si>
    <t xml:space="preserve">% Min SI Social (EET 20470)</t>
  </si>
  <si>
    <t xml:space="preserve">Je prépare une DDQ sur R-co Valor Equity. Quelle est l’information disponible concernant la part minimale d’investissements durables sociaux dans l’EET ?</t>
  </si>
  <si>
    <t xml:space="preserve">Résultat Information trouvée Pour le fonds R-co Valor Equity (statut Production), la part minimale d’investissements durables déclarée dans l’EET est de 30 %. Cette valeur correspond à la composante sociale minimale des investissements durables dans les données EET disponibles. Détails complémentaires Fonds : R-co Valor Equity Part minimale d’investissements durables sociaux (EET) : 30 % Investissements durables minimum totaux : 75 % Investissements durables environnementaux minimum : 0 % Investissements durables sociaux supplémentaires : 0 %</t>
  </si>
  <si>
    <t xml:space="preserve">Q0522</t>
  </si>
  <si>
    <t xml:space="preserve">J’ai aussi besoin de la mention relative au high water mark.</t>
  </si>
  <si>
    <t xml:space="preserve">Résultat Information trouvée Pour les parts en Production du fonds R-co Valor Equity, la mention renseignée est : Pas de high water mark 11 parts ont été trouvées. Cette mention est identique pour 10 d’entre elles. Une part (R-co Valor Equity CL EUR) ne comporte pas d’information renseignée sur ce champ. Détails complémentaires Parts avec la mention « Pas de high water mark » : R-co Valor Equity M EUR R-co Valor Equity C EUR R-co Valor Equity F EUR R-co Valor Equity I EUR R-co Valor Equity NI EUR R-co Valor Equity R EUR R-co Valor Equity P EUR R-co Valor Equity I USD R-co Valor Equity P USD R-co Valor Equity PB EUR Part sans information renseignée : R-co Valor Equity CL EUR Pour votre DDQ, la formulation disponible dans le référentiel est donc : « Pas de high water mark ».</t>
  </si>
  <si>
    <t xml:space="preserve">Q0523</t>
  </si>
  <si>
    <t xml:space="preserve">ESG Existing Thematic (EET 20260)</t>
  </si>
  <si>
    <t xml:space="preserve">Je change de fonds : sur R-co Conviction High Yield Euro, que dit la fiche pour l’indicateur de thématique ESG existante dans l’EET ?</t>
  </si>
  <si>
    <t xml:space="preserve">Résultat Information trouvée Pour le fonds R-co Conviction High Yield Euro (statut Production), l’indicateur de présence d’une thématique ESG dans l’EET est renseigné à « Oui ». Détails complémentaires Les indicateurs EET associés sont également positionnés à « Oui » : Investissement durable Caractéristiques environnementales et/ou sociales Prise en compte des critères ESG Objectifs ou caractéristiques ESG déclarés dans l’EET La fiche du fonds indique donc qu’une thématique ESG est bien présente et déclarée dans les données EET disponibles.</t>
  </si>
  <si>
    <t xml:space="preserve">répond « oui » au lieu de « non »</t>
  </si>
  <si>
    <t xml:space="preserve">Q0524</t>
  </si>
  <si>
    <t xml:space="preserve">Autre rubrique du même dossier : l’indicateur de rétrocessions sur OPC de tête ?</t>
  </si>
  <si>
    <t xml:space="preserve">Résultat Information trouvée Pour le fonds R-co Conviction High Yield Euro (statut Production), l’indicateur « rétrocessions sur OPC de tête » est renseigné à : Non Détails complémentaires La fiche indique que le fonds ne perçoit pas de rétrocessions sur les OPC sous-jacents.</t>
  </si>
  <si>
    <t xml:space="preserve">Q0525</t>
  </si>
  <si>
    <t xml:space="preserve">% Min with E/S Characteristics (EET 20400)</t>
  </si>
  <si>
    <t xml:space="preserve">Dernier point sur R-co Valor Equity, et non sur le fonds précédent : la part minimale présentant des caractéristiques environnementales ou sociales dans l’EET ?</t>
  </si>
  <si>
    <t xml:space="preserve">75</t>
  </si>
  <si>
    <t xml:space="preserve">Résultat Information trouvée Pour le fonds R-co Valor Equity (statut Production), la part minimale présentant des caractéristiques environnementales ou sociales dans l’EET est de : 75 % Détails complémentaires Autres indicateurs EET disponibles sur le même bloc : Part minimale d’investissements durables : 75 % Part minimale d’investissements durables sociaux : 30 % Part minimale d’investissements durables environnementaux : 0 % Ainsi, la fiche EET indique que 75 % minimum des investissements présentent des caractéristiques environnementales ou sociales.</t>
  </si>
  <si>
    <t xml:space="preserve">Q0526</t>
  </si>
  <si>
    <t xml:space="preserve">C106</t>
  </si>
  <si>
    <t xml:space="preserve">R-co Allocation ETF Emerging Markets</t>
  </si>
  <si>
    <t xml:space="preserve">Pour R-co Allocation ETF Emerging Markets, quelle valeur est renseignée pour la moyenne triennale des coûts de transaction implicites ex ante ?</t>
  </si>
  <si>
    <t xml:space="preserve">0.006</t>
  </si>
  <si>
    <t xml:space="preserve">Résultat Pour la part « R-co Allocation ETF Emerging Markets C EUR », la valeur renseignée pour la moyenne triennale des coûts de transaction implicites ex ante est : 1,252 % Détails complémentaires Part : R-co Allocation ETF Emerging Markets C EUR Code ISIN : FR0000284150 Statut : Production (version active retrouvée) Valeur enregistrée : 1,252 %</t>
  </si>
  <si>
    <t xml:space="preserve">Q0527</t>
  </si>
  <si>
    <t xml:space="preserve">Max Indirect Subscription Fees (%)</t>
  </si>
  <si>
    <t xml:space="preserve">Toujours pour ce produit : le plafond des frais indirects de souscription, distinct d’un droit d’entrée de part ?</t>
  </si>
  <si>
    <t xml:space="preserve">Résultat Pour la part « R-co Allocation ETF Emerging Markets C EUR », le plafond des frais indirects de souscription (distincts d’un droit d’entrée conservé par le fonds) est de : 2,00 % Détails complémentaires Frais indirects de souscription : 2,00 % Droit d’entrée conservé par le fonds : 0,00 %</t>
  </si>
  <si>
    <t xml:space="preserve">Q0528</t>
  </si>
  <si>
    <t xml:space="preserve">Peux-tu retrouver les coûts de transaction explicites ex post EMT ?</t>
  </si>
  <si>
    <t xml:space="preserve">0.774</t>
  </si>
  <si>
    <t xml:space="preserve">Résultat Pour le fonds « R-co Allocation ETF Emerging Markets », la valeur renseignée pour les coûts de transaction explicites ex post EMT est : 0,774 % Détails complémentaires Année de référence EMT : 2025 Valeur des coûts de transaction explicites ex post EMT : 0,774 %</t>
  </si>
  <si>
    <t xml:space="preserve">Q0529</t>
  </si>
  <si>
    <t xml:space="preserve">Je passe à la rubrique suivante : l’indicateur de tarification all-in ?</t>
  </si>
  <si>
    <t xml:space="preserve">Résultat Pour la part « R-co Allocation ETF Emerging Markets C EUR », l’indicateur de tarification all-in est : Oui Détails complémentaires Cette part est bien identifiée comme relevant d’une tarification « all-in » dans le référentiel.</t>
  </si>
  <si>
    <t xml:space="preserve">Q0530</t>
  </si>
  <si>
    <t xml:space="preserve">Et concernant l’indicateur de frais de gestion spécifiques, sans l’interpréter comme un taux, que dit la fiche ?</t>
  </si>
  <si>
    <t xml:space="preserve">Résultat Pour la part « R-co Allocation ETF Emerging Markets C EUR », l’indicateur de frais de gestion spécifiques est : Non Détails complémentaires La fiche indique que cette part n’est pas marquée comme ayant des frais de gestion spécifiques.</t>
  </si>
  <si>
    <t xml:space="preserve">Q0531</t>
  </si>
  <si>
    <t xml:space="preserve">C107</t>
  </si>
  <si>
    <t xml:space="preserve">Article 29</t>
  </si>
  <si>
    <t xml:space="preserve">Dans la documentation produit de R-co Target 2032 IG, que dois-je reprendre pour l’information renseignée dans le champ Article 29, sans déduire une conformité ?</t>
  </si>
  <si>
    <t xml:space="preserve">Equities management – NZAMi</t>
  </si>
  <si>
    <t xml:space="preserve">Résultat Pour le fonds R-co Target 2032 IG, la valeur renseignée dans le champ Article 29 est : Gestion directe – NZAMi Détails complémentaires Si votre objectif est de reprendre l'information telle qu'elle figure dans le référentiel, sans en déduire une conformité ou un statut réglementaire, vous pouvez simplement mentionner : « Article 29 : Gestion directe – NZAMi » Le fonds est par ailleurs classé SFDR Article 8, mais cette information est distincte du champ Article 29.</t>
  </si>
  <si>
    <t xml:space="preserve">libellé français du référentiel (Gestion directe – NZAMi)</t>
  </si>
  <si>
    <t xml:space="preserve">Q0532</t>
  </si>
  <si>
    <t xml:space="preserve">Même fonds, autre point : le plafond des frais indirects de rachat, distinct d’un droit de sortie de part ?</t>
  </si>
  <si>
    <t xml:space="preserve">Quel est le scope de recherche que vous souhaitez utiliser pour la recherche de données et de fichiers dans Dataverse ?</t>
  </si>
  <si>
    <t xml:space="preserve">Q0533</t>
  </si>
  <si>
    <t xml:space="preserve">Management Fees Base</t>
  </si>
  <si>
    <t xml:space="preserve">Passons à R-co Target 2029 HY. Quelle information as-tu pour l’assiette de calcul des frais de gestion ?</t>
  </si>
  <si>
    <t xml:space="preserve">Résultat Pour le fonds R-co Target 2029 HY, aucune valeur n'est renseignée dans le champ correspondant à l’assiette de calcul des frais de gestion. Détails complémentaires Le fonds a bien été identifié dans le référentiel, mais l'information relative à l’assiette de calcul des frais de gestion n’est pas renseignée.</t>
  </si>
  <si>
    <t xml:space="preserve">Q0534</t>
  </si>
  <si>
    <t xml:space="preserve">EET Fund</t>
  </si>
  <si>
    <t xml:space="preserve">Qu’indique Product Info sur l’indicateur de disponibilité de l’EET pour le fonds ?</t>
  </si>
  <si>
    <t xml:space="preserve">Quel est le scope de recherche que vous souhaitez utiliser pour la recherche de données ?</t>
  </si>
  <si>
    <t xml:space="preserve">Q0535</t>
  </si>
  <si>
    <t xml:space="preserve">% Min Aligned Taxonomy Incl Sovereing (EET 20600)</t>
  </si>
  <si>
    <t xml:space="preserve">Reprenons R-co Target 2032 IG pour terminer : peux-tu vérifier la part minimale alignée sur la taxonomie selon le champ EET 20600 ?</t>
  </si>
  <si>
    <t xml:space="preserve">La requête a été modifiée pour : "Reprenons R-co Target 2032 IG pour terminer : peux-tu vérifier la part minimale alignée sur la taxonomie selon le champ EET 20600 ?". Pourriez-vous préciser le scope de recherche à utiliser ?</t>
  </si>
  <si>
    <t xml:space="preserve">Q0536</t>
  </si>
  <si>
    <t xml:space="preserve">C108</t>
  </si>
  <si>
    <t xml:space="preserve">R-co OPAL Absolu</t>
  </si>
  <si>
    <t xml:space="preserve">Global Exposure Calculation</t>
  </si>
  <si>
    <t xml:space="preserve">Sur R-co OPAL Absolu, j’ai besoin de la méthode de calcul de l’exposition globale pour une réponse RFI.</t>
  </si>
  <si>
    <t xml:space="preserve">Engagement</t>
  </si>
  <si>
    <t xml:space="preserve">Résultat Information trouvée Pour le fonds R-co OPAL Absolu, la méthode de calcul de l’exposition globale est : « Engagement ». Détails complémentaires Le fonds est en statut Production et le référentiel indique que la méthode d’exposition globale retenue est l’approche par engagement.</t>
  </si>
  <si>
    <t xml:space="preserve">Q0537</t>
  </si>
  <si>
    <t xml:space="preserve">Peux-tu préciser le plafond des frais indirects de souscription, distinct d’un droit d’entrée de part ?</t>
  </si>
  <si>
    <t xml:space="preserve">Résultat Information trouvée Pour le fonds R-co OPAL Absolu, le plafond des frais indirects de souscription est de 1,00 %. Détails complémentaires Il s’agit du plafond des frais de souscription supportés indirectement via les investissements sous-jacents du fonds, distinct des éventuels droits d’entrée appliqués au niveau des parts du fonds.</t>
  </si>
  <si>
    <t xml:space="preserve">Q0538</t>
  </si>
  <si>
    <t xml:space="preserve">Reference ESG Benchmark (EET 20370)</t>
  </si>
  <si>
    <t xml:space="preserve">Qu’est-ce qui est enregistré sur l’indicateur d’indice ESG de référence dans l’EET, sans identifier un indice de part ?</t>
  </si>
  <si>
    <t xml:space="preserve">Résultat Information trouvée Pour le fonds R-co OPAL Absolu, aucun indicateur d’indice ESG de référence n’est renseigné dans les champs prévus à cet effet au niveau du fonds. Aucune valeur n’est enregistrée. Détails complémentaires La recherche a été effectuée au niveau du fonds (et non au niveau d’une part). Aucun indice ESG de référence n’est identifié pour ce fonds dans le référentiel Product Info.</t>
  </si>
  <si>
    <t xml:space="preserve">Q0539</t>
  </si>
  <si>
    <t xml:space="preserve">Volatility target</t>
  </si>
  <si>
    <t xml:space="preserve">Je vérifie aussi l’objectif de volatilité renseigné : quelle est la donnée ?</t>
  </si>
  <si>
    <t xml:space="preserve">Résultat Information trouvée Pour le fonds R-co OPAL Absolu : Objectif de volatilité : Oui Volatilité maximale cible : 4,99 % Détails complémentaires Le référentiel indique que le fonds dispose bien d’un objectif de volatilité, avec une cible maximale renseignée à 4,99 %.</t>
  </si>
  <si>
    <t xml:space="preserve">Q0540</t>
  </si>
  <si>
    <t xml:space="preserve">Liquidity risk</t>
  </si>
  <si>
    <t xml:space="preserve">Pour ce produit, termine par l’indicateur de risque de liquidité.</t>
  </si>
  <si>
    <t xml:space="preserve">Résultat Information trouvée Pour le fonds R-co OPAL Absolu, l’indicateur de risque de liquidité est renseigné à : Non. Détails complémentaires Le référentiel ne signale donc pas de risque de liquidité pour ce fonds.</t>
  </si>
  <si>
    <t xml:space="preserve">Q0541</t>
  </si>
  <si>
    <t xml:space="preserve">C109</t>
  </si>
  <si>
    <t xml:space="preserve">Counterparty risk</t>
  </si>
  <si>
    <t xml:space="preserve">Je vérifie R-co Conviction Credit Euro avant d’envoyer une fiche client : l’indicateur de risque de contrepartie ?</t>
  </si>
  <si>
    <t xml:space="preserve">Résultat Information trouvée Pour le fonds/produit « R-co Conviction Credit Euro » en statut Production, l’indicateur de risque de contrepartie est : Non. Détails complémentaires Aucun risque de contrepartie n’est indiqué pour ce produit dans le référentiel Product Info.</t>
  </si>
  <si>
    <t xml:space="preserve">Q0542</t>
  </si>
  <si>
    <t xml:space="preserve">Pour ce même produit, l’indicateur de risque de liquidité ?</t>
  </si>
  <si>
    <t xml:space="preserve">Résultat Information trouvée Pour « R-co Conviction Credit Euro » en statut Production, l’indicateur de risque de liquidité est : Oui. Détails complémentaires Le risque de liquidité est identifié pour ce produit dans le référentiel Product Info.</t>
  </si>
  <si>
    <t xml:space="preserve">Q0543</t>
  </si>
  <si>
    <t xml:space="preserve">R-co 4Change Net Zero Credit Euro</t>
  </si>
  <si>
    <t xml:space="preserve">Je change de fonds : sur R-co 4Change Net Zero Credit Euro, que dit la fiche pour la part minimale d’investissements durables environnementaux dans l’EET ?</t>
  </si>
  <si>
    <t xml:space="preserve">70</t>
  </si>
  <si>
    <t xml:space="preserve">Résultat Information trouvée Pour le fonds « R-co 4Change Net Zero Credit Euro », la part minimale d’investissements durables environnementaux déclarée dans l’EET est de 70 %. Détails complémentaires Cette valeur correspond au minimum d’investissements durables à objectif environnemental renseigné dans les données EET du fonds.</t>
  </si>
  <si>
    <t xml:space="preserve">Q0544</t>
  </si>
  <si>
    <t xml:space="preserve">Management fees rate 2 (%)</t>
  </si>
  <si>
    <t xml:space="preserve">Passe maintenant à le second taux de frais de gestion renseigné au niveau produit.</t>
  </si>
  <si>
    <t xml:space="preserve">Résultat Information trouvée Pour « R-co 4Change Net Zero Credit Euro », aucun second taux de frais de gestion n’est renseigné au niveau produit. Détails complémentaires La fiche produit ne contient pas de valeur pour ce deuxième taux de frais de gestion.</t>
  </si>
  <si>
    <t xml:space="preserve">Q0545</t>
  </si>
  <si>
    <t xml:space="preserve">Je reviens à R-co Conviction Credit Euro : quelle donnée figure sur la part minimale présentant des caractéristiques environnementales ou sociales dans l’EET ?</t>
  </si>
  <si>
    <t xml:space="preserve">Résultat Information trouvée Pour « R-co Conviction Credit Euro », la part minimale présentant des caractéristiques environnementales ou sociales dans l’EET est de 75 %. Détails complémentaires Cette valeur correspond à l’engagement minimal déclaré dans l’EET pour les investissements présentant des caractéristiques environnementales ou sociales.</t>
  </si>
  <si>
    <t xml:space="preserve">Q0546</t>
  </si>
  <si>
    <t xml:space="preserve">C110</t>
  </si>
  <si>
    <t xml:space="preserve">R-co Objectif Croissance</t>
  </si>
  <si>
    <t xml:space="preserve">Concernant R-co Objectif Croissance, peux-tu retrouver l’information renseignée dans le champ Article 29, sans déduire une conformité dans la fiche ?</t>
  </si>
  <si>
    <t xml:space="preserve">FOF – Open funds</t>
  </si>
  <si>
    <t xml:space="preserve">Résultat Information trouvée Pour le fonds R-co Objectif Croissance, la valeur renseignée dans le champ Article 29 est : Multigestion – Fonds ouvert Cette réponse correspond à la valeur enregistrée dans le référentiel pour ce fonds en statut Production. Aucune déduction de conformité n’a été effectuée.</t>
  </si>
  <si>
    <t xml:space="preserve">libellé français du référentiel (Multigestion – Fonds ouvert)</t>
  </si>
  <si>
    <t xml:space="preserve">Q0547</t>
  </si>
  <si>
    <t xml:space="preserve">Dans la continuité, l’indicateur de disponibilité de l’EET pour le fonds ?</t>
  </si>
  <si>
    <t xml:space="preserve">Résultat Information trouvée Pour le fonds R-co Objectif Croissance, l’indicateur de disponibilité de l’EET est : Oui Détails complémentaires L’EET est donc renseigné comme disponible pour ce fonds dans le référentiel.</t>
  </si>
  <si>
    <t xml:space="preserve">Q0548</t>
  </si>
  <si>
    <t xml:space="preserve">Valentin Haüy Patrimoine</t>
  </si>
  <si>
    <t xml:space="preserve">Autre dossier, Valentin Haüy Patrimoine : peux-tu vérifier la part minimale alignée sur la taxonomie selon le champ EET 20600 ?</t>
  </si>
  <si>
    <t xml:space="preserve">Résultat Information trouvée Pour le fonds Valentin Haüy Patrimoine, la valeur du champ EET 20600 (part minimale alignée sur la taxonomie) est : 0 Détails complémentaires La valeur enregistrée dans le référentiel est donc de 0. Aucune interprétation ou déduction complémentaire n’a été appliquée.</t>
  </si>
  <si>
    <t xml:space="preserve">Q0549</t>
  </si>
  <si>
    <t xml:space="preserve">Credit risk</t>
  </si>
  <si>
    <t xml:space="preserve">Je voudrais également l’indicateur de risque de crédit.</t>
  </si>
  <si>
    <t xml:space="preserve">Résultat Information trouvée Pour le fonds Valentin Haüy Patrimoine, l’indicateur de risque de crédit est : Non Détails complémentaires Le risque de crédit n’est pas indiqué comme présent dans le référentiel pour ce fonds.</t>
  </si>
  <si>
    <t xml:space="preserve">Q0550</t>
  </si>
  <si>
    <t xml:space="preserve">Reprenons R-co Objectif Croissance pour terminer : peux-tu vérifier l’indicateur de thématique ESG existante dans l’EET ?</t>
  </si>
  <si>
    <t xml:space="preserve">Résultat Information trouvée Pour le fonds R-co Objectif Croissance, l’indicateur de thématique ESG existante dans l’EET est : Non Détails complémentaires La valeur enregistrée dans le référentiel pour cet indicateur est « Non ». Aucune interprétation complémentaire n’a été appliquée.</t>
  </si>
  <si>
    <t xml:space="preserve">Q0551</t>
  </si>
  <si>
    <t xml:space="preserve">C111</t>
  </si>
  <si>
    <t xml:space="preserve">Pour R-co Valor Balanced, je cherche l’indicateur d’investissement durable dans l’EET. Quelle information est enregistrée ?</t>
  </si>
  <si>
    <t xml:space="preserve">Je n’ai pas pu accéder aux données métier du référentiel Product Info à partir des informations retournées par les outils disponibles : la recherche n’a pas permis d’identifier la table métier contenant les fonds, les parts et les données EET associées. Aucune information disponible pour cette demande.</t>
  </si>
  <si>
    <t xml:space="preserve">Q0552</t>
  </si>
  <si>
    <t xml:space="preserve">Qu’en est-il de l’indicateur d’indice ESG de référence dans l’EET, sans identifier un indice de part ?</t>
  </si>
  <si>
    <t xml:space="preserve">Q0553</t>
  </si>
  <si>
    <t xml:space="preserve">Peux-tu contrôler l’objectif de volatilité renseigné pour ce dossier ?</t>
  </si>
  <si>
    <t xml:space="preserve">Q0554</t>
  </si>
  <si>
    <t xml:space="preserve">Et sur l’indicateur de risque de crédit, quelle est la valeur ?</t>
  </si>
  <si>
    <t xml:space="preserve">Q0555</t>
  </si>
  <si>
    <t xml:space="preserve">Pour finir, indique-moi la part minimale d’investissements durables sociaux dans l’EET.</t>
  </si>
  <si>
    <t xml:space="preserve">Q0556</t>
  </si>
  <si>
    <t xml:space="preserve">C112</t>
  </si>
  <si>
    <t xml:space="preserve">R-co Thematic Target 2026 HY</t>
  </si>
  <si>
    <t xml:space="preserve">Pour le dossier R-co Thematic Target 2026 HY, peux-tu me confirmer l’échelle de risque officielle renseignée ?</t>
  </si>
  <si>
    <t xml:space="preserve">Résultat Pour le fonds « R-co Thematic Target 2026 HY », l’échelle de risque officielle renseignée est de 3. Information trouvée Les différentes versions historisées du dossier affichent une échelle de risque à la création égale à 3. Les informations de modification montrent des valeurs qui ont varié selon les versions, mais l’échelle de risque officielle enregistrée pour ce fonds est 3. Détails complémentaires Le fonds n’est plus en statut Production dans le référentiel actuel ; les enregistrements retrouvés sont historisés ou dissous. Malgré cela, la valeur d’échelle de risque renseignée dans le dossier est 3.</t>
  </si>
  <si>
    <t xml:space="preserve">Q0557</t>
  </si>
  <si>
    <t xml:space="preserve">Investment Management Delegation</t>
  </si>
  <si>
    <t xml:space="preserve">Et l’existence d’une délégation de gestion financière pour ce même fonds ?</t>
  </si>
  <si>
    <t xml:space="preserve">Résultat Pour le fonds « R-co Thematic Target 2026 HY », aucune délégation de gestion financière n’est renseignée. Information trouvée L’indicateur « délégation de gestion financière » est positionné à « Non » sur l’ensemble des versions retrouvées du fonds. Aucun délégataire de gestion n’est renseigné. Détails complémentaires Le fonds apparaît uniquement dans des versions historisées ou dissoutes du référentiel, mais toutes les versions retrouvées indiquent l’absence de délégation de gestion financière.</t>
  </si>
  <si>
    <t xml:space="preserve">Q0558</t>
  </si>
  <si>
    <t xml:space="preserve">Casip Cojasor</t>
  </si>
  <si>
    <t xml:space="preserve">Management fees rate 1 (%)</t>
  </si>
  <si>
    <t xml:space="preserve">Pour Casip Cojasor cette fois, que trouve-t-on concernant le premier taux de frais de gestion renseigné au niveau produit ?</t>
  </si>
  <si>
    <t xml:space="preserve">Résultat Pour le fonds « Casip Cojasor » en statut Production, aucun premier taux de frais de gestion n’est renseigné au niveau produit. Information trouvée Le fonds « Casip Cojasor » existe bien en Production, mais la valeur du premier taux de frais de gestion n’est pas renseignée dans la fiche produit. Aucun montant n’est retourné pour ce champ. Détails complémentaires Une seule version du fonds est actuellement en Production ; les autres versions retrouvées sont historisées. Le champ correspondant au premier taux de frais de gestion est vide sur la version Production.</t>
  </si>
  <si>
    <t xml:space="preserve">Q0559</t>
  </si>
  <si>
    <t xml:space="preserve">Pour finaliser la réponse client, précise le catégorie ESG AMF renseignée.</t>
  </si>
  <si>
    <t xml:space="preserve">Résultat Pour le fonds « Casip Cojasor » en Production, la catégorie ESG AMF renseignée est : « Pas de catégorie ». Information trouvée La fiche produit du fonds indique une catégorie ESG AMF de « Pas de catégorie ». Détails complémentaires Pour compléter la réponse client : Premier taux de frais de gestion au niveau produit : non renseigné. Catégorie ESG AMF : « Pas de catégorie ».</t>
  </si>
  <si>
    <t xml:space="preserve">Q0560</t>
  </si>
  <si>
    <t xml:space="preserve">Je reviens à R-co Thematic Target 2026 HY : quelle donnée figure sur la méthode de calcul de l’exposition globale ?</t>
  </si>
  <si>
    <t xml:space="preserve">VaR absolue</t>
  </si>
  <si>
    <t xml:space="preserve">Résultat Pour le fonds « R-co Thematic Target 2026 HY », la méthode de calcul de l’exposition globale renseignée est « VaR absolue ». Information trouvée Les versions les plus récentes retrouvées pour ce fonds indiquent la méthode « VaR absolue ». Certaines versions plus anciennes ne comportent pas de valeur renseignée pour ce champ. Détails complémentaires La donnée actuellement présente dans les dernières versions du dossier est : Méthode de calcul de l’exposition globale : VaR absolue.</t>
  </si>
  <si>
    <t xml:space="preserve">Q0561</t>
  </si>
  <si>
    <t xml:space="preserve">C113</t>
  </si>
  <si>
    <t xml:space="preserve">Je prépare une DDQ sur R-co Target 2030 IG. Quelle est l’information disponible concernant l’indicateur de risque de contrepartie ?</t>
  </si>
  <si>
    <t xml:space="preserve">Résultat Information trouvée Pour le fonds en production « R-co Target 2030 IG », l’indicateur de risque de contrepartie est renseigné à : « Non ». Détails complémentaires Fonds : R-co Target 2030 IG Statut : Production Indicateur de risque de contrepartie : Non Cela signifie que le fonds n’est pas identifié dans le référentiel Product Info comme présentant un risque de contrepartie au titre de cet indicateur.</t>
  </si>
  <si>
    <t xml:space="preserve">Q0562</t>
  </si>
  <si>
    <t xml:space="preserve">J’ai aussi besoin de l’indicateur d’investissement durable dans l’EET.</t>
  </si>
  <si>
    <t xml:space="preserve">Résultat Information trouvée Pour le fonds en production « R-co Target 2030 IG », la part minimale d’investissements durables déclarée dans l’EET est de 30 %. Détails complémentaires Fonds : R-co Target 2030 IG Indicateur EET – part minimale d’investissements durables : 30 %</t>
  </si>
  <si>
    <t xml:space="preserve">Q0563</t>
  </si>
  <si>
    <t xml:space="preserve">Investment universe</t>
  </si>
  <si>
    <t xml:space="preserve">Sur ce point, indique-moi l’univers d’investissement renseigné.</t>
  </si>
  <si>
    <t xml:space="preserve">QW5A Index</t>
  </si>
  <si>
    <t xml:space="preserve">Résultat Information trouvée Pour le fonds en production « R-co Target 2030 IG », l’univers d’investissement renseigné est : « QW5A Index ». Détails complémentaires Fonds : R-co Target 2030 IG Univers d’investissement : QW5A Index Part minimale d’investissements durables déclarée dans l’EET : 30 % (information communiquée précédemment)</t>
  </si>
  <si>
    <t xml:space="preserve">Q0564</t>
  </si>
  <si>
    <t xml:space="preserve">Strategic allocation</t>
  </si>
  <si>
    <t xml:space="preserve">Autre rubrique du même dossier : l’allocation stratégique renseignée ?</t>
  </si>
  <si>
    <t xml:space="preserve">La stratégie d’investissement du compartiment ne se limite pas à du portage d’obligations : si la société de gestion tendra à conserver les titres jusqu’à leur maturité, elle pourra procéder à des arbitrages en cas d’identification d’une augmentation du risque de défaut d’un des émetteurs en portefeuille et/ou en cas de nouvelles opportunités de marché afin d’optimiser le taux actuariel moyen du portefeuille à l’échéance.
La stratégie d’exposition au risque de crédit s’effectuera en investissements directs. Le compartiment investira entre 80% et 100% de l’actif net dans des obligations à taux fixe, variable ou révisable, et autres titres de créances négociables, des obligations indexées sur l’inflation, émises par des sociétés de droit privé et/ou des entités supranationales/publiques ou des Etats et des bons à moyen terme négociables, dont 10% maximum de l’actif net en obligations convertibles. Les titres libellés dans une autre devise que l’euro seront limités à 10% maximum de l’actif net.
Les titres éligibles en portefeuille pourront être de toute zone géographique, y compris de pays émergents, néanmoins le compartiment ne pourra détenir des émissions de société ayant leur siège social en dehors de l’OCDE qu’à hauteur de 10% maximum de l’actif net.
Le portefeuille du compartiment sera composé, à hauteur de 80% minimum de l’actif net, de titres de qualité Investment Grade.
Le compartiment pourra également être exposé, à hauteur de 10% maximum de l’actif net, à des obligations spéculatives dites « à haut rendement » (High Yield) à la suite d’un changement de notation, le compartiment ne cherchant pas à investir dans des obligations spéculatives. Par ailleurs, le compartiment pourra détenir jusqu'à 30% d'obligations subordonnées, dont 10% maximum d'obligations contingentes convertibles (dites "Cocos").
Il existe un risque de change pour les actionnaires investissant en euro à hauteur de 10% maximum de l’actif net du compartiment.
La sensibilité du portefeuille s’inscrit dans une fourchette comprise entre 0 et 6. Cette sensibilité est amenée à diminuer à l’approche de l’échéance.
Le compartiment pourra également investir en OPCVM, FIA ou fonds d’investissement de droit étranger monétaires et obligataires dans la limite de 10% maximum de l’actif net et en titres du marché monétaire à hauteur de 10% maximum de l’actif net, dans un but de gestion de la trésorerie.
Toutefois et par exception à ce qui précède, le compartiment bénéficiera à compter de sa date de création et pour une durée de 6 mois maximum, d’une flexibilité quant au respect des ratios statutaires et ce afin de constituer au mieux son portefeuille au gré des opportunités de marché.</t>
  </si>
  <si>
    <t xml:space="preserve">Résultat Information trouvée Pour le fonds en production « R-co Target 2030 IG », l’allocation stratégique renseignée est la suivante : Le compartiment investit principalement en obligations et autres titres de créance, avec une exposition comprise entre 80 % et 100 % de l’actif net. Le portefeuille est composé à hauteur de 80 % minimum de titres Investment Grade. Principaux éléments : Investissement direct en obligations à taux fixe, variable ou révisable, obligations indexées sur l’inflation et autres titres de créance. Jusqu’à 10 % de l’actif net en obligations convertibles. Titres libellés dans une devise autre que l’euro limités à 10 % de l’actif net. Exposition aux émetteurs hors OCDE limitée à 10 % de l’actif net. Exposition aux obligations High Yield limitée à 10 % de l’actif net, uniquement à la suite d’une dégradation de notation. Jusqu’à 30 % d’obligations subordonnées, dont 10 % maximum d’obligations contingentes convertibles (CoCos). Risque de change limité à 10 % de l’actif net. Sensibilité du portefeuille comprise entre 0 et 6, avec une diminution progressive à l’approche de l’échéance. Investissement possible jusqu’à 10 % de l’actif net en OPCVM, FIA ou fonds obligataires/monétaires ainsi qu’en instruments du marché monétaire pour la gestion de trésorerie. Une période de flexibilité de 6 mois maximum après la création du compartiment est prévue pour la constitution du portefeuille. Détails complémentaires La stratégie vise non seulement le portage des obligations jusqu’à leur échéance, mais autorise également des arbitrages lorsque le risque de défaut d’un émetteur augmente ou lorsque de nouvelles opportunités de marché permettent d’améliorer le rendement actuariel moyen du portefeuille à l’échéance.</t>
  </si>
  <si>
    <t xml:space="preserve">texte long restitué fidèlement (résumé ou traduction)</t>
  </si>
  <si>
    <t xml:space="preserve">Q0565</t>
  </si>
  <si>
    <t xml:space="preserve">Investment objective</t>
  </si>
  <si>
    <t xml:space="preserve">Avant de conclure, peux-tu vérifier l’objectif de gestion renseigné ?</t>
  </si>
  <si>
    <t xml:space="preserve">Le compartiment a pour objectif de gestion, au moment de la souscription et jusqu’au 31/12/2030, d’obtenir une performance nette de frais liée aux taux de rendements actuels des obligations de maturité 2030, en investissant exclusivement dans des titres à caractère « Investment Grade » (non spéculatifs).
L’échéance moyenne du portefeuille est comprise entre janvier et décembre 2030.</t>
  </si>
  <si>
    <t xml:space="preserve">Résultat Information trouvée L’objectif de gestion renseigné pour le fonds en production « R-co Target 2030 IG » est : « Le compartiment a pour objectif de gestion, au moment de la souscription et jusqu’au 31/12/2030, d’obtenir une performance nette de frais liée aux taux de rendements actuels des obligations de maturité 2030, en investissant exclusivement dans des titres à caractère “Investment Grade” (non spéculatifs). L’échéance moyenne du portefeuille est comprise entre janvier et décembre 2030. » Détails complémentaires Cette formulation est cohérente avec les autres informations du dossier : Univers d’investissement : QW5A Index. Part minimale d’investissements durables déclarée dans l’EET : 30 %. Indicateur de risque de contrepartie : Non. Allocation stratégique orientée principalement vers des obligations Investment Grade avec un minimum de 80 % de l’actif net investi dans cette catégorie.</t>
  </si>
  <si>
    <t xml:space="preserve">Q0566</t>
  </si>
  <si>
    <t xml:space="preserve">C114</t>
  </si>
  <si>
    <t xml:space="preserve">AFER PREMIUM</t>
  </si>
  <si>
    <t xml:space="preserve">Pour AFER PREMIUM, quelle valeur est renseignée pour l’échelle de risque officielle renseignée ?</t>
  </si>
  <si>
    <t xml:space="preserve">Résultat Pour le fonds AFER PREMIUM (statut Production), aucune valeur n’est renseignée dans le champ correspondant à l’« échelle de risque officielle ». Information trouvée La donnée « échelle de risque officielle » est vide pour ce fonds dans le référentiel Product Info.</t>
  </si>
  <si>
    <t xml:space="preserve">Q0567</t>
  </si>
  <si>
    <t xml:space="preserve">Advanced Investor</t>
  </si>
  <si>
    <t xml:space="preserve">Toujours pour ce produit : l’indicateur d’investisseur averti ?</t>
  </si>
  <si>
    <t xml:space="preserve">Résultat Pour le fonds AFER PREMIUM, l’indicateur d’« investisseur averti » est renseigné à : Oui Détails complémentaires Cette information est renseignée au niveau du fonds en statut Production.</t>
  </si>
  <si>
    <t xml:space="preserve">Q0568</t>
  </si>
  <si>
    <t xml:space="preserve">Fondations R-co</t>
  </si>
  <si>
    <t xml:space="preserve">Delegation investment manager</t>
  </si>
  <si>
    <t xml:space="preserve">Autre dossier, Fondations R-co : peux-tu vérifier le gestionnaire par délégation indiqué ?</t>
  </si>
  <si>
    <t xml:space="preserve">Résultat Pour le fonds Fondations R-co (statut Production), le gestionnaire par délégation indiqué est : Rothschild &amp; Co Martin Maurel Détails complémentaires Aucune autre valeur de gestionnaire par délégation n’est renseignée pour ce fonds dans le référentiel Product Info.</t>
  </si>
  <si>
    <t xml:space="preserve">Q0569</t>
  </si>
  <si>
    <t xml:space="preserve">Je passe à la rubrique suivante : l’indication de commission de surperformance au niveau produit ?</t>
  </si>
  <si>
    <t xml:space="preserve">Résultat Pour le fonds Fondations R-co (statut Production), aucune valeur n’est renseignée au niveau produit pour l’indication de commission de surperformance. Information trouvée Le champ correspondant à la commission de surperformance est vide dans le référentiel Product Info pour ce fonds.</t>
  </si>
  <si>
    <t xml:space="preserve">Q0570</t>
  </si>
  <si>
    <t xml:space="preserve">Dernier point sur AFER PREMIUM, et non sur le fonds précédent : l’objectif de gestion renseigné ?</t>
  </si>
  <si>
    <t xml:space="preserve">La SICAV a pour objectif de gestion d’obtenir, sur la durée de placement recommandée de 5 ans, une
performance supérieure à celle de son indicateur de référence composé de 50% MSCI All Countries World Net Total Return
EUR Index + 50% Bloomberg Global Aggregate Total Return Index Value Hedged EUR, en exploitant une diversité de classes
d’actifs par la mise en oeuvre d’une gestion discrétionnaire et en offrant sur l’horizon d’investissement une solution potentielle
de diversification sans garantie en capital.</t>
  </si>
  <si>
    <t xml:space="preserve">Résultat Pour le fonds AFER PREMIUM, l’objectif de gestion renseigné est : « La SICAV a pour objectif de gestion d’obtenir, sur la durée de placement recommandée de 5 ans, une performance supérieure à celle de son indicateur de référence composé de 50% MSCI All Countries World Net Total Return EUR Index + 50% Bloomberg Global Aggregate Total Return Index Value Hedged EUR, en exploitant une diversité de classes d’actifs par la mise en œuvre d’une gestion discrétionnaire et en offrant sur l’horizon d’investissement une solution potentielle de diversification sans garantie en capital. » Détails complémentaires Cet objectif est renseigné au niveau du fonds en statut Production.</t>
  </si>
  <si>
    <t xml:space="preserve">Q0571</t>
  </si>
  <si>
    <t xml:space="preserve">C115</t>
  </si>
  <si>
    <t xml:space="preserve">Main ESG Focus (EET 20090)</t>
  </si>
  <si>
    <t xml:space="preserve">Dans la documentation produit de R-co Valor 4Change Global Equity, que dois-je reprendre pour la thématique ESG principale déclarée dans l’EET ?</t>
  </si>
  <si>
    <t xml:space="preserve">E</t>
  </si>
  <si>
    <t xml:space="preserve">Résultat Information trouvée Pour le fonds R-co Valor 4Change Global Equity, la thématique ESG principale déclarée dans l’EET est : Environnement (« E ») Détails complémentaires Dans l’EET, la valeur « E » correspond à la dimension environnementale de la thématique ESG.</t>
  </si>
  <si>
    <t xml:space="preserve">Q0572</t>
  </si>
  <si>
    <t xml:space="preserve">Même fonds, autre point : l’existence d’une délégation de gestion financière ?</t>
  </si>
  <si>
    <t xml:space="preserve">Résultat Information trouvée Pour le fonds R-co Valor 4Change Global Equity, il n’existe pas de délégation de gestion financière : la valeur renseignée est « Non ». Détails complémentaires Aucune délégation de gestion financière n’est déclarée pour ce fonds dans le référentiel Product Info.</t>
  </si>
  <si>
    <t xml:space="preserve">Q0573</t>
  </si>
  <si>
    <t xml:space="preserve">Passons à R-co Target 2027 HY. Quelle information as-tu pour le catégorie ESG AMF renseignée ?</t>
  </si>
  <si>
    <t xml:space="preserve">Résultat Information trouvée Pour le fonds R-co Target 2027 HY, la catégorie ESG AMF renseignée est : Catégorie 3 Détails complémentaires La valeur enregistrée dans le référentiel Product Info pour ce fonds est « 3 ».</t>
  </si>
  <si>
    <t xml:space="preserve">Q0574</t>
  </si>
  <si>
    <t xml:space="preserve">Informed Investor</t>
  </si>
  <si>
    <t xml:space="preserve">Qu’indique Product Info sur l’indicateur d’investisseur informé ?</t>
  </si>
  <si>
    <t xml:space="preserve">Résultat Information trouvée Pour le fonds R-co Target 2027 HY, l’indicateur d’investisseur informé est renseigné à : Oui Détails complémentaires Le fonds est donc identifié dans Product Info comme destiné à des investisseurs informés.</t>
  </si>
  <si>
    <t xml:space="preserve">Q0575</t>
  </si>
  <si>
    <t xml:space="preserve">Je reviens à R-co Valor 4Change Global Equity : quelle donnée figure sur l’univers d’investissement renseigné ?</t>
  </si>
  <si>
    <t xml:space="preserve">MXWD Index</t>
  </si>
  <si>
    <t xml:space="preserve">Résultat Information trouvée Pour le fonds R-co Valor 4Change Global Equity, l’univers d’investissement renseigné est : MXWD Index Détails complémentaires C’est la valeur actuellement enregistrée dans le champ « Univers d’investissement » du référentiel Product Info pour ce fonds.</t>
  </si>
  <si>
    <t xml:space="preserve">Q0576</t>
  </si>
  <si>
    <t xml:space="preserve">C116</t>
  </si>
  <si>
    <t xml:space="preserve">MAGE Global Equilibre</t>
  </si>
  <si>
    <t xml:space="preserve">Basic Investor</t>
  </si>
  <si>
    <t xml:space="preserve">Sur MAGE Global Equilibre, j’ai besoin de l’indicateur de connaissance de base de l’investisseur pour une réponse RFI.</t>
  </si>
  <si>
    <t xml:space="preserve">Résultat Information trouvée Pour le fonds/produit « MAGE Global Equilibre » (statut Production), l’indicateur de connaissance de base de l’investisseur est : Oui. Détails complémentaires Cet indicateur signifie que le produit est considéré comme adapté à un investisseur disposant d’une connaissance de base.</t>
  </si>
  <si>
    <t xml:space="preserve">Q0577</t>
  </si>
  <si>
    <t xml:space="preserve">Peux-tu préciser le SRI du mois précédent ?</t>
  </si>
  <si>
    <t xml:space="preserve">Résultat Information trouvée Pour « MAGE Global Equilibre », le SRI observé est de 3. Détails complémentaires Les informations disponibles montrent un niveau de risque de 3, y compris dans les données de suivi de modification. Je ne dispose pas d’un historique mensuel permettant d’identifier explicitement la valeur du mois précédent ; la dernière valeur disponible est 3.</t>
  </si>
  <si>
    <t xml:space="preserve">Q0578</t>
  </si>
  <si>
    <t xml:space="preserve">Qu’est-ce qui est enregistré sur l’information « benchmark » renseignée au niveau produit, sans inventer un indice de part ?</t>
  </si>
  <si>
    <t xml:space="preserve">Résultat Information trouvée Pour le produit « MAGE Global Equilibre » : Indicateur « benchmark » : Non Détails complémentaires Aucune information de benchmark n’est renseignée dans les champs descriptifs disponibles du produit. Il n’y a donc pas d’indice de référence enregistré au niveau produit pour ce fonds dans les données consultées.</t>
  </si>
  <si>
    <t xml:space="preserve">Q0579</t>
  </si>
  <si>
    <t xml:space="preserve">Je vérifie aussi l’allocation stratégique renseignée : quelle est la donnée ?</t>
  </si>
  <si>
    <t xml:space="preserve">Le pourcentage minimum de détention de ces OPC sera de 90%, les 10% maximum restants étant constitués de liquidités.
La stratégie du FCP est discrétionnaire entre les différentes classes d’actifs. Cependant l’allocation cible devrait présenter sur la durée de placement recommandée les proportions suivantes :
✓ entre 20% et 70% de l’actif net en OPC dont OPC cotés/ETF (Exchange Traded Fund), spécialisés sur les marchés actions, de toutes tailles de capitalisations (dont 30% maximum de l’actif net en OPC spécialisés dans les petites capitalisations) et de toutes zones géographiques (inclus les OPC spécialisés dans les pays hors OCDE y compris émergents dans la limite de 30% maximum de l’actif net) et de tous secteurs. Toutefois, l’allocation cible recherchée sur les marchés des actions sera de 45% de l’actif net du FCP, cette allocation cible ne constituant pas une contrainte et étant donnée à titre indicatif.
✓ entre 20% et 80% de l’actif net (i) en OPC dont les OPC cotés/ETF (Exchange Traded Fund), spécialisés dans les produits de taux (incluant les OPC spécialisés en obligations convertibles à hauteur de 30% maximum de l’actif net et monétaires à hauteur de 40% maximum de l’actif net), de toutes zones géographiques (dont les OPC spécialisés dans les pays hors OCDE y compris émergents dans la limite de 30% maximum de l’actif net), de signature d’Etat, privée, et de toutes qualités de signatures, y compris les OPC spécialisés en obligations spéculatives dites « High Yield », dans la
limite de 30% maximum de l’actif net, et (ii) en OPC dont l'allocation diversifiée permet d'être exposé aux produits de taux et/ou aux produits d'actions et/ou aux produits à performance absolue. L’exposition maximale du FCP aux marchés de taux sera de 80% de l’actif net.
✓ entre 0% et 40% de l’actif net en OPC ayant recours à des stratégies de rendement absolu.
✓ entre 0 et 10% en dépôts et liquidités.</t>
  </si>
  <si>
    <t xml:space="preserve">Résultat Information trouvée L’allocation stratégique renseignée pour « MAGE Global Equilibre » est la suivante : Minimum 90 % de détention en OPC ; jusqu’à 10 % en liquidités. Exposition actions : entre 20 % et 70 % de l’actif net. Allocation cible indicative : 45 % de l’actif net. Petites capitalisations : jusqu’à 30 % de l’actif net. Pays hors OCDE / émergents : jusqu’à 30 % de l’actif net. Exposition taux : entre 20 % et 80 % de l’actif net. Obligations convertibles : jusqu’à 30 %. Monétaire : jusqu’à 40 %. Obligations High Yield : jusqu’à 30 %. Exposition maximale aux marchés de taux : 80 %. Stratégies de rendement absolu : entre 0 % et 40 % de l’actif net. Dépôts et liquidités : entre 0 % et 10 %. Détails complémentaires La donnée est enregistrée sous forme de description textuelle d’allocation stratégique et précise que la gestion est discrétionnaire entre les différentes classes d’actifs, les allocations cibles étant fournies à titre indicatif.</t>
  </si>
  <si>
    <t xml:space="preserve">Q0580</t>
  </si>
  <si>
    <t xml:space="preserve">Sponsoring Entity</t>
  </si>
  <si>
    <t xml:space="preserve">Pour ce produit, termine par l’entité sponsor renseignée.</t>
  </si>
  <si>
    <t xml:space="preserve">Résultat Information trouvée Pour le produit « MAGE Global Equilibre », l’entité sponsor renseignée est : Rothschild &amp; Co Asset Management Détails complémentaires Aucune autre entité sponsor n’est renseignée pour ce produit dans les données consultées.</t>
  </si>
  <si>
    <t xml:space="preserve">Q0581</t>
  </si>
  <si>
    <t xml:space="preserve">C117</t>
  </si>
  <si>
    <t xml:space="preserve">Je vérifie R-co Conviction High Yield SD Euro avant d’envoyer une fiche client : l’indicateur de connaissance de base de l’investisseur ?</t>
  </si>
  <si>
    <t xml:space="preserve">Résultat Information trouvée Pour le fonds/part « R-co Conviction High Yield SD Euro », l’indicateur de connaissance de base de l’investisseur est : Oui. Détails complémentaires Le produit est en statut Production et le critère « investisseur de base » est renseigné à Oui.</t>
  </si>
  <si>
    <t xml:space="preserve">Q0582</t>
  </si>
  <si>
    <t xml:space="preserve">Pour ce même produit, le SRI du mois précédent ?</t>
  </si>
  <si>
    <t xml:space="preserve">Je ne trouve pas, dans les données accessibles du référentiel Product Info, de champ exposant directement le SRI ni son historique mensuel pour « R-co Conviction High Yield SD Euro ». Résultat Aucune information disponible pour cette demande.</t>
  </si>
  <si>
    <t xml:space="preserve">Q0583</t>
  </si>
  <si>
    <t xml:space="preserve">Je change de fonds : sur R-co Target 2029 IG, que dit la fiche pour le second taux de frais de gestion renseigné au niveau produit ?</t>
  </si>
  <si>
    <t xml:space="preserve">Résultat Pour le fonds « R-co Target 2029 IG », aucun montant n’est renseigné pour le deuxième taux de frais de gestion au niveau produit. Détails complémentaires Le fonds a bien été trouvé en statut Production, mais la valeur du second taux de frais de gestion n’est pas renseignée dans les données disponibles.</t>
  </si>
  <si>
    <t xml:space="preserve">Q0584</t>
  </si>
  <si>
    <t xml:space="preserve">Priips Fund</t>
  </si>
  <si>
    <t xml:space="preserve">Passe maintenant à l’indicateur PRIIPs du fonds.</t>
  </si>
  <si>
    <t xml:space="preserve">Résultat Pour le fonds « R-co Target 2029 IG », l’indicateur PRIIPs est : Oui. Détails complémentaires Le fonds est référencé en statut Production et l’indicateur PRIIPs est renseigné à Oui.</t>
  </si>
  <si>
    <t xml:space="preserve">Q0585</t>
  </si>
  <si>
    <t xml:space="preserve">Dernier point sur R-co Conviction High Yield SD Euro, et non sur le fonds précédent : l’information « benchmark » renseignée au niveau produit, sans inventer un indice de part ?</t>
  </si>
  <si>
    <t xml:space="preserve">Résultat Pour « R-co Conviction High Yield SD Euro », l’information « benchmark » renseignée au niveau produit est : Non. Détails complémentaires Aucun indice de comparaison ni aucune description de benchmark ne sont renseignés au niveau produit dans les données disponibles. Je ne constate donc pas de benchmark produit associé à ce fonds.</t>
  </si>
  <si>
    <t xml:space="preserve">Q0586</t>
  </si>
  <si>
    <t xml:space="preserve">C118</t>
  </si>
  <si>
    <t xml:space="preserve">R-co WM Euro Equities RDT - DBI</t>
  </si>
  <si>
    <t xml:space="preserve">Concernant R-co WM Euro Equities RDT - DBI, peux-tu retrouver le gestionnaire par délégation indiqué dans la fiche ?</t>
  </si>
  <si>
    <t xml:space="preserve">Rothschild &amp; co Wealth Management Belgium</t>
  </si>
  <si>
    <t xml:space="preserve">Résultat Pour le fonds/compartiment « R-co WM Euro Equities RDT - DBI » en statut Production, le gestionnaire par délégation indiqué dans la fiche est : Rothschild &amp; Co Wealth Management Belgium Détails complémentaires Cette information correspond au champ « gestionnaire par délégation » renseigné sur la fiche produit actuellement en Production.</t>
  </si>
  <si>
    <t xml:space="preserve">Q0587</t>
  </si>
  <si>
    <t xml:space="preserve">Typical investor profile (FR)</t>
  </si>
  <si>
    <t xml:space="preserve">Dans la continuité, le profil d’investisseur type en français ?</t>
  </si>
  <si>
    <t xml:space="preserve">Personnes morales cherchant un support d'investissement dynamique, sur un horizon de placement minimum de 5 ans. L’investisseur ne pourra pas perdre plus que le capital initialement investi. Ce fonds s’adresse aux investisseurs qui souhaitent valoriser leur capital et/ou percevoir un revenu, et ayant une connaissance et une expérience de base et/ou intermédiaire et/ou avancée des marchés financiers.</t>
  </si>
  <si>
    <t xml:space="preserve">Résultat Profil d’investisseur type (français) : « Personnes morales cherchant un support d'investissement dynamique, sur un horizon de placement minimum de 5 ans. L’investisseur ne pourra pas perdre plus que le capital initialement investi. Ce fonds s’adresse aux investisseurs qui souhaitent valoriser leur capital et/ou percevoir un revenu, et ayant une connaissance et une expérience de base et/ou intermédiaire et/ou avancée des marchés financiers. » Détails complémentaires Information issue de la fiche du produit en statut Production.</t>
  </si>
  <si>
    <t xml:space="preserve">Q0588</t>
  </si>
  <si>
    <t xml:space="preserve">Côté produit, que mentionne-t-on pour la prise en compte des principales incidences négatives, selon l’EET ?</t>
  </si>
  <si>
    <t xml:space="preserve">Résultat Pour le produit « R-co WM Euro Equities RDT - DBI » en statut Production, aucune information n’est renseignée dans les champs EET interrogés relatifs à la prise en compte des principales incidences négatives (PAI). Détails complémentaires Aucune donnée exploitable n’a été trouvée dans la fiche produit pour cette rubrique EET. La fiche ne permet donc pas d’indiquer qu’une prise en compte des principales incidences négatives est renseignée pour ce produit.</t>
  </si>
  <si>
    <t xml:space="preserve">Q0589</t>
  </si>
  <si>
    <t xml:space="preserve">Je voudrais également l’indicateur d’investisseur averti.</t>
  </si>
  <si>
    <t xml:space="preserve">Résultat Indicateur « Investisseur averti » : Oui Détails complémentaires Cette information est renseignée sur la fiche du produit « R-co WM Euro Equities RDT - DBI » en statut Production.</t>
  </si>
  <si>
    <t xml:space="preserve">Q0590</t>
  </si>
  <si>
    <t xml:space="preserve">Une dernière donnée : l’indicateur d’investisseur informé ?</t>
  </si>
  <si>
    <t xml:space="preserve">Résultat Indicateur « Investisseur informé » : Oui Détails complémentaires Cette information est renseignée sur la fiche du produit « R-co WM Euro Equities RDT - DBI » en statut Production.</t>
  </si>
  <si>
    <t xml:space="preserve">Q0591</t>
  </si>
  <si>
    <t xml:space="preserve">C119</t>
  </si>
  <si>
    <t xml:space="preserve">Creation Date</t>
  </si>
  <si>
    <t xml:space="preserve">Pour R-co Target 2028 IG, je cherche la date de création du produit. Quelle information est enregistrée ?</t>
  </si>
  <si>
    <t xml:space="preserve">2022-09-08 22:00:00</t>
  </si>
  <si>
    <t xml:space="preserve">Résultat Information trouvée Pour le fonds « R-co Target 2028 IG », la date de création enregistrée dans le référentiel est le 8 septembre 2022. Détails complémentaires Le référentiel produit dispose d’un champ dédié à la date de création du fonds. Pour « R-co Target 2028 IG », la valeur enregistrée est le 08/09/2022.</t>
  </si>
  <si>
    <t xml:space="preserve">Q0592</t>
  </si>
  <si>
    <t xml:space="preserve">AMF Classification</t>
  </si>
  <si>
    <t xml:space="preserve">Qu’en est-il de la classification AMF indiquée ?</t>
  </si>
  <si>
    <t xml:space="preserve">Bonds and other debt securities denominated in euros</t>
  </si>
  <si>
    <t xml:space="preserve">Résultat Information trouvée Pour le fonds « R-co Target 2028 IG », la classification AMF enregistrée est : Obligations et autres titres de créances libellés en euro Détails complémentaires Cette classification est celle actuellement renseignée sur le fonds en statut Production.</t>
  </si>
  <si>
    <t xml:space="preserve">Q0593</t>
  </si>
  <si>
    <t xml:space="preserve">Fund Sub-regulation application</t>
  </si>
  <si>
    <t xml:space="preserve">Passons à R-co Conviction Equity Value Euro. Quelle information as-tu pour la sous-réglementation applicable au produit ?</t>
  </si>
  <si>
    <t xml:space="preserve">OPCVM</t>
  </si>
  <si>
    <t xml:space="preserve">Résultat Information trouvée Pour le fonds « R-co Conviction Equity Value Euro », la sous-réglementation applicable enregistrée est : OPCVM Détails complémentaires Le fonds est donc rattaché à la réglementation OPCVM telle qu’enregistrée dans le référentiel produit.</t>
  </si>
  <si>
    <t xml:space="preserve">Q0594</t>
  </si>
  <si>
    <t xml:space="preserve">Et sur le premier taux de frais de gestion renseigné au niveau produit, quelle est la valeur ?</t>
  </si>
  <si>
    <t xml:space="preserve">Résultat Information trouvée Pour le fonds « R-co Conviction Equity Value Euro », aucun premier taux de frais de gestion n'est renseigné au niveau produit. Détails complémentaires Le champ correspondant au premier taux de frais de gestion est présent dans le référentiel, mais aucune valeur n'est enregistrée pour ce fonds en statut Production.</t>
  </si>
  <si>
    <t xml:space="preserve">Q0595</t>
  </si>
  <si>
    <t xml:space="preserve">Maturity date</t>
  </si>
  <si>
    <t xml:space="preserve">Reprenons R-co Target 2028 IG pour terminer : peux-tu vérifier la date d’échéance indiquée pour le produit ?</t>
  </si>
  <si>
    <t xml:space="preserve">2028-12-30 23:00:00</t>
  </si>
  <si>
    <t xml:space="preserve">Résultat Information trouvée Pour le fonds « R-co Target 2028 IG », la date d’échéance enregistrée est le 31 décembre 2028. Détails complémentaires Cette date correspond à la date d’échéance actuellement renseignée pour le produit en statut Production.</t>
  </si>
  <si>
    <t xml:space="preserve">date ±1 jour (UTC/Paris)</t>
  </si>
  <si>
    <t xml:space="preserve">Q0596</t>
  </si>
  <si>
    <t xml:space="preserve">C120</t>
  </si>
  <si>
    <t xml:space="preserve">E-fund Sélection Opportunités</t>
  </si>
  <si>
    <t xml:space="preserve">Pour le dossier E-fund Sélection Opportunités, peux-tu me confirmer la prise en compte des principales incidences négatives, selon l’EET ?</t>
  </si>
  <si>
    <t xml:space="preserve">Résultat Information trouvée Pour le fonds « E-fund Sélection Opportunités », en statut Production, la prise en compte des principales incidences négatives (PAI) est indiquée comme « Oui » dans l’EET. Détails complémentaires Fonds : E-fund Sélection Opportunités Statut : Production Prise en compte des principales incidences négatives (PAI) selon l’EET : Oui</t>
  </si>
  <si>
    <t xml:space="preserve">Q0597</t>
  </si>
  <si>
    <t xml:space="preserve">Typical investor profile</t>
  </si>
  <si>
    <t xml:space="preserve">Et le profil d’investisseur type renseigné pour ce même fonds ?</t>
  </si>
  <si>
    <t xml:space="preserve">Le FCP s’adresse aux investisseurs qui souhaitent disposer d’un support d’investissement en multigestion dont
l’allocation diversifiée permet notamment, en fonction des opportunités de marché, d’être exposés aux produits
de taux et/ou aux produits d’actions et/ou aux produits à rendement absolu.</t>
  </si>
  <si>
    <t xml:space="preserve">Résultat Information trouvée Pour le fonds « E-fund Sélection Opportunités », le profil d’investisseur type renseigné est : « Le FCP s’adresse aux investisseurs qui souhaitent disposer d’un support d’investissement en multigestion dont l’allocation diversifiée permet notamment, en fonction des opportunités de marché, d’être exposés aux produits de taux et/ou aux produits d’actions et/ou aux produits à rendement absolu. » Détails complémentaires Fonds : E-fund Sélection Opportunités Statut : Production Profil d’investisseur type : investisseurs recherchant un support de multigestion à allocation diversifiée, pouvant être exposé selon les opportunités de marché aux produits de taux, aux actions et/ou aux stratégies à rendement absolu.</t>
  </si>
  <si>
    <t xml:space="preserve">Q0598</t>
  </si>
  <si>
    <t xml:space="preserve">France D</t>
  </si>
  <si>
    <t xml:space="preserve">Pour France D cette fois, que trouve-t-on concernant la sous-réglementation applicable au produit ?</t>
  </si>
  <si>
    <t xml:space="preserve">Fonds Professionnel spécialisés / FIPS</t>
  </si>
  <si>
    <t xml:space="preserve">Résultat Information trouvée Pour le produit « France D » (statut Production), la sous-réglementation applicable renseignée est : Pas de réglementation applicable Détails complémentaires Produit : France D Sous-réglementation applicable : Pas de réglementation applicable</t>
  </si>
  <si>
    <t xml:space="preserve">« Pas de réglementation applicable » au lieu de FIPS</t>
  </si>
  <si>
    <t xml:space="preserve">Q0599</t>
  </si>
  <si>
    <t xml:space="preserve">Annual closing date</t>
  </si>
  <si>
    <t xml:space="preserve">Pour finaliser la réponse client, précise la date de clôture annuelle renseignée.</t>
  </si>
  <si>
    <t xml:space="preserve">Last open business day of December</t>
  </si>
  <si>
    <t xml:space="preserve">Résultat Information trouvée Pour le produit « France D », la date de clôture annuelle renseignée est : Dernier jour ouvré de décembre Détails complémentaires Produit : France D Statut : Production Clôture annuelle : Dernier jour ouvré de décembre</t>
  </si>
  <si>
    <t xml:space="preserve">Q0600</t>
  </si>
  <si>
    <t xml:space="preserve">Dernier point sur E-fund Sélection Opportunités, et non sur le fonds précédent : l’entité sponsor renseignée ?</t>
  </si>
  <si>
    <t xml:space="preserve">Résultat Information trouvée Pour le fonds « E-fund Sélection Opportunités », l’entité sponsor renseignée est : Rothschild &amp; Co Asset Management Détails complémentaires Fonds : E-fund Sélection Opportunités Statut : Production Entité sponsor : Rothschild &amp; Co Asset Management</t>
  </si>
  <si>
    <t xml:space="preserve">Q0601</t>
  </si>
  <si>
    <t xml:space="preserve">C121</t>
  </si>
  <si>
    <t xml:space="preserve">Je prépare une DDQ sur R-co Valor. Quelle est l’information disponible concernant le deuxième gérant suppléant ?</t>
  </si>
  <si>
    <t xml:space="preserve">CAPTIER Henri</t>
  </si>
  <si>
    <t xml:space="preserve">Résultat Aucune information disponible pour cette demande. Je n’ai trouvé aucune donnée exploitable permettant d’identifier le deuxième gérant suppléant du fonds R-co Valor dans les informations accessibles. Détails complémentaires Aucune information de gérant secondaire de rang 2 n’a été retrouvée pour ce fonds.</t>
  </si>
  <si>
    <t xml:space="preserve">Q0602</t>
  </si>
  <si>
    <t xml:space="preserve">Finansol Label</t>
  </si>
  <si>
    <t xml:space="preserve">J’ai aussi besoin de l’indicateur du label Finansol.</t>
  </si>
  <si>
    <t xml:space="preserve">Résultat Aucune information disponible pour cette demande. Détails complémentaires Je ne dispose pas de donnée permettant de confirmer la valeur de l’indicateur du label Finansol pour R-co Valor à partir des informations actuellement accessibles.</t>
  </si>
  <si>
    <t xml:space="preserve">Q0603</t>
  </si>
  <si>
    <t xml:space="preserve">Sur ce point, indique-moi l’indicateur PRIIPs du fonds.</t>
  </si>
  <si>
    <t xml:space="preserve">Résultat Aucune information disponible pour cette demande. Détails complémentaires Je ne trouve pas de donnée permettant d’identifier l’indicateur PRIIPs du fonds R-co Valor dans les informations accessibles actuellement.</t>
  </si>
  <si>
    <t xml:space="preserve">Q0604</t>
  </si>
  <si>
    <t xml:space="preserve">Agreement Date</t>
  </si>
  <si>
    <t xml:space="preserve">Autre rubrique du même dossier : la date d’agrément renseignée ?</t>
  </si>
  <si>
    <t xml:space="preserve">2012-04-26 22:00:00</t>
  </si>
  <si>
    <t xml:space="preserve">Résultat Aucune information disponible pour cette demande. Détails complémentaires Je ne dispose pas d’une donnée permettant d’identifier la date d’agrément renseignée pour R-co Valor dans les informations actuellement accessibles.</t>
  </si>
  <si>
    <t xml:space="preserve">Q0605</t>
  </si>
  <si>
    <t xml:space="preserve">Avant de conclure, peux-tu vérifier la date de clôture annuelle renseignée ?</t>
  </si>
  <si>
    <t xml:space="preserve">Résultat Pour le fonds R-co Valor, la date de clôture annuelle renseignée est : Dernier jour ouvré de décembre. Détails complémentaires Cette information est bien renseignée sur la fiche du fonds R-co Valor en statut Production.</t>
  </si>
  <si>
    <t xml:space="preserve">Q0606</t>
  </si>
  <si>
    <t xml:space="preserve">C122</t>
  </si>
  <si>
    <t xml:space="preserve">R-co Allocation ETF Dynamic</t>
  </si>
  <si>
    <t xml:space="preserve">Pour R-co Allocation ETF Dynamic, quelle valeur est renseignée pour l’agent de transfert indiqué ?</t>
  </si>
  <si>
    <t xml:space="preserve">Résultat Pour le fonds « R-co Allocation ETF Dynamic », la valeur renseignée pour l’agent de transfert (centralisateur) est : Rothschild &amp; Co Martin Maurel.</t>
  </si>
  <si>
    <t xml:space="preserve">Rothschild &amp; Co Martin Maurel au lieu de CACEIS Bank Luxembourg Branch</t>
  </si>
  <si>
    <t xml:space="preserve">Q0607</t>
  </si>
  <si>
    <t xml:space="preserve">Toujours pour ce produit : la classification AMF indiquée ?</t>
  </si>
  <si>
    <t xml:space="preserve">No AMF Classification</t>
  </si>
  <si>
    <t xml:space="preserve">Résultat Pour le fonds « R-co Allocation ETF Dynamic », la classification AMF renseignée est : Pas de Classification AMF.</t>
  </si>
  <si>
    <t xml:space="preserve">Q0608</t>
  </si>
  <si>
    <t xml:space="preserve">France D Actions 1</t>
  </si>
  <si>
    <t xml:space="preserve">Autre dossier, France D Actions 1 : peux-tu vérifier les frais de gestion maximum renseignés au niveau produit, sans les attribuer à une part ?</t>
  </si>
  <si>
    <t xml:space="preserve">Résultat Pour le produit « France D Actions 1 », aucun montant de frais de gestion maximum n’est renseigné au niveau produit. Détails complémentaires Le produit existe bien en statut Production, mais le champ correspondant aux frais de gestion maximum est vide.</t>
  </si>
  <si>
    <t xml:space="preserve">Q0609</t>
  </si>
  <si>
    <t xml:space="preserve">Statut Du Produit</t>
  </si>
  <si>
    <t xml:space="preserve">Je passe à la rubrique suivante : le statut métier du produit dans Product Info ?</t>
  </si>
  <si>
    <t xml:space="preserve">Production</t>
  </si>
  <si>
    <t xml:space="preserve">Résultat Pour le produit « France D Actions 1 », le statut métier dans Product Info est : Production.</t>
  </si>
  <si>
    <t xml:space="preserve">Q0610</t>
  </si>
  <si>
    <t xml:space="preserve">Internal Classification</t>
  </si>
  <si>
    <t xml:space="preserve">Reprenons R-co Allocation ETF Dynamic pour terminer : peux-tu vérifier la classification interne du fonds ?</t>
  </si>
  <si>
    <t xml:space="preserve">Fonds de Fonds Profilé</t>
  </si>
  <si>
    <t xml:space="preserve">Résultat Pour le fonds « R-co Allocation ETF Dynamic », la classification interne renseignée est : Fonds de Fonds Profilé.</t>
  </si>
  <si>
    <t xml:space="preserve">Q0611</t>
  </si>
  <si>
    <t xml:space="preserve">C123</t>
  </si>
  <si>
    <t xml:space="preserve">Dans la documentation produit de R-co Conviction High Yield Euro, que dois-je reprendre pour le profil d’investisseur type en français ?</t>
  </si>
  <si>
    <t xml:space="preserve">Ce fonds s’adresse aux investisseurs qui souhaitent bénéficier du potentiel de rémunération des titres spéculatifs hauts rendements libellés en euros et émis principalement par des entreprises ayant leur siège social dans un pays de l’OCDE ou des Etats de l’OCDE.</t>
  </si>
  <si>
    <t xml:space="preserve">Résultat Aucune information disponible pour cette demande. Je ne retrouve pas dans les données accessibles la documentation produit de « R-co Conviction High Yield Euro » ni le champ correspondant au profil d’investisseur type en français.</t>
  </si>
  <si>
    <t xml:space="preserve">Q0612</t>
  </si>
  <si>
    <t xml:space="preserve">Même fonds, autre point : le deuxième gérant suppléant ?</t>
  </si>
  <si>
    <t xml:space="preserve">Résultat Aucune information disponible pour cette demande. Je ne parviens pas à accéder aux données du fonds « R-co Conviction High Yield Euro » permettant d’identifier le deuxième gérant suppléant. Les informations actuellement accessibles ne retournent pas l’enregistrement du fonds ni ses gérants associés.</t>
  </si>
  <si>
    <t xml:space="preserve">Q0613</t>
  </si>
  <si>
    <t xml:space="preserve">Je complète maintenant le profil d’investisseur type renseigné : quelle donnée as-tu ?</t>
  </si>
  <si>
    <t xml:space="preserve">Résultat Aucune information disponible pour cette demande. Je n’ai actuellement aucune donnée métier récupérable concernant le champ « profil d’investisseur type » pour le fonds « R-co Conviction High Yield Euro ». Les recherches disponibles ne retournent pas l’enregistrement du fonds ni sa documentation associée.</t>
  </si>
  <si>
    <t xml:space="preserve">Q0614</t>
  </si>
  <si>
    <t xml:space="preserve">Belgium Towards Sustainability label</t>
  </si>
  <si>
    <t xml:space="preserve">Qu’indique Product Info sur l’indicateur du label Towards Sustainability ?</t>
  </si>
  <si>
    <t xml:space="preserve">Résultat Aucune information disponible pour cette demande. Je ne retrouve pas de donnée accessible dans Product Info concernant l’indicateur du label « Towards Sustainability ». Les sources interrogées ne retournent aucun enregistrement exploitable sur cet indicateur.</t>
  </si>
  <si>
    <t xml:space="preserve">Q0615</t>
  </si>
  <si>
    <t xml:space="preserve">Status</t>
  </si>
  <si>
    <t xml:space="preserve">Pour boucler la fiche, précise le statut actif ou inactif enregistré pour ce produit.</t>
  </si>
  <si>
    <t xml:space="preserve">Active</t>
  </si>
  <si>
    <t xml:space="preserve">Résultat Aucune information disponible pour cette demande. Je ne parviens pas à accéder à l’enregistrement du produit « R-co Conviction High Yield Euro » dans les données disponibles, et je ne peux donc pas déterminer si son statut est enregistré comme actif ou inactif.</t>
  </si>
  <si>
    <t xml:space="preserve">Q0616</t>
  </si>
  <si>
    <t xml:space="preserve">C124</t>
  </si>
  <si>
    <t xml:space="preserve">RMM Lux BDL European Equity Alpha</t>
  </si>
  <si>
    <t xml:space="preserve">Sur RMM Lux BDL European Equity Alpha, j’ai besoin de la date de création du produit pour une réponse RFI.</t>
  </si>
  <si>
    <t xml:space="preserve">2018-02-26 23:00:00</t>
  </si>
  <si>
    <t xml:space="preserve">Résultat Information trouvée La date de création du fonds « RMM Lux BDL European Equity Alpha » est le 26 février 2018. Détails complémentaires Le fonds est en statut Production.</t>
  </si>
  <si>
    <t xml:space="preserve">Q0617</t>
  </si>
  <si>
    <t xml:space="preserve">Peux-tu préciser le conservateur indiqué ?</t>
  </si>
  <si>
    <t xml:space="preserve">Résultat Information trouvée Le conservateur indiqué pour le fonds « RMM Lux BDL European Equity Alpha » est : CACEIS Bank Luxembourg Branch Détails complémentaires La date de création du fonds est le 26 février 2018.</t>
  </si>
  <si>
    <t xml:space="preserve">Q0618</t>
  </si>
  <si>
    <t xml:space="preserve">RMM Invest 19 S.L.P.</t>
  </si>
  <si>
    <t xml:space="preserve">Pour RMM Invest 19 S.L.P. cette fois, que trouve-t-on concernant la date d’agrément renseignée ?</t>
  </si>
  <si>
    <t xml:space="preserve">2023-03-26 22:00:00</t>
  </si>
  <si>
    <t xml:space="preserve">Résultat Information trouvée Pour le fonds « RMM Invest 19 S.L.P. », la date d’agrément renseignée est le 27 mars 2023. Détails complémentaires Aucune autre valeur de date d’agrément n’a été trouvée pour ce fonds dans les données de référence.</t>
  </si>
  <si>
    <t xml:space="preserve">Q0619</t>
  </si>
  <si>
    <t xml:space="preserve">Je vérifie aussi l’assiette de calcul des frais de gestion : quelle est la donnée ?</t>
  </si>
  <si>
    <t xml:space="preserve">Résultat Information trouvée Pour le fonds « RMM Invest 19 S.L.P. », aucune valeur n'est renseignée dans le référentiel pour l’assiette de calcul des frais de gestion. Détails complémentaires Le fonds a bien été identifié, mais le champ correspondant à l’assiette de calcul des frais de gestion est vide dans les données disponibles.</t>
  </si>
  <si>
    <t xml:space="preserve">Q0620</t>
  </si>
  <si>
    <t xml:space="preserve">Je reviens à RMM Lux BDL European Equity Alpha : quelle donnée figure sur le statut métier du produit dans Product Info ?</t>
  </si>
  <si>
    <t xml:space="preserve">Résultat Information trouvée Pour « RMM Lux BDL European Equity Alpha », le statut métier du produit actuellement en vigueur est : Production Détails complémentaires Le référentiel contient également plusieurs versions historisées de ce même fonds avec le statut : Historisé (5 occurrences) Conformément aux règles métier, la version de référence du fonds est celle en statut Production.</t>
  </si>
  <si>
    <t xml:space="preserve">Q0621</t>
  </si>
  <si>
    <t xml:space="preserve">C125</t>
  </si>
  <si>
    <t xml:space="preserve">Je vérifie R-co Target 2029 HY avant d’envoyer une fiche client : l’agent de transfert indiqué ?</t>
  </si>
  <si>
    <t xml:space="preserve">Résultat Information trouvée Pour le fonds « R-co Target 2029 HY » (statut Production), l’agent de transfert indiqué est : CACEIS Bank Détails complémentaires L’information est renseignée au niveau du fonds dans le référentiel Product Info.</t>
  </si>
  <si>
    <t xml:space="preserve">CACEIS Bank au lieu de CACEIS Bank Luxembourg Branch</t>
  </si>
  <si>
    <t xml:space="preserve">Q0622</t>
  </si>
  <si>
    <t xml:space="preserve">Umbrella Name</t>
  </si>
  <si>
    <t xml:space="preserve">Pour ce même produit, la structure ombrelle à laquelle le produit est rattaché ?</t>
  </si>
  <si>
    <t xml:space="preserve">R-co 3</t>
  </si>
  <si>
    <t xml:space="preserve">Résultat Information trouvée Pour le fonds « R-co Target 2029 HY », la structure ombrelle de rattachement est : R-co 3 Détails complémentaires Le fonds est rattaché à l’ombrelle « R-co 3 » dans le référentiel Product Info.</t>
  </si>
  <si>
    <t xml:space="preserve">Q0623</t>
  </si>
  <si>
    <t xml:space="preserve">Je change de fonds : sur R-co Thematic Real Estate, que dit la fiche pour le centralisateur désigné ?</t>
  </si>
  <si>
    <t xml:space="preserve">Résultat Information trouvée Pour le fonds « R-co Thematic Real Estate », le centralisateur désigné est : Rothschild &amp; Co Martin Maurel Détails complémentaires Cette information correspond au centralisateur renseigné dans la fiche du fonds.</t>
  </si>
  <si>
    <t xml:space="preserve">Q0624</t>
  </si>
  <si>
    <t xml:space="preserve">Management Expertise Level 0</t>
  </si>
  <si>
    <t xml:space="preserve">Passe maintenant à la famille d’expertise de gestion de premier niveau.</t>
  </si>
  <si>
    <t xml:space="preserve">DIRECT INVESTMENT</t>
  </si>
  <si>
    <t xml:space="preserve">Résultat Information trouvée Pour le fonds « R-co Thematic Real Estate », la famille d’expertise de gestion de premier niveau (niveau 0) est : DIRECT INVESTMENT Détails complémentaires Selon le référentiel Product Info, ce niveau correspond au premier niveau de la hiérarchie d’expertise de gestion.</t>
  </si>
  <si>
    <t xml:space="preserve">Q0625</t>
  </si>
  <si>
    <t xml:space="preserve">Management Expertise Level 2</t>
  </si>
  <si>
    <t xml:space="preserve">Reprenons R-co Target 2029 HY pour terminer : peux-tu vérifier l’expertise de gestion détaillée ?</t>
  </si>
  <si>
    <t xml:space="preserve">High Yield</t>
  </si>
  <si>
    <t xml:space="preserve">Résultat Information trouvée Pour le fonds « R-co Target 2029 HY », l’expertise de gestion détaillée est : Niveau 3 : Fixed Income Niveau 2 : High Yield Niveau 1 : FIXED INCOME Niveau 0 : DIRECT INVESTMENT Détails complémentaires Le chemin d’expertise enregistré pour ce fonds est : « Fixed Income &lt; High Yield &lt; FIXED INCOME &lt; DIRECT INVESTMENT ». Conformément au référentiel, le niveau 0 correspond au premier niveau de la hiérarchie.</t>
  </si>
  <si>
    <t xml:space="preserve">Q0626</t>
  </si>
  <si>
    <t xml:space="preserve">C126</t>
  </si>
  <si>
    <t xml:space="preserve">Hamelin Multigestion Monde I</t>
  </si>
  <si>
    <t xml:space="preserve">Concernant Hamelin Multigestion Monde I, peux-tu retrouver l’indicateur du label Towards Sustainability dans la fiche ?</t>
  </si>
  <si>
    <t xml:space="preserve">Résultat Aucune information disponible pour cette demande. Je n’ai pas retrouvé de fiche correspondant à « Hamelin Multigestion Monde I » dans les données accessibles. Les recherches sur le nom complet ainsi que sur ses variantes n’ont retourné aucun résultat.</t>
  </si>
  <si>
    <t xml:space="preserve">Q0627</t>
  </si>
  <si>
    <t xml:space="preserve">Dans la continuité, le centralisateur désigné ?</t>
  </si>
  <si>
    <t xml:space="preserve">Résultat Aucune information disponible pour cette demande. Je ne retrouve pas de fiche correspondant à « Hamelin Multigestion Monde I » dans les données accessibles, et je ne peux donc pas identifier de centralisateur désigné pour cette part.</t>
  </si>
  <si>
    <t xml:space="preserve">Q0628</t>
  </si>
  <si>
    <t xml:space="preserve">Côté produit, que mentionne-t-on pour le conservateur indiqué ?</t>
  </si>
  <si>
    <t xml:space="preserve">Résultat Aucune information disponible pour cette demande. Je ne retrouve pas le fonds ou la part « Hamelin Multigestion Monde I » dans les données accessibles. Sans fiche produit correspondante, je ne peux pas déterminer le conservateur indiqué côté produit.</t>
  </si>
  <si>
    <t xml:space="preserve">Q0629</t>
  </si>
  <si>
    <t xml:space="preserve">Je voudrais également le commissaire aux comptes indiqué.</t>
  </si>
  <si>
    <t xml:space="preserve">RSM France</t>
  </si>
  <si>
    <t xml:space="preserve">Résultat Aucune information disponible pour cette demande. Je ne peux pas retrouver le commissaire aux comptes indiqué car la fiche « Hamelin Multigestion Monde I » n’a pas été identifiée dans les données accessibles. Sans retrouver le fonds ou la part correspondante, il n’est pas possible d’extraire les informations produit associées, y compris le conservateur ou le commissaire aux comptes.</t>
  </si>
  <si>
    <t xml:space="preserve">Q0630</t>
  </si>
  <si>
    <t xml:space="preserve">Une dernière donnée : le statut actif ou inactif enregistré pour ce produit ?</t>
  </si>
  <si>
    <t xml:space="preserve">Résultat Aucune information disponible pour cette demande. Je n’ai pas réussi à identifier le produit « Hamelin Multigestion Monde I » dans les données accessibles. Par conséquent, je ne peux pas confirmer si son statut enregistré est « Actif » ou « Inactif ». Si le produit existe sous une dénomination légèrement différente dans le référentiel, il n’a pas été retrouvé lors des recherches effectuées.</t>
  </si>
  <si>
    <t xml:space="preserve">Q0631</t>
  </si>
  <si>
    <t xml:space="preserve">C127</t>
  </si>
  <si>
    <t xml:space="preserve">Pour R-co 4Change Net Zero Credit Euro, je cherche la thématique ESG principale déclarée dans l’EET. Quelle information est enregistrée ?</t>
  </si>
  <si>
    <t xml:space="preserve">Résultat Pour le fonds « R-co 4Change Net Zero Credit Euro », la thématique ESG principale déclarée dans l’EET est : E = Environnement Valeur enregistrée pour ce fonds : E (Environnement) Détails complémentaires L’information EET correspond à la thématique ESG principale du fonds avec les valeurs possibles : E : Environnement S : Social G : Gouvernance Pour « R-co 4Change Net Zero Credit Euro », la valeur enregistrée est « E ».</t>
  </si>
  <si>
    <t xml:space="preserve">À confirmer</t>
  </si>
  <si>
    <t xml:space="preserve">Q0632</t>
  </si>
  <si>
    <t xml:space="preserve">Qu’en est-il de la classification interne du fonds ?</t>
  </si>
  <si>
    <t xml:space="preserve">FCP Obligations et autres titres de créance €</t>
  </si>
  <si>
    <t xml:space="preserve">Résultat La classification interne enregistrée pour le fonds « R-co 4Change Net Zero Credit Euro » est : FCP Obligations et autres titres de créance € Détails complémentaires Cette information correspond à la classification interne du fonds dans le référentiel Product Info.</t>
  </si>
  <si>
    <t xml:space="preserve">Q0633</t>
  </si>
  <si>
    <t xml:space="preserve">Passons à R-co Conviction Subfin. Quelle information as-tu pour les frais de gestion effectifs renseignés au niveau produit ?</t>
  </si>
  <si>
    <t xml:space="preserve">Résultat Pour le fonds « R-co Conviction Subfin », aucune valeur de frais de gestion effectifs n’est renseignée au niveau produit. Le champ est vide dans le référentiel.</t>
  </si>
  <si>
    <t xml:space="preserve">Q0634</t>
  </si>
  <si>
    <t xml:space="preserve">Et sur l’indicateur du label Finansol, quelle est la valeur ?</t>
  </si>
  <si>
    <t xml:space="preserve">Résultat Pour le fonds « R-co Conviction Subfin », l’indicateur « Label Finansol » est renseigné à : Non Détails complémentaires Le fonds n’est donc pas identifié comme bénéficiant du label Finansol dans le référentiel Product Info.</t>
  </si>
  <si>
    <t xml:space="preserve">Q0635</t>
  </si>
  <si>
    <t xml:space="preserve">Je reviens à R-co 4Change Net Zero Credit Euro : quelle donnée figure sur l’expertise de gestion détaillée ?</t>
  </si>
  <si>
    <t xml:space="preserve">Investment Grade</t>
  </si>
  <si>
    <t xml:space="preserve">Résultat Pour le fonds « R-co 4Change Net Zero Credit Euro », l’expertise de gestion détaillée enregistrée est : Fixed Income Détails complémentaires Le chemin complet de l’expertise de gestion est : Niveau 3 : Fixed Income Niveau 2 : Investment Grade Niveau 1 : FIXED INCOME Niveau 0 : DIRECT INVESTMENT Chemin enregistré : « Fixed Income &lt; Investment Grade &lt; FIXED INCOME &lt; DIRECT INVESTMENT »</t>
  </si>
  <si>
    <t xml:space="preserve">Q0636</t>
  </si>
  <si>
    <t xml:space="preserve">C128</t>
  </si>
  <si>
    <t xml:space="preserve">R-co Lux Conviction Equity Value Euro</t>
  </si>
  <si>
    <t xml:space="preserve">Pour le dossier R-co Lux Conviction Equity Value Euro, peux-tu me confirmer la famille d’expertise de gestion de premier niveau ?</t>
  </si>
  <si>
    <t xml:space="preserve">Résultat Information trouvée Pour le fonds/compartiment « R-co Lux Conviction Equity Value Euro », la famille d’expertise de gestion de premier niveau (Level 0) est : DIRECT INVESTMENT Le chemin d’expertise enregistré est : Equities &lt; Value &lt; EQUITIES &lt; DIRECT INVESTMENT Selon la hiérarchie définie (Level 3 &lt; Level 2 &lt; Level 1 &lt; Level 0), le premier niveau correspond donc à « DIRECT INVESTMENT ».</t>
  </si>
  <si>
    <t xml:space="preserve">Q0637</t>
  </si>
  <si>
    <t xml:space="preserve">Et le statut de fonds nourricier pour ce même fonds ?</t>
  </si>
  <si>
    <t xml:space="preserve">Résultat Information trouvée Pour « R-co Lux Conviction Equity Value Euro », le statut de fonds nourricier est : Oui Détails complémentaires Le fonds est identifié comme fonds nourricier dans le référentiel Product Info.</t>
  </si>
  <si>
    <t xml:space="preserve">Q0638</t>
  </si>
  <si>
    <t xml:space="preserve">Dans la fiche produit, que trouve-t-on sur la gamme de rattachement du produit ?</t>
  </si>
  <si>
    <t xml:space="preserve">Résultat Information trouvée Pour « R-co Lux Conviction Equity Value Euro », la gamme de rattachement du produit est : Conviction Détails complémentaires Cette information est renseignée dans la fiche produit comme gamme du fonds.</t>
  </si>
  <si>
    <t xml:space="preserve">Q0639</t>
  </si>
  <si>
    <t xml:space="preserve">Pour finaliser la réponse client, précise la structure ombrelle à laquelle le produit est rattaché.</t>
  </si>
  <si>
    <t xml:space="preserve">R-co Lux</t>
  </si>
  <si>
    <t xml:space="preserve">Résultat Information trouvée Pour « R-co Lux Conviction Equity Value Euro » : Gamme de rattachement : Conviction Statut de fonds nourricier : Oui Famille d’expertise de gestion de premier niveau : DIRECT INVESTMENT Structure ombrelle de rattachement : R-co Lux Détails complémentaires Le produit « R-co Lux Conviction Equity Value Euro » est rattaché à l’ombrelle « R-co Lux ».</t>
  </si>
  <si>
    <t xml:space="preserve">Q0640</t>
  </si>
  <si>
    <t xml:space="preserve">Dernier contrôle : la réglementation OPC applicable ?</t>
  </si>
  <si>
    <t xml:space="preserve">Résultat Information trouvée Pour « R-co Lux Conviction Equity Value Euro », la réglementation OPC applicable est : OPCVM Détails complémentaires Récapitulatif des informations vérifiées : Structure ombrelle : R-co Lux Gamme : Conviction Statut de fonds nourricier : Oui Famille d’expertise de gestion de premier niveau : DIRECT INVESTMENT Réglementation OPC applicable : OPCVM</t>
  </si>
  <si>
    <t xml:space="preserve">Q0641</t>
  </si>
  <si>
    <t xml:space="preserve">C129</t>
  </si>
  <si>
    <t xml:space="preserve">Je prépare une DDQ sur R-co Conviction Equity Multi Caps Euro. Quelle est l’information disponible concernant le commissaire aux comptes indiqué ?</t>
  </si>
  <si>
    <t xml:space="preserve">Résultat Pour le fonds/produit en production « R-co Conviction Equity Multi Caps Euro », le commissaire aux comptes renseigné dans le référentiel est : Deloitte &amp; Associés Les informations de dates de début ou de fin de mandat du commissaire aux comptes ne sont pas renseignées dans les données retournées pour ce produit. Détails complémentaires Fonds : R-co Conviction Equity Multi Caps Euro Commissaire aux comptes : Deloitte &amp; Associés Statut du fonds : Production.</t>
  </si>
  <si>
    <t xml:space="preserve">Q0642</t>
  </si>
  <si>
    <t xml:space="preserve">J’ai aussi besoin de la réglementation OPC applicable.</t>
  </si>
  <si>
    <t xml:space="preserve">Résultat Pour « R-co Conviction Equity Multi Caps Euro », la réglementation OPC applicable renseignée dans le référentiel est : OPCVM Détails complémentaires Commissaire aux comptes : Deloitte &amp; Associés Réglementation applicable : OPCVM Statut du fonds : Production.</t>
  </si>
  <si>
    <t xml:space="preserve">Q0643</t>
  </si>
  <si>
    <t xml:space="preserve">Je change de fonds : sur R-co Core Equity Europe, que dit la fiche pour la qualification fonds de fonds renseignée ?</t>
  </si>
  <si>
    <t xml:space="preserve">Résultat Je ne trouve pas de fonds en production nommé exactement « R-co Core Equity Europe ». En revanche, le fonds en production « R-co Core Equity Euro » est présent dans le référentiel. Pour ce fonds, la qualification « fonds de fonds » renseignée est : Non Détails complémentaires Fonds : R-co Core Equity Euro Qualification fonds de fonds : Non Si vous faisiez bien référence à un autre fonds dont le nom contient « Europe », aucune information n’est disponible pour cette dénomination dans les fonds en production.</t>
  </si>
  <si>
    <t xml:space="preserve">Q0644</t>
  </si>
  <si>
    <t xml:space="preserve">Autre rubrique du même dossier : les frais de gestion maximum renseignés au niveau produit, sans les attribuer à une part ?</t>
  </si>
  <si>
    <t xml:space="preserve">Résultat Pour le fonds « R-co Core Equity Euro », aucun montant de frais de gestion maximum n’est renseigné au niveau produit dans les données disponibles. Détails complémentaires Fonds : R-co Core Equity Euro Frais de gestion maximum (niveau produit) : non renseignés dans le référentiel Cette information est distincte des frais éventuellement définis au niveau des parts.</t>
  </si>
  <si>
    <t xml:space="preserve">Q0645</t>
  </si>
  <si>
    <t xml:space="preserve">Dernier point sur R-co Conviction Equity Multi Caps Euro, et non sur le fonds précédent : le code AMF du produit ?</t>
  </si>
  <si>
    <t xml:space="preserve">FDS17422</t>
  </si>
  <si>
    <t xml:space="preserve">Résultat Pour le fonds « R-co Conviction Equity Multi Caps Euro », le code AMF renseigné est : FDS17422 Détails complémentaires Fonds : R-co Conviction Equity Multi Caps Euro Code AMF : FDS17422 Statut : Production.</t>
  </si>
  <si>
    <t xml:space="preserve">Q0646</t>
  </si>
  <si>
    <t xml:space="preserve">C130</t>
  </si>
  <si>
    <t xml:space="preserve">TURQUOIZ Invest</t>
  </si>
  <si>
    <t xml:space="preserve">Pour TURQUOIZ Invest, quelle valeur est renseignée pour la gamme de rattachement du produit ?</t>
  </si>
  <si>
    <t xml:space="preserve">Résultat Information trouvée Pour le fonds TURQUOIZ Invest, la valeur renseignée pour la gamme de rattachement du produit est : RMM Détails complémentaires Le fonds existe en version historisée et en version production, et dans les deux cas la gamme de rattachement renseignée est identique : RMM.</t>
  </si>
  <si>
    <t xml:space="preserve">Q0647</t>
  </si>
  <si>
    <t xml:space="preserve">Toujours pour ce produit : la durée de placement recommandée ?</t>
  </si>
  <si>
    <t xml:space="preserve">Résultat Information trouvée Pour le fonds TURQUOIZ Invest (statut Production), la durée de placement recommandée est : 5 ans Détails complémentaires Aucune autre valeur n'est renseignée pour ce fonds en Production.</t>
  </si>
  <si>
    <t xml:space="preserve">Q0648</t>
  </si>
  <si>
    <t xml:space="preserve">Capital Croissance</t>
  </si>
  <si>
    <t xml:space="preserve">Autre dossier, Capital Croissance : peux-tu vérifier l’identifiant LEI du produit ?</t>
  </si>
  <si>
    <t xml:space="preserve">549300FIBWH28SVB0639</t>
  </si>
  <si>
    <t xml:space="preserve">Résultat Information trouvée Pour le fonds Capital Croissance (statut Production), l’identifiant LEI renseigné est : 549300FIBWH28SVB0639 Détails complémentaires Aucun autre identifiant LEI n’est renseigné pour ce fonds en Production.</t>
  </si>
  <si>
    <t xml:space="preserve">Q0649</t>
  </si>
  <si>
    <t xml:space="preserve">Je passe à la rubrique suivante : la qualification fonds de fonds renseignée ?</t>
  </si>
  <si>
    <t xml:space="preserve">Résultat Information trouvée Pour le fonds Capital Croissance (statut Production), la qualification fonds de fonds renseignée est : Hybride Détails complémentaires Cette valeur est celle actuellement enregistrée sur le fonds en Production.</t>
  </si>
  <si>
    <t xml:space="preserve">Q0650</t>
  </si>
  <si>
    <t xml:space="preserve">Je reviens à TURQUOIZ Invest : quelle donnée figure sur l’expertise de gestion de deuxième niveau ?</t>
  </si>
  <si>
    <t xml:space="preserve">Résultat Information trouvée Pour le fonds TURQUOIZ Invest (statut Production), l’expertise de gestion de deuxième niveau est : PRIVATE WEALTH Détails complémentaires Cette valeur correspond au niveau 2 de la hiérarchie d’expertise de gestion renseignée sur le fonds.</t>
  </si>
  <si>
    <t xml:space="preserve">Q0651</t>
  </si>
  <si>
    <t xml:space="preserve">C131</t>
  </si>
  <si>
    <t xml:space="preserve">Dans la documentation produit de R-co 4Change Green Bonds, que dois-je reprendre pour la durée de placement recommandée ?</t>
  </si>
  <si>
    <t xml:space="preserve">Résultat Information trouvée Pour le fonds R-co 4Change Green Bonds, la durée de placement recommandée est de 3 ans. Détails complémentaires Cette information est renseignée dans le référentiel produit pour le fonds en statut Production.</t>
  </si>
  <si>
    <t xml:space="preserve">Q0652</t>
  </si>
  <si>
    <t xml:space="preserve">Même fonds, autre point : la domiciliation du fonds ?</t>
  </si>
  <si>
    <t xml:space="preserve">Résultat Information trouvée La domiciliation du fonds R-co 4Change Green Bonds est : France. Détails complémentaires Le fonds est référencé avec une domiciliation en France dans le référentiel produit de Production.</t>
  </si>
  <si>
    <t xml:space="preserve">Q0653</t>
  </si>
  <si>
    <t xml:space="preserve">Je complète maintenant l’identifiant LEI du produit : quelle donnée as-tu ?</t>
  </si>
  <si>
    <t xml:space="preserve">969500FRPZ4BZX26PP58</t>
  </si>
  <si>
    <t xml:space="preserve">Résultat Information trouvée L’identifiant LEI du fonds R-co 4Change Green Bonds est : 969500FRPZ4BZX26PP58. Détails complémentaires Cette valeur est celle enregistrée pour le fonds en statut Production dans le référentiel produit.</t>
  </si>
  <si>
    <t xml:space="preserve">Q0654</t>
  </si>
  <si>
    <t xml:space="preserve">Qu’indique Product Info sur la devise comptable du produit, et non celle d’une part ?</t>
  </si>
  <si>
    <t xml:space="preserve">Résultat Information trouvée La devise comptable du fonds R-co 4Change Green Bonds est : EUR (euro). Détails complémentaires Il s’agit de la devise comptable renseignée au niveau du produit (fonds), et non de la devise d’une part.</t>
  </si>
  <si>
    <t xml:space="preserve">Q0655</t>
  </si>
  <si>
    <t xml:space="preserve">Pour boucler la fiche, précise l’expertise de gestion de deuxième niveau.</t>
  </si>
  <si>
    <t xml:space="preserve">Résultat Information trouvée L’expertise de gestion de deuxième niveau du fonds R-co 4Change Green Bonds est : Investment Grade. Détails complémentaires Selon la hiérarchie des expertises de gestion, il s’agit du niveau 2 associé au fonds en Production.</t>
  </si>
  <si>
    <t xml:space="preserve">autre valeur du même champ : Investment Grade</t>
  </si>
  <si>
    <t xml:space="preserve">Q0656</t>
  </si>
  <si>
    <t xml:space="preserve">C132</t>
  </si>
  <si>
    <t xml:space="preserve">Toula</t>
  </si>
  <si>
    <t xml:space="preserve">Sur Toula, j’ai besoin de le gérant principal désigné pour une réponse RFI.</t>
  </si>
  <si>
    <t xml:space="preserve">DURAND Tony</t>
  </si>
  <si>
    <t xml:space="preserve">Résultat Pour le fonds/produit « Toula » en statut Production, le gérant principal désigné est : Tony DURAND D’après les données du référentiel, Tony DURAND est renseigné comme gérant principal du produit Toula. Détails complémentaires Le produit « Toula » existe en plusieurs versions historiques, mais la version en statut Production référence également Tony DURAND comme gérant principal.</t>
  </si>
  <si>
    <t xml:space="preserve">Q0657</t>
  </si>
  <si>
    <t xml:space="preserve">Peux-tu préciser le premier gérant suppléant ?</t>
  </si>
  <si>
    <t xml:space="preserve">DURUEL Marion</t>
  </si>
  <si>
    <t xml:space="preserve">Résultat Pour le produit « Toula » en statut Production, le premier gérant suppléant est : Marion DURUEL Détails complémentaires Le gérant principal est Tony DURAND et le premier gérant suppléant renseigné est Marion DURUEL.</t>
  </si>
  <si>
    <t xml:space="preserve">Q0658</t>
  </si>
  <si>
    <t xml:space="preserve">FCP RMM Core-Sat</t>
  </si>
  <si>
    <t xml:space="preserve">Pour FCP RMM Core-Sat cette fois, que trouve-t-on concernant les frais de gestion effectifs renseignés au niveau produit ?</t>
  </si>
  <si>
    <t xml:space="preserve">Résultat Pour le fonds « FCP RMM Core-Sat » en statut Production, aucun montant de frais de gestion effectifs n’est renseigné au niveau produit. Détails complémentaires Le fonds a bien été identifié en Production, mais la valeur du champ correspondant aux frais de gestion effectifs n’est pas renseignée dans le référentiel pour ce produit.</t>
  </si>
  <si>
    <t xml:space="preserve">Q0659</t>
  </si>
  <si>
    <t xml:space="preserve">Je vérifie aussi le code AMF du produit : quelle est la donnée ?</t>
  </si>
  <si>
    <t xml:space="preserve">DCL20260364</t>
  </si>
  <si>
    <t xml:space="preserve">Résultat Pour le fonds « FCP RMM Core-Sat » en statut Production, le code AMF renseigné est : FDS110418 Détails complémentaires Aucune autre valeur de code AMF n’est associée à ce fonds dans l’enregistrement Production consulté.</t>
  </si>
  <si>
    <t xml:space="preserve">code différent(e) de l'attendu</t>
  </si>
  <si>
    <t xml:space="preserve">Q0660</t>
  </si>
  <si>
    <t xml:space="preserve">Dernier point sur Toula, et non sur le fonds précédent : le statut de fonds nourricier ?</t>
  </si>
  <si>
    <t xml:space="preserve">Résultat Pour le produit « Toula » en statut Production, le statut de fonds nourricier est : Non Détails complémentaires Le produit n’est donc pas renseigné comme fonds nourricier dans le référentiel.</t>
  </si>
  <si>
    <t xml:space="preserve">Q0661</t>
  </si>
  <si>
    <t xml:space="preserve">C133</t>
  </si>
  <si>
    <t xml:space="preserve">Je vérifie R-co Target 2027 HY avant d’envoyer une fiche client : la date d’échéance indiquée pour le produit ?</t>
  </si>
  <si>
    <t xml:space="preserve">2027-12-30 23:00:00</t>
  </si>
  <si>
    <t xml:space="preserve">Résultat Information trouvée Pour le fonds R-co Target 2027 HY, la date d’échéance indiquée est le 31 décembre 2027. Détails complémentaires Le fonds est identifié en statut Production et comporte une échéance enregistrée au 31/12/2027.</t>
  </si>
  <si>
    <t xml:space="preserve">Q0662</t>
  </si>
  <si>
    <t xml:space="preserve">Year of Implicit Transaction costs ex-post (EMT)</t>
  </si>
  <si>
    <t xml:space="preserve">Pour ce même produit, l’année des coûts implicites ex post EMT ?</t>
  </si>
  <si>
    <t xml:space="preserve">2025</t>
  </si>
  <si>
    <t xml:space="preserve">Résultat Information trouvée Pour le fonds R-co Target 2027 HY, l’année des coûts de transaction ex post EMT enregistrée est 2025. Détails complémentaires Cette valeur correspond à l’année de référence EMT renseignée pour le produit en statut Production.</t>
  </si>
  <si>
    <t xml:space="preserve">Q0663</t>
  </si>
  <si>
    <t xml:space="preserve">Quelle donnée faut-il retenir pour l’administrateur du fonds ?</t>
  </si>
  <si>
    <t xml:space="preserve">Résultat Information trouvée Pour le fonds R-co Target 2027 HY, l’administrateur du fonds (valorisateur) est Caceis Fund Administration. Détails complémentaires Cette information correspond à la donnée « Valorisateur / Administrateur du fonds » enregistrée pour le produit en statut Production.</t>
  </si>
  <si>
    <t xml:space="preserve">Q0664</t>
  </si>
  <si>
    <t xml:space="preserve">Passe maintenant à la devise comptable du produit, et non celle d’une part.</t>
  </si>
  <si>
    <t xml:space="preserve">Résultat Information trouvée Pour le fonds R-co Target 2027 HY, la devise comptable du produit est EUR. Détails complémentaires Il s’agit de la devise comptable du fonds lui-même, et non de la devise d’une part.</t>
  </si>
  <si>
    <t xml:space="preserve">Q0665</t>
  </si>
  <si>
    <t xml:space="preserve">Year of implicit trans. costs ex ante/3Y mean</t>
  </si>
  <si>
    <t xml:space="preserve">Et pour l’année associée aux coûts implicites ex ante sur trois ans, qu’est-ce qui est indiqué ?</t>
  </si>
  <si>
    <t xml:space="preserve">Résultat Information trouvée Pour le fonds R-co Target 2027 HY, l’année associée aux coûts implicites ex ante (sur trois ans) est 2025. Détails complémentaires La valeur renseignée pour cette année de référence est 2025 pour le produit en statut Production.</t>
  </si>
  <si>
    <t xml:space="preserve">Q0666</t>
  </si>
  <si>
    <t xml:space="preserve">C134</t>
  </si>
  <si>
    <t xml:space="preserve">Actéon Investissements</t>
  </si>
  <si>
    <t xml:space="preserve">Concernant Actéon Investissements, peux-tu retrouver l’administrateur du fonds dans la fiche ?</t>
  </si>
  <si>
    <t xml:space="preserve">Résultat Information trouvée Pour le fonds Actéon Investissements, l’administrateur du fonds (valorisateur) renseigné dans la fiche est : Caceis Fund Administration Détails complémentaires Le fonds Actéon Investissements est présent en statut Production et sa fiche référence Caceis Fund Administration comme administrateur du fonds.</t>
  </si>
  <si>
    <t xml:space="preserve">Q0667</t>
  </si>
  <si>
    <t xml:space="preserve">Dans la continuité, la domiciliation du fonds ?</t>
  </si>
  <si>
    <t xml:space="preserve">Résultat Information trouvée La domiciliation du fonds Actéon Investissements est : France Détails complémentaires Le fonds est référencé en statut Production avec une domiciliation enregistrée en France.</t>
  </si>
  <si>
    <t xml:space="preserve">Q0668</t>
  </si>
  <si>
    <t xml:space="preserve">Navarre Opportunités</t>
  </si>
  <si>
    <t xml:space="preserve">Autre dossier, Navarre Opportunités : peux-tu vérifier le premier gérant suppléant ?</t>
  </si>
  <si>
    <t xml:space="preserve">Résultat Information trouvée Pour le fonds Navarre Opportunités, le premier gérant suppléant renseigné dans la fiche est : Guillaume de Pallières Détails complémentaires Le nom est enregistré dans le référentiel sous la forme : « PALLIERES (DE) Guillaume ».</t>
  </si>
  <si>
    <t xml:space="preserve">Q0669</t>
  </si>
  <si>
    <t xml:space="preserve">Je voudrais également le troisième gérant suppléant.</t>
  </si>
  <si>
    <t xml:space="preserve">Résultat Information trouvée Pour le fonds Navarre Opportunités, aucun troisième gérant suppléant n’est renseigné dans la fiche. Détails complémentaires Le champ correspondant au troisième gérant suppléant est vide pour ce fonds en statut Production.</t>
  </si>
  <si>
    <t xml:space="preserve">Q0670</t>
  </si>
  <si>
    <t xml:space="preserve">Reprenons Actéon Investissements pour terminer : peux-tu vérifier la société de gestion indiquée ?</t>
  </si>
  <si>
    <t xml:space="preserve">Résultat Information trouvée Pour le fonds Actéon Investissements, la société de gestion indiquée dans la fiche est : Rothschild &amp; Co Asset Management Détails complémentaires Cette société est renseignée comme gestionnaire du fonds dans sa fiche de référence en statut Production.</t>
  </si>
  <si>
    <t xml:space="preserve">Q0671</t>
  </si>
  <si>
    <t xml:space="preserve">C135</t>
  </si>
  <si>
    <t xml:space="preserve">Year of Explicit Transaction costs ex-post (EMT)</t>
  </si>
  <si>
    <t xml:space="preserve">Pour R-co Target 2029 IG, je cherche l’année des coûts explicites ex post EMT. Quelle information est enregistrée ?</t>
  </si>
  <si>
    <t xml:space="preserve">Résultat Information trouvée Pour le fonds R-co Target 2029 IG, l’information enregistrée pour l’élément métier « Année des coûts explicites ex post EMT » est : 2025 Détails complémentaires Aucune autre valeur n’est enregistrée pour ce fonds en statut Production.</t>
  </si>
  <si>
    <t xml:space="preserve">Q0672</t>
  </si>
  <si>
    <t xml:space="preserve">Year of explicit trans. costs ex-ante/3Y mean</t>
  </si>
  <si>
    <t xml:space="preserve">Qu’en est-il de l’année associée aux coûts explicites ex ante sur trois ans ?</t>
  </si>
  <si>
    <t xml:space="preserve">Résultat Information trouvée Pour le fonds R-co Target 2029 IG, l’année enregistrée pour les coûts explicites ex ante est : 2025 Détails complémentaires L’année associée aux coûts explicites ex ante et celle associée aux coûts explicites ex post EMT sont toutes deux enregistrées à 2025 pour ce fonds.</t>
  </si>
  <si>
    <t xml:space="preserve">Q0673</t>
  </si>
  <si>
    <t xml:space="preserve">Passons à R-co Strategic Metals and Mining. Quelle information as-tu pour la société de gestion indiquée ?</t>
  </si>
  <si>
    <t xml:space="preserve">Résultat Information trouvée Pour le fonds R-co Strategic Metals and Mining, la société de gestion enregistrée est : Rothschild &amp; Co Asset Management Détails complémentaires Aucune autre société de gestion n’est associée à ce fonds dans l’enregistrement consulté.</t>
  </si>
  <si>
    <t xml:space="preserve">Q0674</t>
  </si>
  <si>
    <t xml:space="preserve">Et sur l’année associée aux coûts implicites ex ante sur trois ans, quelle est la valeur ?</t>
  </si>
  <si>
    <t xml:space="preserve">Résultat Information trouvée Pour le fonds R-co Strategic Metals and Mining, l’année enregistrée pour les coûts implicites ex ante sur trois ans est : 2025 Détails complémentaires La valeur enregistrée dans le référentiel pour cette information est bien 2025.</t>
  </si>
  <si>
    <t xml:space="preserve">Q0675</t>
  </si>
  <si>
    <t xml:space="preserve">Dernier point sur R-co Target 2029 IG, et non sur le fonds précédent : l’année des coûts implicites ex post EMT ?</t>
  </si>
  <si>
    <t xml:space="preserve">Résultat Information trouvée Pour le fonds R-co Target 2029 IG, l’année enregistrée pour les coûts implicites ex post EMT est : 2025 Détails complémentaires La donnée de coûts ex post EMT est renseignée avec une année de référence de 2025.</t>
  </si>
  <si>
    <t xml:space="preserve">Q0676</t>
  </si>
  <si>
    <t xml:space="preserve">C136</t>
  </si>
  <si>
    <t xml:space="preserve">Arcade Investissements</t>
  </si>
  <si>
    <t xml:space="preserve">Pour le dossier Arcade Investissements, peux-tu me confirmer l’année des coûts explicites ex post EMT ?</t>
  </si>
  <si>
    <t xml:space="preserve">2023</t>
  </si>
  <si>
    <t xml:space="preserve">Résultat Information trouvée Pour le fonds/compartiment Arcade Investissements (statut Production), l’année des coûts explicites ex post EMT est : 2023. Détails complémentaires Aucune autre valeur n’est renseignée pour ce champ sur cet enregistrement.</t>
  </si>
  <si>
    <t xml:space="preserve">Q0677</t>
  </si>
  <si>
    <t xml:space="preserve">Et le gérant principal désigné pour ce même fonds ?</t>
  </si>
  <si>
    <t xml:space="preserve">SIX Mathieu</t>
  </si>
  <si>
    <t xml:space="preserve">Résultat Information trouvée Le gérant principal désigné pour le fonds Arcade Investissements est : Mathieu SIX. Détails complémentaires Aucun autre gérant principal n’est renseigné pour ce fonds dans l’enregistrement de production.</t>
  </si>
  <si>
    <t xml:space="preserve">Q0678</t>
  </si>
  <si>
    <t xml:space="preserve">Dans la fiche produit, que trouve-t-on sur le dépositaire désigné ?</t>
  </si>
  <si>
    <t xml:space="preserve">Résultat Information trouvée Le dépositaire désigné pour le fonds Arcade Investissements est : Caceis Bank. Détails complémentaires Aucun autre dépositaire n’est renseigné sur la fiche produit de production consultée.</t>
  </si>
  <si>
    <t xml:space="preserve">Q0679</t>
  </si>
  <si>
    <t xml:space="preserve">Pour finaliser la réponse client, précise la classe d’actifs du produit.</t>
  </si>
  <si>
    <t xml:space="preserve">Résultat Information trouvée La classe d’actifs du produit Arcade Investissements est : Diversified. Détails complémentaires Pour récapituler les éléments de la fiche produit : Année des coûts explicites ex post EMT : 2023 Gérant principal : Mathieu SIX Dépositaire : Caceis Bank Classe d’actifs : Diversified</t>
  </si>
  <si>
    <t xml:space="preserve">Q0680</t>
  </si>
  <si>
    <t xml:space="preserve">Dernier contrôle : la forme juridique du fonds ?</t>
  </si>
  <si>
    <t xml:space="preserve">Résultat Information trouvée La forme juridique du fonds Arcade Investissements est : FCP (Fonds Commun de Placement). Détails complémentaires Récapitulatif des informations vérifiées : Forme juridique : FCP Classe d’actifs : Diversified Gérant principal : Mathieu SIX Dépositaire : Caceis Bank Année des coûts explicites ex post EMT : 2023</t>
  </si>
  <si>
    <t xml:space="preserve">Q0681</t>
  </si>
  <si>
    <t xml:space="preserve">C137</t>
  </si>
  <si>
    <t xml:space="preserve">Je prépare une DDQ sur R-co Conviction Equity Value Euro. Quelle est l’information disponible concernant l’année associée aux coûts explicites ex ante sur trois ans ?</t>
  </si>
  <si>
    <t xml:space="preserve">Résultat Information trouvée Pour le fonds/produit « R-co Conviction Equity Value Euro », l’année associée aux coûts explicites ex ante sur trois ans est : 2025. Détails complémentaires Cette information correspond à l’année de référence des coûts explicites ex ante enregistrée pour ce fonds en statut Production.</t>
  </si>
  <si>
    <t xml:space="preserve">Q0682</t>
  </si>
  <si>
    <t xml:space="preserve">Start date / Portfolio manager</t>
  </si>
  <si>
    <t xml:space="preserve">J’ai aussi besoin de la date de début du gérant principal.</t>
  </si>
  <si>
    <t xml:space="preserve">2016-09-30 22:00:00</t>
  </si>
  <si>
    <t xml:space="preserve">Résultat Information trouvée Pour « R-co Conviction Equity Value Euro », la date de début du gérant principal est le 1er octobre 2016. Détails complémentaires Année associée aux coûts explicites ex ante sur trois ans : 2025 Date de début du gérant principal : 1er octobre 2016</t>
  </si>
  <si>
    <t xml:space="preserve">Q0683</t>
  </si>
  <si>
    <t xml:space="preserve">NAV Calculation Day</t>
  </si>
  <si>
    <t xml:space="preserve">Je change de fonds : sur R-co Conviction Club, que dit la fiche pour le jour de calcul de VL renseigné au niveau produit ?</t>
  </si>
  <si>
    <t xml:space="preserve">Résultat Information trouvée Pour le fonds « R-co Conviction Club », aucun jour de calcul de VL n’est renseigné au niveau produit. Détails complémentaires La fiche produit existe bien en statut Production, mais le champ correspondant au jour de calcul de la valeur liquidative n'est pas renseigné au niveau du fonds.</t>
  </si>
  <si>
    <t xml:space="preserve">Q0684</t>
  </si>
  <si>
    <t xml:space="preserve">Start date / Portfolio backup 3</t>
  </si>
  <si>
    <t xml:space="preserve">Autre rubrique du même dossier : la date de début du troisième gérant suppléant ?</t>
  </si>
  <si>
    <t xml:space="preserve">2024-04-15 00:00:00</t>
  </si>
  <si>
    <t xml:space="preserve">Résultat Information trouvée Pour le fonds « R-co Conviction Club », la date de début du troisième gérant suppléant est le 15 avril 2024. Détails complémentaires Cette date correspond à la date de prise de fonction enregistrée pour le troisième gérant suppléant du fonds.</t>
  </si>
  <si>
    <t xml:space="preserve">Q0685</t>
  </si>
  <si>
    <t xml:space="preserve">Reprenons R-co Conviction Equity Value Euro pour terminer : peux-tu vérifier la forme juridique du fonds ?</t>
  </si>
  <si>
    <t xml:space="preserve">Résultat Information trouvée Pour le fonds « R-co Conviction Equity Value Euro », la forme juridique est : SICAV. Détails complémentaires Cette information est renseignée sur la fiche du fonds en statut Production.</t>
  </si>
  <si>
    <t xml:space="preserve">Q0686</t>
  </si>
  <si>
    <t xml:space="preserve">C138</t>
  </si>
  <si>
    <t xml:space="preserve">Elan France Bear</t>
  </si>
  <si>
    <t xml:space="preserve">Pour Elan France Bear, quelle valeur est renseignée pour la région de référence renseignée pour le produit ?</t>
  </si>
  <si>
    <t xml:space="preserve">Résultat Pour le fonds « Elan France Bear » en statut Production, la valeur renseignée pour la région de référence est : France. Cette information est issue de l’enregistrement du fonds en Production.</t>
  </si>
  <si>
    <t xml:space="preserve">Q0687</t>
  </si>
  <si>
    <t xml:space="preserve">Start date / Portfolio backup 1</t>
  </si>
  <si>
    <t xml:space="preserve">Toujours pour ce produit : la date de début du premier gérant suppléant ?</t>
  </si>
  <si>
    <t xml:space="preserve">2024-05-31 22:00:00</t>
  </si>
  <si>
    <t xml:space="preserve">Résultat Pour le fonds « Elan France Bear » en statut Production, la date de début du premier gérant suppléant est le 1er juin 2024. Détails complémentaires Cette date correspond à la date de début du premier gérant suppléant renseignée sur le produit.</t>
  </si>
  <si>
    <t xml:space="preserve">Q0688</t>
  </si>
  <si>
    <t xml:space="preserve">Peux-tu retrouver la date de début du gérant principal ?</t>
  </si>
  <si>
    <t xml:space="preserve">2014-01-31 23:00:00</t>
  </si>
  <si>
    <t xml:space="preserve">Résultat Pour le fonds « Elan France Bear » en statut Production, la date de début du gérant principal est le 1er février 2014. Détails complémentaires Cette date correspond à la date de prise de fonction du gérant principal renseignée sur le produit.</t>
  </si>
  <si>
    <t xml:space="preserve">Q0689</t>
  </si>
  <si>
    <t xml:space="preserve">Je passe à la rubrique suivante : le dépositaire désigné ?</t>
  </si>
  <si>
    <t xml:space="preserve">Résultat Pour le fonds « Elan France Bear » en statut Production, le dépositaire désigné est : Rothschild &amp; Co Martin Maurel Détails complémentaires Aucune autre information complémentaire n’est renseignée pour ce dépositaire dans le résultat consulté.</t>
  </si>
  <si>
    <t xml:space="preserve">Q0690</t>
  </si>
  <si>
    <t xml:space="preserve">Et concernant la classe d’actifs du produit, que dit la fiche ?</t>
  </si>
  <si>
    <t xml:space="preserve">Résultat Pour le fonds « Elan France Bear » en statut Production, la classe d’actifs renseignée est : Equities Détails complémentaires Cette valeur correspond à la classe d’actifs du produit telle qu’elle est enregistrée dans la fiche du fonds.</t>
  </si>
  <si>
    <t xml:space="preserve">Q0691</t>
  </si>
  <si>
    <t xml:space="preserve">C139</t>
  </si>
  <si>
    <t xml:space="preserve">Dans la documentation produit de R-co Valor Bond Opportunities, que dois-je reprendre pour la date de début du premier gérant suppléant ?</t>
  </si>
  <si>
    <t xml:space="preserve">2019-08-27 22:00:00</t>
  </si>
  <si>
    <t xml:space="preserve">Résultat Pour le fonds R-co Valor Bond Opportunities, la date de début du premier gérant suppléant est le 28/08/2019. Détails complémentaires Cette date correspond à la date de prise de fonction du premier gérant suppléant enregistrée dans le référentiel produit pour ce fonds en statut Production.</t>
  </si>
  <si>
    <t xml:space="preserve">Q0692</t>
  </si>
  <si>
    <t xml:space="preserve">Même fonds, autre point : la part minimale d’investissements durables déclarée dans l’EET ?</t>
  </si>
  <si>
    <t xml:space="preserve">Résultat Pour le fonds R-co Valor Bond Opportunities, la part minimale d’investissements durables déclarée dans l’EET est de 30 %. Détails complémentaires Cette valeur correspond au pourcentage minimal d’investissements durables déclaré dans l’EET pour ce fonds en statut Production.</t>
  </si>
  <si>
    <t xml:space="preserve">Q0693</t>
  </si>
  <si>
    <t xml:space="preserve">Passons à R-co Thematic Blockchain Global Equity. Quelle information as-tu pour la région de référence renseignée pour le produit ?</t>
  </si>
  <si>
    <t xml:space="preserve">Résultat Pour le fonds R-co Thematic Blockchain Global Equity, la région de référence renseignée est : Monde. Détails complémentaires Aucune information complémentaire pertinente n’a été trouvée pour ce champ.</t>
  </si>
  <si>
    <t xml:space="preserve">Q0694</t>
  </si>
  <si>
    <t xml:space="preserve">Qu’indique Product Info sur le jour de calcul de VL renseigné au niveau produit ?</t>
  </si>
  <si>
    <t xml:space="preserve">Résultat Pour le fonds R-co Thematic Blockchain Global Equity, aucune valeur n’est renseignée dans Product Info pour le jour de calcul de la VL au niveau produit. Détails complémentaires Aucune information disponible pour cette demande.</t>
  </si>
  <si>
    <t xml:space="preserve">Q0695</t>
  </si>
  <si>
    <t xml:space="preserve">Je reviens à R-co Valor Bond Opportunities : quelle donnée figure sur l’objectif de gestion en français ?</t>
  </si>
  <si>
    <t xml:space="preserve">Le compartiment a pour objectif, sur la durée de placement recommandée supérieure à 3 ans, d’obtenir une performance annuelle positive nette de frais supérieure à celle de :
- pour les actions C EUR, C CHF H et D EUR, l’ESTER Capitalisé (avec une valeur minimum de 0,00%) + 1,55%
- pour les actions I EUR, IC CHF H et IC USD H, l’ESTER Capitalisé (avec une valeur minimum de 0,00%) + 2%
- pour les actions P EUR; PB EUR et P CHF H, l’ESTER Capitalisé (avec une valeur minimum de 0,00%) + 1,7%  tout en s'efforçant de maintenir, sur le même horizon, une volatilité annuelle moyenne du portefeuille strictement inférieure à 5%, via la mise en place d’une gestion discrétionnaire..</t>
  </si>
  <si>
    <t xml:space="preserve">Résultat Pour R-co Valor Bond Opportunities, l’objectif de gestion en français est : « Le compartiment a pour objectif, sur la durée de placement recommandée supérieure à 3 ans, d’obtenir une performance annuelle positive nette de frais supérieure à celle de : pour les actions C EUR, C CHF H et D EUR, l’ESTER Capitalisé (avec une valeur minimum de 0,00%) + 1,55% pour les actions I EUR, IC CHF H et IC USD H, l’ESTER Capitalisé (avec une valeur minimum de 0,00%) + 2% pour les actions P EUR, PB EUR et P CHF H, l’ESTER Capitalisé (avec une valeur minimum de 0,00%) + 1,7% tout en s'efforçant de maintenir, sur le même horizon, une volatilité annuelle moyenne du portefeuille strictement inférieure à 5%, via la mise en place d’une gestion discrétionnaire. » Détails complémentaires Aucune information complémentaire pertinente n’a été trouvée pour ce champ.</t>
  </si>
  <si>
    <t xml:space="preserve">Q0696</t>
  </si>
  <si>
    <t xml:space="preserve">C140</t>
  </si>
  <si>
    <t xml:space="preserve">Performance Valeurs</t>
  </si>
  <si>
    <t xml:space="preserve">Sur Performance Valeurs, j’ai besoin de la classification SFDR renseignée pour une réponse RFI.</t>
  </si>
  <si>
    <t xml:space="preserve">Résultat Information trouvée La classification SFDR du fonds « Performance Valeurs » est : Article 6. Détails complémentaires Le fonds est en statut Production et sa catégorie SFDR renseignée dans le référentiel Product Info est « Article 6 ».</t>
  </si>
  <si>
    <t xml:space="preserve">Q0697</t>
  </si>
  <si>
    <t xml:space="preserve">Peux-tu préciser le plafond des frais indirects de gestion ?</t>
  </si>
  <si>
    <t xml:space="preserve">Résultat Information trouvée Pour le fonds « Performance Valeurs », le plafond des frais indirects de gestion est de 2,00 %. Détails complémentaires Cette valeur correspond au plafond des frais indirects de gestion renseigné dans le référentiel Product Info pour ce fonds en Production.</t>
  </si>
  <si>
    <t xml:space="preserve">Q0698</t>
  </si>
  <si>
    <t xml:space="preserve">RMM Invest 10</t>
  </si>
  <si>
    <t xml:space="preserve">Pour RMM Invest 10 cette fois, que trouve-t-on concernant l’allocation stratégique en français ?</t>
  </si>
  <si>
    <t xml:space="preserve">L’Actif du Fonds sera entièrement investi dans le Fonds Maître (Astorg VII) et, à titre accessoire, en liquidités et d'OPC monétaire (max 15% de l'actif net).</t>
  </si>
  <si>
    <t xml:space="preserve">Résultat Information trouvée Pour le fonds « RMM Invest 10 », l’allocation stratégique en français est la suivante : « L’Actif du Fonds sera entièrement investi dans le Fonds Maître (Astorg VII) et, à titre accessoire, en liquidités et d'OPC monétaire (max 15% de l'actif net). » Détails complémentaires Aucune autre information d’allocation stratégique en français n’est renseignée pour ce fonds dans le référentiel Product Info.</t>
  </si>
  <si>
    <t xml:space="preserve">Q0699</t>
  </si>
  <si>
    <t xml:space="preserve">Je vérifie aussi la part minimale d’investissements durables déclarée dans l’EET : quelle est la donnée ?</t>
  </si>
  <si>
    <t xml:space="preserve">Résultat Information trouvée Pour le fonds « RMM Invest 10 », la part minimale d’investissements durables déclarée dans l’EET est de 0 %. Détails complémentaires La valeur renseignée dans le référentiel Product Info pour cet indicateur est 0.</t>
  </si>
  <si>
    <t xml:space="preserve">Q0700</t>
  </si>
  <si>
    <t xml:space="preserve">Reprenons Performance Valeurs pour terminer : peux-tu vérifier l’objectif de gestion en français ?</t>
  </si>
  <si>
    <t xml:space="preserve">La SICAV a pour objectif, sur la durée de placement recommandée de 5 ans, d’obtenir une performance nette de frais supérieure à celle de l’indicateur de référence : 60% MSCI Daily TR Net World EUR + 40% Euribor 3 mois (valeur minimale 0%), en investissant essentiellement sur les marchés d’actions et de taux mondiaux, par la mise en oeuvre d’une gestion discrétionnaire reposant notamment sur la sélection d’instruments financiers fondée sur l’analyse financière des émetteurs.</t>
  </si>
  <si>
    <t xml:space="preserve">Résultat Information trouvée Pour le fonds « Performance Valeurs », l’objectif de gestion en français est : « La SICAV a pour objectif, sur la durée de placement recommandée de 5 ans, d’obtenir une performance nette de frais supérieure à celle de l’indicateur de référence : 60% MSCI Daily TR Net World EUR + 40% Euribor 3 mois (valeur minimale 0%), en investissant essentiellement sur les marchés d’actions et de taux mondiaux, par la mise en oeuvre d’une gestion discrétionnaire reposant notamment sur la sélection d’instruments financiers fondée sur l’analyse financière des émetteurs. » Détails complémentaires Cet objectif de gestion est celui actuellement renseigné pour le fonds en Production.</t>
  </si>
  <si>
    <t xml:space="preserve">Q0701</t>
  </si>
  <si>
    <t xml:space="preserve">C141</t>
  </si>
  <si>
    <t xml:space="preserve">Je vérifie R-co Thematic Silver Plus avant d’envoyer une fiche client : la part minimale d’investissements durables déclarée dans l’EET ?</t>
  </si>
  <si>
    <t xml:space="preserve">Résultat Information trouvée Pour le fonds/part « R-co Thematic Silver Plus », la part minimale d’investissements durables déclarée dans l’EET est de 30 %. Détails complémentaires Le produit est en statut Production.</t>
  </si>
  <si>
    <t xml:space="preserve">Q0702</t>
  </si>
  <si>
    <t xml:space="preserve">Pour ce même produit, l’allocation stratégique en français ?</t>
  </si>
  <si>
    <t xml:space="preserve">• Actions : 75-100% de l’actif net.
Dans la limite de la fourchette de détention précisée dans le tableau ci-dessous, le compartiment investira sur un ou plusieurs marchés des actions  appartenant à tous les secteurs industriels et de toutes tailles de capitalisation boursière. En tout état de cause, la quote-part de la poche action du compartiment sera investie à hauteur de 80% minimum sur les marchés actions réglementés des pays de la zone euro, 20% max en actions émises dans des pays situés hors zone Euro dont 10% max en actions émises dans des pays n'appartenant pas à l'UE. La répartition sectorielle des émetteurs n’est pas déterminée à l’avance et s’effectuera en fonction des opportunités de marché. Le risque de change en devises étrangères ne peut excéder 20% de l'actif pour un investisseur appartenant à la zone euro (il peut s’agir, par exemple, de titres de sociétés hors zone euro, à la suite d’une Offre Publique d’Echange initiée par lesdites sociétés).
Le poids des grandes capitalisations est toujours compris entre 40% et 80% de l’actif net du compartiment et celui des petites/moyennes capitalisations entre 20% et 60%.
• Titres de créance, instruments des marchés monétaires: 0-25% de l’actif net.
Dans la limite de la fourchette de détention, le compartiment investira dans des titres de créances négociables (tels que notamment les titres négociables à court terme (y compris les certificats de dépôts et les billets de trésorerie émis avant le 31 mai 2016), et les Euro Commercial Papers), libellés en euros de toutes échéances, à taux fixe, variable ou révisable, de toutes qualités de signature (dans la limite de 10% pour les titres de notation High Yield). Le compartiment pourra détenir des produits de taux d’émetteurs non notés par les agences de notation. La répartition dette privée/publique n’est pas déterminée à l’avance et s’effectuera en fonction des opportunités de marché.
La Société de Gestion ne recourt pas exclusivement ou mécaniquement à des notations de crédit émises par des agences de notation mais procède à sa propre analyse afin d’évaluer la qualité des instruments de taux.
• Détention de parts ou actions d'autres OPCVM ou FIA : 0-10 % de l’actif net.
Dans la limite de la fourchette de détention précisée dans le tableau ci-dessous, le compartiment pourra détenir :
- des parts ou actions d’OPCVM relevant de la directive européenne 2009/65/CE, de droit français ou européen ;
- et/ou des parts ou actions de FIA de droit français ou européens ou de fonds d’investissement constitués sur le fondement d’un droit étranger, à condition que les critères fixés par l’article R. 214-13 du Code monétaire et financier soient respectés.</t>
  </si>
  <si>
    <t xml:space="preserve">Résultat Information trouvée Allocation stratégique (français) de « R-co Thematic Silver Plus » : • Actions : 75 % à 100 % de l’actif net. Le compartiment investit dans des actions de tous secteurs et de toutes tailles de capitalisation. Au moins 80 % de la poche actions est investie sur les marchés actions réglementés de la zone euro. L’exposition aux actions hors zone euro est limitée à 20 %, dont 10 % maximum hors Union européenne. Le poids des grandes capitalisations est compris entre 40 % et 80 % de l’actif net, et celui des petites/moyennes capitalisations entre 20 % et 60 %. • Titres de créance et instruments du marché monétaire : 0 % à 25 % de l’actif net. Investissements en euros, toutes échéances, à taux fixe, variable ou révisable, avec une exposition maximale de 10 % aux titres High Yield. Des émetteurs non notés peuvent être détenus. La répartition entre dette privée et publique dépend des opportunités de marché. • Parts ou actions d’autres OPCVM ou FIA : 0 % à 10 % de l’actif net. Le compartiment peut investir dans des OPCVM européens ainsi que dans des FIA français, européens ou de droit étranger répondant aux critères réglementaires applicables.</t>
  </si>
  <si>
    <t xml:space="preserve">Q0703</t>
  </si>
  <si>
    <t xml:space="preserve">Dans la rubrique stratégie de ce produit, quelle valeur est enregistrée pour l’objectif de gestion en français ?</t>
  </si>
  <si>
    <t xml:space="preserve">Le compartiment R-co Thematic Silver Plus a pour objectif de gestion de surperformer, sur une période égale ou supérieure à 5 ans, l'indice Dow Jones Eurostoxx dividendes nets réinvestis des marchés d'actions de la zone euro via la mise en place d’une gestion discrétionnaire.</t>
  </si>
  <si>
    <t xml:space="preserve">Résultat Information trouvée Pour « R-co Thematic Silver Plus », l’objectif de gestion en français enregistré est : « Le compartiment R-co Thematic Silver Plus a pour objectif de gestion de surperformer, sur une période égale ou supérieure à 5 ans, l'indice Dow Jones Eurostoxx dividendes nets réinvestis des marchés d'actions de la zone euro via la mise en place d’une gestion discrétionnaire. »</t>
  </si>
  <si>
    <t xml:space="preserve">texte long (88% des mots)</t>
  </si>
  <si>
    <t xml:space="preserve">Q0704</t>
  </si>
  <si>
    <t xml:space="preserve">Passe maintenant à les coûts de transaction implicites ex post EMT.</t>
  </si>
  <si>
    <t xml:space="preserve">0.143</t>
  </si>
  <si>
    <t xml:space="preserve">Résultat Information trouvée Pour « R-co Thematic Silver Plus », la valeur enregistrée pour les coûts de transaction ex post EMT est de 0,174 %.</t>
  </si>
  <si>
    <t xml:space="preserve">Q0705</t>
  </si>
  <si>
    <t xml:space="preserve">Et pour la moyenne triennale des coûts de transaction implicites ex ante, qu’est-ce qui est indiqué ?</t>
  </si>
  <si>
    <t xml:space="preserve">0.194</t>
  </si>
  <si>
    <t xml:space="preserve">Résultat Information trouvée Pour « R-co Thematic Silver Plus », la moyenne triennale des coûts de transaction implicites ex ante est de 0,194 %.</t>
  </si>
  <si>
    <t xml:space="preserve">Q0706</t>
  </si>
  <si>
    <t xml:space="preserve">C142</t>
  </si>
  <si>
    <t xml:space="preserve">R-co Pharma Actions</t>
  </si>
  <si>
    <t xml:space="preserve">Concernant R-co Pharma Actions, peux-tu retrouver la classification SFDR renseignée dans la fiche ?</t>
  </si>
  <si>
    <t xml:space="preserve">Q0707</t>
  </si>
  <si>
    <t xml:space="preserve">Dans la continuité, l’indicateur de tarification all-in ?</t>
  </si>
  <si>
    <t xml:space="preserve">Q0708</t>
  </si>
  <si>
    <t xml:space="preserve">Liancourt AM</t>
  </si>
  <si>
    <t xml:space="preserve">Autre dossier, Liancourt AM : peux-tu vérifier le troisième gérant suppléant ?</t>
  </si>
  <si>
    <t xml:space="preserve">Résultat Pour le fonds Liancourt AM, aucun troisième gérant suppléant n'est renseigné dans les données disponibles. Détails complémentaires Le fonds Liancourt AM est bien présent en statut Production, mais aucune information de troisième gérant suppléant n'est retournée pour sa fiche.</t>
  </si>
  <si>
    <t xml:space="preserve">Q0709</t>
  </si>
  <si>
    <t xml:space="preserve">Je voudrais également le plafond des frais indirects de gestion.</t>
  </si>
  <si>
    <t xml:space="preserve">Résultat Pour le fonds Liancourt AM, le plafond des frais indirects de gestion est de 1,50 %. Détails complémentaires Information trouvée dans la fiche du fonds en statut Production.</t>
  </si>
  <si>
    <t xml:space="preserve">Q0710</t>
  </si>
  <si>
    <t xml:space="preserve">Je reviens à R-co Pharma Actions : quelle donnée figure sur la moyenne triennale des coûts de transaction explicites ex ante ?</t>
  </si>
  <si>
    <t xml:space="preserve">0.118</t>
  </si>
  <si>
    <t xml:space="preserve">Résultat Pour le fonds R-co Pharma Actions, la moyenne triennale des coûts de transaction explicites ex ante est de 0,118 %. Détails complémentaires Information trouvée dans la fiche du fonds en statut Production.</t>
  </si>
  <si>
    <t xml:space="preserve">Q0711</t>
  </si>
  <si>
    <t xml:space="preserve">C143</t>
  </si>
  <si>
    <t xml:space="preserve">Pour R-co Thematic Real Estate, je cherche l’indicateur de rétrocessions sur OPC de tête. Quelle information est enregistrée ?</t>
  </si>
  <si>
    <t xml:space="preserve">Résultat Pour le fonds R-co Thematic Real Estate en statut Production, l’indicateur « rétrocessions sur OPC de tête » est enregistré à la valeur : Non Cette information correspond à l’indicateur de perception de rétrocessions sur OPC de tête enregistré sur le fonds. D’après les données du référentiel, R-co Thematic Real Estate n’est pas déclaré comme percevant de rétrocessions sur OPC de tête.</t>
  </si>
  <si>
    <t xml:space="preserve">Q0712</t>
  </si>
  <si>
    <t xml:space="preserve">Qu’en est-il de la mention relative au high water mark ?</t>
  </si>
  <si>
    <t xml:space="preserve">Résultat Pour le fonds R-co Thematic Real Estate en statut Production, la mention relative au High Water Mark est : Pas de high water mark Détails complémentaires Aucun mécanisme de High Water Mark n’est enregistré sur ce fonds dans le référentiel Product Info.</t>
  </si>
  <si>
    <t xml:space="preserve">Q0713</t>
  </si>
  <si>
    <t xml:space="preserve">Peux-tu contrôler l’allocation stratégique en français pour ce dossier ?</t>
  </si>
  <si>
    <t xml:space="preserve">La stratégie d’investissement repose sur l’identification des tendances longues qui forment les cycles immobiliers. Cette exigence prospective est sous-tendue par une analyse conjoncturelle qui agrège les différents indicateurs avancés du marché et permet de sélectionner les véhicules les plus appropriés.
Le compartiment peut investir entre 80 et 100% de son actif en actions.
Ces actions sont, au moins à 80%, des actions françaises et des pays de la zone euro.
Pour 20% au maximum de l'actif, l'exposition peut porter sur des produits de taux.
L'exposition au risque de change, hors zone euro ne peut excéder 10% de l’actif.</t>
  </si>
  <si>
    <t xml:space="preserve">Résultat L’allocation stratégique en français enregistrée pour R-co Thematic Real Estate est : « La stratégie d’investissement repose sur l’identification des tendances longues qui forment les cycles immobiliers. Cette exigence prospective est sous-tendue par une analyse conjoncturelle qui agrège les différents indicateurs avancés du marché et permet de sélectionner les véhicules les plus appropriés. Le compartiment peut investir entre 80 et 100% de son actif en actions. Ces actions sont, au moins à 80%, des actions françaises et des pays de la zone euro. Pour 20% au maximum de l'actif, l'exposition peut porter sur des produits de taux. L'exposition au risque de change, hors zone euro ne peut excéder 10% de l’actif. » Détails complémentaires Le fonds consulté est la version en statut Production.</t>
  </si>
  <si>
    <t xml:space="preserve">Q0714</t>
  </si>
  <si>
    <t xml:space="preserve">Et sur l’indicateur de disponibilité de l’EET pour le fonds, quelle est la valeur ?</t>
  </si>
  <si>
    <t xml:space="preserve">Résultat Pour le fonds R-co Thematic Real Estate en statut Production, l’indicateur de disponibilité de l’EET est : Oui Détails complémentaires Le fonds est donc marqué comme disposant d’un EET dans le référentiel Product Info.</t>
  </si>
  <si>
    <t xml:space="preserve">Q0715</t>
  </si>
  <si>
    <t xml:space="preserve">Dans la rubrique frais de ce produit, quelle valeur est enregistrée pour l’indicateur de frais de gestion spécifiques, sans l’interpréter comme un taux ?</t>
  </si>
  <si>
    <t xml:space="preserve">Résultat Pour le fonds R-co Thematic Real Estate en statut Production, l’indicateur « frais de gestion spécifiques » est enregistré avec la valeur : Non Détails complémentaires Il s’agit d’un indicateur booléen de présence ou non de frais de gestion spécifiques, et non d’un taux. La valeur enregistrée est « Non ».</t>
  </si>
  <si>
    <t xml:space="preserve">Q0716</t>
  </si>
  <si>
    <t xml:space="preserve">C144</t>
  </si>
  <si>
    <t xml:space="preserve">IBM France H</t>
  </si>
  <si>
    <t xml:space="preserve">Pour le dossier IBM France H, peux-tu me confirmer la date de début du troisième gérant suppléant ?</t>
  </si>
  <si>
    <t xml:space="preserve">2024-05-03 00:00:00</t>
  </si>
  <si>
    <t xml:space="preserve">Résultat Pour le dossier/fonds IBM France H en statut Production, la date de début du troisième gérant suppléant est le : 03/05/2024.</t>
  </si>
  <si>
    <t xml:space="preserve">Q0717</t>
  </si>
  <si>
    <t xml:space="preserve">Et le plafond des frais indirects de gestion pour ce même fonds ?</t>
  </si>
  <si>
    <t xml:space="preserve">Résultat Pour le fonds IBM France H en statut Production, le plafond des frais indirects de gestion est de : 4,00 % Détails complémentaires Cette valeur correspond au plafond des frais indirects de gestion du fonds tel qu'enregistré dans le référentiel produit.</t>
  </si>
  <si>
    <t xml:space="preserve">Q0718</t>
  </si>
  <si>
    <t xml:space="preserve">RMM Invest 15 S.L.P.</t>
  </si>
  <si>
    <t xml:space="preserve">Pour RMM Invest 15 S.L.P. cette fois, que trouve-t-on concernant l’indicateur de frais de gestion spécifiques, sans l’interpréter comme un taux ?</t>
  </si>
  <si>
    <t xml:space="preserve">Résultat Pour le fonds RMM Invest 15 S.L.P. en statut Production, l’indicateur de frais de gestion spécifiques est : Non Détails complémentaires Il s'agit d'un indicateur booléen (Oui/Non) et non d'un taux de frais. Pour ce fonds, l'indicateur est renseigné à Non.</t>
  </si>
  <si>
    <t xml:space="preserve">Q0719</t>
  </si>
  <si>
    <t xml:space="preserve">Pour finaliser la réponse client, précise la fréquence de VL renseignée au niveau produit, sans extrapoler à chaque part.</t>
  </si>
  <si>
    <t xml:space="preserve">Résultat Pour le fonds RMM Invest 15 S.L.P. en statut Production, aucune fréquence de VL n'est renseignée au niveau produit. Détails complémentaires Le champ de fréquence de VL du produit ne contient pas de valeur pour ce fonds. Aucune information disponible pour cette demande.</t>
  </si>
  <si>
    <t xml:space="preserve">Q0720</t>
  </si>
  <si>
    <t xml:space="preserve">Dernier point sur IBM France H, et non sur le fonds précédent : le plafond des frais indirects de souscription, distinct d’un droit d’entrée de part ?</t>
  </si>
  <si>
    <t xml:space="preserve">Résultat Pour le fonds IBM France H en statut Production, le plafond des frais indirects de souscription est de : 4,00 % Détails complémentaires Cette information correspond au plafond des frais indirects de souscription enregistré au niveau du fonds et est distincte d’un éventuel droit d’entrée applicable à une part.</t>
  </si>
  <si>
    <t xml:space="preserve">Q0721</t>
  </si>
  <si>
    <t xml:space="preserve">C145</t>
  </si>
  <si>
    <t xml:space="preserve">Je prépare une DDQ sur R-co Conviction Subfin. Quelle est l’information disponible concernant les coûts de transaction explicites ex post EMT ?</t>
  </si>
  <si>
    <t xml:space="preserve">Résultat Information trouvée Pour le fonds R-co Conviction Subfin (statut Production), l’information disponible concernant les coûts de transaction explicites ex post EMT est la suivante : Coûts de transaction explicites ex post EMT : 0,00 % Année de référence : 2025 Détails complémentaires Cette donnée correspond au champ EMT relatif aux coûts de transaction explicites ex post renseigné au niveau du fonds. Pour l’exercice 2025, la valeur enregistrée est nulle.</t>
  </si>
  <si>
    <t xml:space="preserve">Q0722</t>
  </si>
  <si>
    <t xml:space="preserve">J’ai aussi besoin de l’indicateur d’indice ESG de référence dans l’EET, sans identifier un indice de part.</t>
  </si>
  <si>
    <t xml:space="preserve">Résultat Information trouvée Pour le fonds R-co Conviction Subfin (Production), un indice ESG de référence est renseigné au niveau du fonds : Indice : iBoxx Euro Subordinated Financials Index Code indice : IYG5X Index Détails complémentaires Un second indice ESG de référence est également renseigné au niveau du fonds. En revanche, comme vous avez indiqué ne pas souhaiter identifier un indice de part, je me suis limité à l’information disponible au niveau du fonds sans analyse des parts associées.</t>
  </si>
  <si>
    <t xml:space="preserve">donne un indice alors que la valeur attendue est Non</t>
  </si>
  <si>
    <t xml:space="preserve">Q0723</t>
  </si>
  <si>
    <t xml:space="preserve">Je change de fonds : sur R-co Target 2030 IG, que dit la fiche pour les coûts de transaction implicites ex post EMT ?</t>
  </si>
  <si>
    <t xml:space="preserve">Résultat Information trouvée Pour le fonds R-co Target 2030 IG (Production), je ne trouve pas de champ de coûts de transaction implicites ex post EMT renseigné au niveau du fonds. L’information disponible est : Coûts de transaction implicites ex ante EMT : 0,097 % Année de référence : 2025 Détails complémentaires Le fonds comporte également une valeur de coûts de transaction explicites ex post EMT de 0,00 % pour l’année 2025. En revanche, aucune donnée de coûts de transaction implicites ex post EMT n’est renseignée dans la fiche du fonds.</t>
  </si>
  <si>
    <t xml:space="preserve">Q0724</t>
  </si>
  <si>
    <t xml:space="preserve">Autre rubrique du même dossier : la mention relative au high water mark ?</t>
  </si>
  <si>
    <t xml:space="preserve">Résultat Information trouvée Pour le fonds R-co Target 2030 IG (Production), la mention relative au high water mark est : Pas de high water mark Détails complémentaires Aucun mécanisme de high water mark n’est renseigné pour ce fonds. La fiche ne mentionne ni high water mark à réinitialisation annuelle ni high water mark perpétuel.</t>
  </si>
  <si>
    <t xml:space="preserve">Q0725</t>
  </si>
  <si>
    <t xml:space="preserve">Je reviens à R-co Conviction Subfin : quelle donnée figure sur la moyenne triennale des coûts de transaction implicites ex ante ?</t>
  </si>
  <si>
    <t xml:space="preserve">0.303</t>
  </si>
  <si>
    <t xml:space="preserve">Résultat Information trouvée Pour le fonds R-co Conviction Subfin (Production), la donnée renseignée pour la moyenne triennale des coûts de transaction implicites ex ante est : 0,303 % Année de référence : 2025 Détails complémentaires La valeur enregistrée dans la fiche du fonds correspond au coût de transaction implicite ex ante utilisé pour les données EMT et référencée sur l’année 2025.</t>
  </si>
  <si>
    <t xml:space="preserve">Q0726</t>
  </si>
  <si>
    <t xml:space="preserve">C146</t>
  </si>
  <si>
    <t xml:space="preserve">ROPS Obligations Crédit Euro 3</t>
  </si>
  <si>
    <t xml:space="preserve">Pour ROPS Obligations Crédit Euro 3, quelle valeur est renseignée pour l’indicateur de thématique ESG existante dans l’EET ?</t>
  </si>
  <si>
    <t xml:space="preserve">Résultat Pour le fonds « ROPS Obligations Crédit Euro 3 » en statut Production, la valeur renseignée pour l’indicateur « thématique ESG existante dans l’EET » est : Oui Détails complémentaires L’indicateur est renseigné comme présent dans l’EET pour ce fonds.</t>
  </si>
  <si>
    <t xml:space="preserve">Q0727</t>
  </si>
  <si>
    <t xml:space="preserve">Toujours pour ce produit : la moyenne triennale des coûts de transaction explicites ex ante ?</t>
  </si>
  <si>
    <t xml:space="preserve">Résultat Pour le fonds « ROPS Obligations Crédit Euro 3 » en statut Production, la moyenne triennale des coûts de transaction explicites ex ante est : 0,00 % Détails complémentaires Aucune valeur positive n’est renseignée pour cet indicateur ; la valeur enregistrée est de 0,00 %.</t>
  </si>
  <si>
    <t xml:space="preserve">Q0728</t>
  </si>
  <si>
    <t xml:space="preserve">Dans la rubrique coûts de ce produit, quelle valeur est enregistrée pour les coûts de transaction explicites ex post EMT ?</t>
  </si>
  <si>
    <t xml:space="preserve">Résultat Pour le fonds « ROPS Obligations Crédit Euro 3 » en statut Production, la valeur enregistrée pour les coûts de transaction explicites ex post EMT est : 0,00 % Détails complémentaires La valeur renseignée dans le référentiel est nulle (0,00 %).</t>
  </si>
  <si>
    <t xml:space="preserve">Q0729</t>
  </si>
  <si>
    <t xml:space="preserve">Je passe à la rubrique suivante : l’indicateur de rétrocessions sur OPC de tête ?</t>
  </si>
  <si>
    <t xml:space="preserve">Résultat Pour le fonds « ROPS Obligations Crédit Euro 3 » en statut Production, la valeur de l’indicateur « rétrocessions sur OPC de tête » est : Non Détails complémentaires Le fonds est renseigné comme ne percevant pas de rétrocessions sur OPC de tête.</t>
  </si>
  <si>
    <t xml:space="preserve">Q0730</t>
  </si>
  <si>
    <t xml:space="preserve">Et concernant l’indicateur de tarification all-in, que dit la fiche ?</t>
  </si>
  <si>
    <t xml:space="preserve">Résultat Pour le fonds « ROPS Obligations Crédit Euro 3 » en statut Production, l’indicateur de tarification all-in est : Oui Détails complémentaires La fiche produit indique que la tarification all-in est activée pour ce fonds.</t>
  </si>
  <si>
    <t xml:space="preserve">Q0731</t>
  </si>
  <si>
    <t xml:space="preserve">C147</t>
  </si>
  <si>
    <t xml:space="preserve">Dans la documentation produit de R-co Core Equity Europe, que dois-je reprendre pour la méthode de calcul de l’exposition globale ?</t>
  </si>
  <si>
    <t xml:space="preserve">Résultat Pour le fonds « R-co Core Equity Europe », je n’ai pas retrouvé d’enregistrement correspondant sous cette dénomination exacte dans les données disponibles. En revanche, pour les fonds actions Europe comparables de la gamme R-co présents en Production, la méthode de calcul de l’exposition globale enregistrée est : R-co OPAL Equity Europe : Engagement R-co OPAL European Equity Managers : Engagement Détails complémentaires Dans le référentiel Product Info, les valeurs possibles pour la méthode de calcul de l’exposition globale sont : VaR absolue VaR relative Engagement Aucune information disponible pour cette demande sous le nom exact « R-co Core Equity Europe ». Si la documentation produit correspond à une autre dénomination officielle du fonds, il faudra rechercher avec ce libellé.</t>
  </si>
  <si>
    <t xml:space="preserve">Q0732</t>
  </si>
  <si>
    <t xml:space="preserve">Même fonds, autre point : la part minimale alignée sur la taxonomie selon le champ EET 20600 ?</t>
  </si>
  <si>
    <t xml:space="preserve">Résultat Pour le fonds « R-co Core Equity Euro » en Production, la valeur du champ EET 20600 (part minimale alignée sur la taxonomie) est : 0 Valeur enregistrée : 0 % Détails complémentaires Le fonds retrouvé dans le référentiel sous une dénomination proche est « R-co Core Equity Euro », pour lequel le champ EET 20600 est renseigné à 0.</t>
  </si>
  <si>
    <t xml:space="preserve">Q0733</t>
  </si>
  <si>
    <t xml:space="preserve">Passons à R-co Conviction Credit Euro. Quelle information as-tu pour la fréquence de VL renseignée au niveau produit, sans extrapoler à chaque part ?</t>
  </si>
  <si>
    <t xml:space="preserve">Résultat Pour le fonds « R-co Conviction Credit Euro » en Production, aucune fréquence de VL n’est renseignée au niveau produit. La fiche produit est bien présente, mais le champ de fréquence de valorisation n’a pas de valeur enregistrée. Détails complémentaires Conformément à votre demande, je ne fais aucune extrapolation à partir des parts. La donnée est absente au niveau produit.</t>
  </si>
  <si>
    <t xml:space="preserve">Q0734</t>
  </si>
  <si>
    <t xml:space="preserve">Start date / Portfolio backup 2</t>
  </si>
  <si>
    <t xml:space="preserve">Qu’indique Product Info sur la date de début du deuxième gérant suppléant ?</t>
  </si>
  <si>
    <t xml:space="preserve">2024-01-01 00:00:00</t>
  </si>
  <si>
    <t xml:space="preserve">Résultat Pour le fonds « R-co Conviction Credit Euro », la date de début du deuxième gérant suppléant est : 01/01/2024 Détails complémentaires Cette information correspond à la date de début enregistrée au niveau produit pour le deuxième gérant suppléant.</t>
  </si>
  <si>
    <t xml:space="preserve">Q0735</t>
  </si>
  <si>
    <t xml:space="preserve">Dernier point sur R-co Core Equity Europe, et non sur le fonds précédent : la part minimale d’investissements durables environnementaux dans l’EET ?</t>
  </si>
  <si>
    <t xml:space="preserve">Résultat Pour le fonds « R-co Core Equity Euro » (correspondance retrouvée dans Product Info), la part minimale d’investissements durables déclarée dans l’EET est de : 30 % Détails complémentaires Le référentiel contient également les sous-composantes environnementale et sociale, toutes deux renseignées à : Investissements durables environnementaux : 0 % Investissements durables sociaux : 0 % Ainsi, pour la « part minimale d’investissements durables environnementaux dans l’EET », la valeur enregistrée est 0 %.</t>
  </si>
  <si>
    <t xml:space="preserve">Q0736</t>
  </si>
  <si>
    <t xml:space="preserve">C148</t>
  </si>
  <si>
    <t xml:space="preserve">R-co Apolline Obligations Internationales</t>
  </si>
  <si>
    <t xml:space="preserve">Sur R-co Apolline Obligations Internationales, j’ai besoin de l’information renseignée dans le champ Article 29, sans déduire une conformité pour une réponse RFI.</t>
  </si>
  <si>
    <t xml:space="preserve">Dedicated solutions</t>
  </si>
  <si>
    <t xml:space="preserve">Résultat Information trouvée Pour le fonds « R-co Apolline Obligations Internationales », la valeur renseignée dans le champ « Article 29 » est : Solution dédiée Cette information correspond à la valeur enregistrée dans le référentiel produit pour ce fonds en statut Production.</t>
  </si>
  <si>
    <t xml:space="preserve">Q0737</t>
  </si>
  <si>
    <t xml:space="preserve">Peux-tu préciser la part minimale d’investissements durables sociaux dans l’EET ?</t>
  </si>
  <si>
    <t xml:space="preserve">Résultat Information trouvée Pour le fonds « R-co Apolline Obligations Internationales » : Part minimale d’investissements durables déclarée dans l’EET : 30 % Part minimale d’investissements durables à objectif environnemental : 0 % Part minimale d’investissements durables à objectif social : 0 % La part minimale d’investissements durables sociaux renseignée dans l’EET est donc de 0 %.</t>
  </si>
  <si>
    <t xml:space="preserve">Q0738</t>
  </si>
  <si>
    <t xml:space="preserve">Qu’est-ce qui est enregistré sur la part minimale présentant des caractéristiques environnementales ou sociales dans l’EET ?</t>
  </si>
  <si>
    <t xml:space="preserve">50</t>
  </si>
  <si>
    <t xml:space="preserve">Résultat Information trouvée Pour le fonds « R-co Apolline Obligations Internationales » : Part minimale présentant des caractéristiques environnementales ou sociales dans l’EET : 50 % Part minimale d’investissements durables déclarée dans l’EET : 30 % Détails complémentaires La valeur enregistrée pour la part minimale présentant des caractéristiques environnementales ou sociales est de 50 %. Cette information est distincte de la part minimale d’investissements durables, qui est renseignée à 30 %.</t>
  </si>
  <si>
    <t xml:space="preserve">Q0739</t>
  </si>
  <si>
    <t xml:space="preserve">Je vérifie aussi l’indicateur de risque de crédit : quelle est la donnée ?</t>
  </si>
  <si>
    <t xml:space="preserve">Résultat Information trouvée Pour le fonds « R-co Apolline Obligations Internationales », l’indicateur « risque de crédit » est renseigné à : Non Détails complémentaires Aucun risque de crédit n’est indiqué dans ce champ pour ce fonds en statut Production.</t>
  </si>
  <si>
    <t xml:space="preserve">Q0740</t>
  </si>
  <si>
    <t xml:space="preserve">Pour ce produit, termine par la mention relative au high water mark.</t>
  </si>
  <si>
    <t xml:space="preserve">Résultat Information trouvée Pour le fonds « R-co Apolline Obligations Internationales », la mention relative au high water mark est : Pas de high water mark Détails complémentaires Aucun mécanisme de high water mark n’est renseigné pour ce fonds en statut Production.</t>
  </si>
  <si>
    <t xml:space="preserve">Q0741</t>
  </si>
  <si>
    <t xml:space="preserve">C149</t>
  </si>
  <si>
    <t xml:space="preserve">Je vérifie R-co Conviction Credit 12M Euro avant d’envoyer une fiche client : la moyenne triennale des coûts de transaction explicites ex ante ?</t>
  </si>
  <si>
    <t xml:space="preserve">0.001</t>
  </si>
  <si>
    <t xml:space="preserve">Résultat Pour le fonds/compartiment « R-co Conviction Credit 12M Euro », la moyenne triennale des coûts de transaction explicites ex ante est de 0,001 % (année de référence : 2025). Détails complémentaires Information trouvée sur le produit « R-co Conviction Credit 12M Euro » en statut Production. La valeur enregistrée pour les coûts de transaction explicites ex ante est 0,001 %.</t>
  </si>
  <si>
    <t xml:space="preserve">Q0742</t>
  </si>
  <si>
    <t xml:space="preserve">Dans la rubrique risque de ce produit, quelle valeur est enregistrée pour l’indicateur de risque de liquidité ?</t>
  </si>
  <si>
    <t xml:space="preserve">Résultat Pour le produit « R-co Conviction Credit 12M Euro », l’indicateur de risque de liquidité est enregistré à « Non ». Détails complémentaires Aucun risque de liquidité n’est signalé dans la rubrique risque pour ce produit.</t>
  </si>
  <si>
    <t xml:space="preserve">Q0743</t>
  </si>
  <si>
    <t xml:space="preserve">Je change de fonds : sur R-co Valor Balanced, que dit la fiche pour la date de début du deuxième gérant suppléant ?</t>
  </si>
  <si>
    <t xml:space="preserve">2023-01-01 00:00:00</t>
  </si>
  <si>
    <t xml:space="preserve">Résultat Pour le fonds « R-co Valor Balanced », la date de début du deuxième gérant suppléant est le 1er janvier 2023. Détails complémentaires Cette date est renseignée dans la fiche du fonds en statut Production.</t>
  </si>
  <si>
    <t xml:space="preserve">Q0744</t>
  </si>
  <si>
    <t xml:space="preserve">Passe maintenant à l’assiette de calcul des frais de gestion.</t>
  </si>
  <si>
    <t xml:space="preserve">Résultat Aucune information disponible pour cette demande. Détails complémentaires Pour le fonds « R-co Valor Balanced », aucun libellé d’assiette de calcul des frais de gestion n’est retourné par les données disponibles, alors que le fonds est bien identifié en Production.</t>
  </si>
  <si>
    <t xml:space="preserve">Q0745</t>
  </si>
  <si>
    <t xml:space="preserve">Reprenons R-co Conviction Credit 12M Euro pour terminer : peux-tu vérifier l’indicateur de rétrocessions sur OPC de tête ?</t>
  </si>
  <si>
    <t xml:space="preserve">Résultat Pour le fonds « R-co Conviction Credit 12M Euro », l’indicateur « rétrocessions sur OPC de tête » est renseigné à « Non ». Détails complémentaires La fiche du fonds en Production indique qu’il ne perçoit pas de rétrocessions sur OPC de tête.</t>
  </si>
  <si>
    <t xml:space="preserve">Q0746</t>
  </si>
  <si>
    <t xml:space="preserve">C150</t>
  </si>
  <si>
    <t xml:space="preserve">R-co WM Monétaire</t>
  </si>
  <si>
    <t xml:space="preserve">Concernant R-co WM Monétaire, peux-tu retrouver l’indicateur de risque de contrepartie dans la fiche ?</t>
  </si>
  <si>
    <t xml:space="preserve">Résultat Information trouvée Pour le fonds R-co WM Monétaire, l’indicateur de risque de contrepartie est : Non. Détails complémentaires Le fonds est en statut Production. L’indicateur de risque de contrepartie n’est donc pas activé pour ce fonds.</t>
  </si>
  <si>
    <t xml:space="preserve">Q0747</t>
  </si>
  <si>
    <t xml:space="preserve">Dans la continuité, l’indicateur de frais de gestion spécifiques, sans l’interpréter comme un taux ?</t>
  </si>
  <si>
    <t xml:space="preserve">Résultat Information trouvée Pour le fonds R-co WM Monétaire, l’indicateur de frais de gestion spécifiques est : Non. Détails complémentaires Il s’agit bien de l’indicateur de présence de frais de gestion spécifiques, et non d’un taux de frais de gestion.</t>
  </si>
  <si>
    <t xml:space="preserve">Q0748</t>
  </si>
  <si>
    <t xml:space="preserve">RMM US 1 S.L.P.</t>
  </si>
  <si>
    <t xml:space="preserve">Autre dossier, RMM US 1 S.L.P. : peux-tu vérifier l’information renseignée dans le champ Article 29, sans déduire une conformité ?</t>
  </si>
  <si>
    <t xml:space="preserve">Résultat Information trouvée Pour le fonds RMM US 1 S.L.P., la valeur renseignée dans le champ Article 29 est : Solution dédiée. Détails complémentaires Cette réponse restitue uniquement la valeur présente dans la fiche du fonds, sans interprétation ni conclusion sur une éventuelle conformité réglementaire.</t>
  </si>
  <si>
    <t xml:space="preserve">Q0749</t>
  </si>
  <si>
    <t xml:space="preserve">Je voudrais également l’indicateur d’indice ESG de référence dans l’EET, sans identifier un indice de part.</t>
  </si>
  <si>
    <t xml:space="preserve">Résultat Information trouvée Pour le fonds RMM US 1 S.L.P., aucun indicateur d’indice ESG de référence dans l’EET n’est renseigné dans la fiche fonds. Détails complémentaires Aucune valeur n’est présente sur les champs d’indice ESG de référence du fonds. Aucun indice ESG de référence n’est donc renseigné au niveau du fonds.</t>
  </si>
  <si>
    <t xml:space="preserve">aucun indice ESG de référence : cohérent avec Non</t>
  </si>
  <si>
    <t xml:space="preserve">Q0750</t>
  </si>
  <si>
    <t xml:space="preserve">Dernier point sur R-co WM Monétaire, et non sur le fonds précédent : la moyenne triennale des coûts de transaction implicites ex ante ?</t>
  </si>
  <si>
    <t xml:space="preserve">0.03</t>
  </si>
  <si>
    <t xml:space="preserve">Résultat Information trouvée Pour le fonds R-co WM Monétaire, la valeur renseignée pour la moyenne triennale des coûts de transaction implicites ex ante est : 0,03. Détails complémentaires La valeur est restituée telle qu’elle est enregistrée dans la fiche du fonds.</t>
  </si>
  <si>
    <t xml:space="preserve">Q0751</t>
  </si>
  <si>
    <t xml:space="preserve">C151</t>
  </si>
  <si>
    <t xml:space="preserve">Pour R-co Conviction Credit SD Euro, je cherche l’objectif de volatilité renseigné. Quelle information est enregistrée ?</t>
  </si>
  <si>
    <t xml:space="preserve">Résultat Pour le fonds « R-co Conviction Credit SD Euro » en statut Production, l’information enregistrée concernant l’objectif de volatilité est : Objectif de volatilité : Non Volatilité cible maximale : aucune valeur renseignée Autrement dit, le fonds n’est pas marqué comme ayant un objectif de volatilité et aucun niveau de volatilité maximale n’est enregistré dans le référentiel.</t>
  </si>
  <si>
    <t xml:space="preserve">Q0752</t>
  </si>
  <si>
    <t xml:space="preserve">Dans la rubrique frais de ce produit, quelle valeur est enregistrée pour l’indicateur de tarification all-in ?</t>
  </si>
  <si>
    <t xml:space="preserve">Résultat Pour le fonds « R-co Conviction Credit SD Euro » en statut Production, l’indicateur de tarification all-in est renseigné à : Tarification all-in : Oui Détails complémentaires Cette information est enregistrée comme active pour ce fonds dans le référentiel Product Info.</t>
  </si>
  <si>
    <t xml:space="preserve">Q0753</t>
  </si>
  <si>
    <t xml:space="preserve">Dans la rubrique coûts de ce produit, quelle valeur est enregistrée pour les coûts de transaction implicites ex post EMT ?</t>
  </si>
  <si>
    <t xml:space="preserve">0.043</t>
  </si>
  <si>
    <t xml:space="preserve">Désolé, une erreur inattendue s’est produite. Nous sommes en train de l’étudier. Code d’erreur : SystemError. ID de conversation : b295a32d-dd4a-4b05-a219-053e342a896c. Heure (UTC) : 10/15/2026 4:26:29 PM.</t>
  </si>
  <si>
    <t xml:space="preserve">Q0754</t>
  </si>
  <si>
    <t xml:space="preserve">Pour la ligne coûts du dossier R-co Conviction Credit SD Euro, peux-tu retrouver les coûts de transaction explicites ex post EMT ?</t>
  </si>
  <si>
    <t xml:space="preserve">Résultat Pour le fonds « R-co Conviction Credit SD Euro » en statut Production : Coûts de transaction explicites ex post EMT : 0,00 % Année de référence : 2025 Détails complémentaires La valeur enregistrée dans le référentiel pour cet indicateur est nulle (0,00).</t>
  </si>
  <si>
    <t xml:space="preserve">Q0755</t>
  </si>
  <si>
    <t xml:space="preserve">Pour finir, indique-moi la part minimale alignée sur la taxonomie selon le champ EET 20600.</t>
  </si>
  <si>
    <t xml:space="preserve">Résultat Pour le fonds « R-co Conviction Credit SD Euro » en statut Production : Part minimale alignée sur la taxonomie (champ EET 20600) : 0 % Détails complémentaires La valeur enregistrée dans le référentiel est de 0.</t>
  </si>
  <si>
    <t xml:space="preserve">Q0756</t>
  </si>
  <si>
    <t xml:space="preserve">C152</t>
  </si>
  <si>
    <t xml:space="preserve">R-co WM World Equities RDT - DBI</t>
  </si>
  <si>
    <t xml:space="preserve">Pour le dossier R-co WM World Equities RDT - DBI, peux-tu me confirmer l’indicateur de risque de liquidité ?</t>
  </si>
  <si>
    <t xml:space="preserve">Résultat Aucune information disponible pour cette demande. Je n’ai pas trouvé de donnée correspondant au dossier « R-co WM World Equities RDT - DBI » ni à son indicateur de risque de liquidité dans les données accessibles.</t>
  </si>
  <si>
    <t xml:space="preserve">Q0757</t>
  </si>
  <si>
    <t xml:space="preserve">Et l’échelle de risque officielle renseignée pour ce même fonds ?</t>
  </si>
  <si>
    <t xml:space="preserve">Résultat Aucune information disponible pour cette demande. Je ne trouve pas de donnée correspondant au fonds « R-co WM World Equities RDT - DBI » dans les informations auxquelles j’ai accès. Je ne peux donc pas confirmer l’échelle de risque officielle renseignée pour ce fonds.</t>
  </si>
  <si>
    <t xml:space="preserve">Q0758</t>
  </si>
  <si>
    <t xml:space="preserve">Capital Diversifié</t>
  </si>
  <si>
    <t xml:space="preserve">Pour Capital Diversifié cette fois, que trouve-t-on concernant la date de première VL renseignée au niveau produit ?</t>
  </si>
  <si>
    <t xml:space="preserve">Résultat Aucune information disponible pour cette demande. Je n’ai trouvé aucun enregistrement correspondant à « Capital Diversifié » dans les données accessibles, et je ne peux donc pas confirmer la date de première VL renseignée au niveau produit.</t>
  </si>
  <si>
    <t xml:space="preserve">Q0759</t>
  </si>
  <si>
    <t xml:space="preserve">Pour finaliser la réponse client, précise l’indicateur de thématique ESG existante dans l’EET.</t>
  </si>
  <si>
    <t xml:space="preserve">Résultat Aucune information disponible pour cette demande. Je ne trouve pas de donnée permettant d’identifier ou de confirmer un indicateur de thématique ESG dans l’EET à partir des informations accessibles. Je ne peux donc pas fournir de valeur ou de libellé fiable pour finaliser la réponse client.</t>
  </si>
  <si>
    <t xml:space="preserve">Q0760</t>
  </si>
  <si>
    <t xml:space="preserve">Reprenons R-co WM World Equities RDT - DBI pour terminer : peux-tu vérifier l’indicateur de disponibilité de l’EET pour le fonds ?</t>
  </si>
  <si>
    <t xml:space="preserve">Résultat Aucune information disponible pour cette demande. Je ne trouve pas d’information permettant de confirmer l’indicateur de disponibilité de l’EET pour le fonds « R-co WM World Equities RDT - DBI » dans les données accessibles. Je ne peux donc pas valider cet indicateur.</t>
  </si>
  <si>
    <t xml:space="preserve">Q0761</t>
  </si>
  <si>
    <t xml:space="preserve">C153</t>
  </si>
  <si>
    <t xml:space="preserve">Je prépare une DDQ sur R-co Strategic Metals and Mining. Quelle est l’information disponible concernant l’indicateur de thématique ESG existante dans l’EET ?</t>
  </si>
  <si>
    <t xml:space="preserve">Résultat Information trouvée Pour le fonds R-co Strategic Metals and Mining (statut Production), les informations ESG/EET disponibles indiquent : Catégorie SFDR : Article 8. Besoin d’investissement spécifique ESG : Non. Indicateur de thématique ESG dans l’EET : Non. Détails complémentaires Aucune thématique ESG EET (environnementale, sociale, gouvernance ou Objectifs de Développement Durable) n’est renseignée pour ce fonds dans les données disponibles. Le fonds est toutefois classé SFDR Article 8.</t>
  </si>
  <si>
    <t xml:space="preserve">Q0762</t>
  </si>
  <si>
    <t xml:space="preserve">J’ai aussi besoin de la part minimale d’investissements durables sociaux dans l’EET.</t>
  </si>
  <si>
    <t xml:space="preserve">Résultat Information trouvée Pour le fonds R-co Strategic Metals and Mining (statut Production), la part minimale d’investissements durables sociaux déclarée dans l’EET est de 0 %.</t>
  </si>
  <si>
    <t xml:space="preserve">Q0763</t>
  </si>
  <si>
    <t xml:space="preserve">Sur ce point, indique-moi l’indicateur de risque de contrepartie.</t>
  </si>
  <si>
    <t xml:space="preserve">Résultat Information trouvée Pour le fonds R-co Strategic Metals and Mining (statut Production), l’indicateur de risque de contrepartie est : Non. Détails complémentaires Le risque de contrepartie n’est pas identifié comme un risque applicable pour ce fonds dans les données disponibles.</t>
  </si>
  <si>
    <t xml:space="preserve">Q0764</t>
  </si>
  <si>
    <t xml:space="preserve">Autre rubrique du même dossier : la part minimale présentant des caractéristiques environnementales ou sociales dans l’EET ?</t>
  </si>
  <si>
    <t xml:space="preserve">Résultat Information trouvée Pour le fonds R-co Strategic Metals and Mining (statut Production), la part minimale présentant des caractéristiques environnementales ou sociales dans l’EET est de 50 %. Détails complémentaires Les autres indicateurs EET associés disponibles sont : Part minimale d’investissements durables : 0 %. Part minimale d’investissements durables environnementaux : 0 %. Part minimale d’investissements durables sociaux : 0 %.</t>
  </si>
  <si>
    <t xml:space="preserve">Q0765</t>
  </si>
  <si>
    <t xml:space="preserve">Avant de conclure, peux-tu vérifier l’indicateur de risque de crédit ?</t>
  </si>
  <si>
    <t xml:space="preserve">Résultat Information trouvée Pour le fonds R-co Strategic Metals and Mining (statut Production), l’indicateur de risque de crédit est : Oui. Détails complémentaires Le risque de crédit est identifié comme un risque applicable pour ce fonds dans les données disponibles.</t>
  </si>
  <si>
    <t xml:space="preserve">Q0766</t>
  </si>
  <si>
    <t xml:space="preserve">C154</t>
  </si>
  <si>
    <t xml:space="preserve">GIP</t>
  </si>
  <si>
    <t xml:space="preserve">Pour GIP, quelle valeur est renseignée pour le plafond des frais indirects de rachat, distinct d’un droit de sortie de part ?</t>
  </si>
  <si>
    <t xml:space="preserve">Résultat Information trouvée Pour le fonds GIP (statut Production), la valeur renseignée pour le plafond des frais indirects de rachat, distinct d’un droit de sortie de part, est de 1,00 %.</t>
  </si>
  <si>
    <t xml:space="preserve">Q0767</t>
  </si>
  <si>
    <t xml:space="preserve">Dans la rubrique frais de ce produit, quelle valeur est enregistrée pour le plafond des frais indirects de souscription, distinct d’un droit d’entrée de part ?</t>
  </si>
  <si>
    <t xml:space="preserve">Résultat Information trouvée Pour le fonds GIP (statut Production), la valeur enregistrée pour le plafond des frais indirects de souscription, distinct d’un droit d’entrée de part, est de 1,00 %.</t>
  </si>
  <si>
    <t xml:space="preserve">Q0768</t>
  </si>
  <si>
    <t xml:space="preserve">Capital Long Terme</t>
  </si>
  <si>
    <t xml:space="preserve">Autre dossier, Capital Long Terme : peux-tu vérifier l’univers d’investissement renseigné ?</t>
  </si>
  <si>
    <t xml:space="preserve">NDEEWNR Index;LBEATREU Index</t>
  </si>
  <si>
    <t xml:space="preserve">Résultat Information trouvée Pour le fonds Capital Long Terme (statut Production), l’univers d’investissement renseigné est : NDEEWNR Index ; LBEATREU Index Détails complémentaires Deux indices sont actuellement enregistrés dans le champ Univers d’investissement : NDEEWNR Index LBEATREU Index</t>
  </si>
  <si>
    <t xml:space="preserve">Q0769</t>
  </si>
  <si>
    <t xml:space="preserve">Je passe à la rubrique suivante : la date de première VL renseignée au niveau produit ?</t>
  </si>
  <si>
    <t xml:space="preserve">Résultat Information trouvée Pour le fonds Capital Long Terme (statut Production), aucune date de première VL n’est renseignée au niveau produit. Détails complémentaires Le champ correspondant à la date de première VL est vide pour ce fonds.</t>
  </si>
  <si>
    <t xml:space="preserve">Q0770</t>
  </si>
  <si>
    <t xml:space="preserve">Je reviens à GIP : quelle donnée figure sur l’indicateur d’indice ESG de référence dans l’EET, sans identifier un indice de part ?</t>
  </si>
  <si>
    <t xml:space="preserve">Résultat Information trouvée Pour le fonds GIP (statut Production), aucune donnée n’est renseignée sur l’indicateur d’indice ESG de référence dans l’EET au niveau produit. Détails complémentaires Aucun indice ESG de référence n’est enregistré pour ce fonds dans les champs dédiés. Aucun indice de référence ESG n’est donc identifié au niveau produit.</t>
  </si>
  <si>
    <t xml:space="preserve">Q0771</t>
  </si>
  <si>
    <t xml:space="preserve">C155</t>
  </si>
  <si>
    <t xml:space="preserve">Dans la documentation produit de R-co Conviction Club, que dois-je reprendre pour l’information renseignée dans le champ Article 29, sans déduire une conformité ?</t>
  </si>
  <si>
    <t xml:space="preserve">Résultat Pour le fonds R-co Conviction Club, la valeur renseignée dans le champ Article 29 est : Gestion directe – NZAMi Cette information correspond à la donnée enregistrée pour le fonds en Production. Détails complémentaires Si votre objectif est de reprendre l'information issue de la documentation produit sans en déduire une conformité réglementaire, il convient de reprendre uniquement la mention : Gestion directe – NZAMi sans ajouter d'interprétation ou de conclusion sur le respect de l'Article 29.</t>
  </si>
  <si>
    <t xml:space="preserve">Q0772</t>
  </si>
  <si>
    <t xml:space="preserve">Même fonds, autre point : la part minimale d’investissements durables environnementaux dans l’EET ?</t>
  </si>
  <si>
    <t xml:space="preserve">Résultat Pour le fonds R-co Conviction Club, la part minimale d’investissements durables environnementaux déclarée dans l’EET est : 30 % Détails complémentaires Cette valeur correspond à l’information enregistrée pour le fonds en Production.</t>
  </si>
  <si>
    <t xml:space="preserve">Q0773</t>
  </si>
  <si>
    <t xml:space="preserve">Passons à R-co Valor 4Change Global Equity. Quelle information as-tu pour la méthode de calcul de l’exposition globale ?</t>
  </si>
  <si>
    <t xml:space="preserve">Résultat Pour le fonds R-co Valor 4Change Global Equity, la méthode de calcul de l’exposition globale est : Engagement Détails complémentaires Cette information est celle enregistrée pour le fonds en Production.</t>
  </si>
  <si>
    <t xml:space="preserve">Q0774</t>
  </si>
  <si>
    <t xml:space="preserve">Dans la rubrique esg de ce produit, quelle valeur est enregistrée pour l’indicateur de disponibilité de l’EET pour le fonds ?</t>
  </si>
  <si>
    <t xml:space="preserve">Résultat Pour le fonds R-co Valor 4Change Global Equity, la valeur enregistrée pour l’indicateur de disponibilité de l’EET est : Oui Détails complémentaires L’EET est donc indiqué comme disponible pour ce fonds dans les données de Production.</t>
  </si>
  <si>
    <t xml:space="preserve">Q0775</t>
  </si>
  <si>
    <t xml:space="preserve">Reprenons R-co Conviction Club pour terminer : peux-tu vérifier la part minimale présentant des caractéristiques environnementales ou sociales dans l’EET ?</t>
  </si>
  <si>
    <t xml:space="preserve">Résultat Pour le fonds R-co Conviction Club, la part minimale présentant des caractéristiques environnementales ou sociales dans l’EET est : 75 % Détails complémentaires Cette valeur correspond à l’information enregistrée pour le fonds en Production.</t>
  </si>
  <si>
    <t xml:space="preserve">Q0776</t>
  </si>
  <si>
    <t xml:space="preserve">C156</t>
  </si>
  <si>
    <t xml:space="preserve">Arcade Actions Euro</t>
  </si>
  <si>
    <t xml:space="preserve">Sur Arcade Actions Euro, j’ai besoin de le plafond des frais indirects de rachat, distinct d’un droit de sortie de part pour une réponse RFI.</t>
  </si>
  <si>
    <t xml:space="preserve">Résultat Information trouvée Pour le fonds Arcade Actions Euro (statut Production), le plafond des frais indirects de rachat est de : 0,00 % Il est donc distinct d’un éventuel droit de sortie appliqué sur la part et correspond à une absence de frais indirects de rachat au niveau du fonds. Détails complémentaires Fonds : Arcade Actions Euro Plafond des frais indirects de rachat : 0,00 % Statut : Production</t>
  </si>
  <si>
    <t xml:space="preserve">Q0777</t>
  </si>
  <si>
    <t xml:space="preserve">Peux-tu préciser l’indicateur d’investissement durable dans l’EET ?</t>
  </si>
  <si>
    <t xml:space="preserve">Résultat Information trouvée Pour le fonds Arcade Actions Euro, la valeur de l’indicateur EET correspondant à la « part minimale d’investissements durables déclarée dans l’EET » est de : 30 % Cet indicateur représente la proportion minimale d’investissements durables déclarée dans le fichier EET du fonds. Détails complémentaires Fonds : Arcade Actions Euro Investissements durables déclarés dans l’EET : 30 %</t>
  </si>
  <si>
    <t xml:space="preserve">Q0778</t>
  </si>
  <si>
    <t xml:space="preserve">Qu’est-ce qui est enregistré sur l’objectif de volatilité renseigné ?</t>
  </si>
  <si>
    <t xml:space="preserve">Résultat Information trouvée Pour le fonds Arcade Actions Euro, l’indicateur « objectif de volatilité » est renseigné à : Non Aucune valeur d’objectif de volatilité maximale n’est enregistrée pour ce fonds dans les données disponibles. Détails complémentaires Fonds : Arcade Actions Euro Objectif de volatilité : Non Volatilité maximale cible : non renseignée dans l’enregistrement consulté.</t>
  </si>
  <si>
    <t xml:space="preserve">Q0779</t>
  </si>
  <si>
    <t xml:space="preserve">Je vérifie aussi la part minimale alignée sur la taxonomie selon le champ EET 20600 : quelle est la donnée ?</t>
  </si>
  <si>
    <t xml:space="preserve">Résultat Information trouvée Pour le fonds Arcade Actions Euro, la valeur du champ EET 20600 (« part minimale alignée sur la taxonomie ») est de : 0 % Détails complémentaires Fonds : Arcade Actions Euro Part minimale alignée sur la taxonomie (EET 20600) : 0 %</t>
  </si>
  <si>
    <t xml:space="preserve">Q0780</t>
  </si>
  <si>
    <t xml:space="preserve">Pour ce produit, termine par l’indicateur de risque de contrepartie.</t>
  </si>
  <si>
    <t xml:space="preserve">Résultat Information trouvée Pour le fonds Arcade Actions Euro, l’indicateur de risque de contrepartie est renseigné à : Non Détails complémentaires Fonds : Arcade Actions Euro Risque de contrepartie : Non Cette donnée indique que le risque de contrepartie n’est pas identifié comme applicable dans le référentiel pour ce produit.</t>
  </si>
  <si>
    <t xml:space="preserve">Q0781</t>
  </si>
  <si>
    <t xml:space="preserve">C157</t>
  </si>
  <si>
    <t xml:space="preserve">Je vérifie R-co Thematic Blockchain Global Equity avant d’envoyer une fiche client : l’échelle de risque officielle renseignée ?</t>
  </si>
  <si>
    <t xml:space="preserve">Résultat Information trouvée Pour le fonds « R-co Thematic Blockchain Global Equity » en statut Production, l’échelle de risque officielle renseignée est de 6 sur 7. Détails complémentaires Fonds : R-co Thematic Blockchain Global Equity Statut : Production Échelle de risque : 6/7 Classification SFDR : Article 8 Durée de placement recommandée : 5 ans</t>
  </si>
  <si>
    <t xml:space="preserve">Q0782</t>
  </si>
  <si>
    <t xml:space="preserve">Pour ce même produit, l’objectif de volatilité renseigné ?</t>
  </si>
  <si>
    <t xml:space="preserve">Résultat Information trouvée Pour le fonds « R-co Thematic Blockchain Global Equity » en Production, aucun objectif de volatilité n’est renseigné. Le champ correspondant est positionné à « Non ». Détails complémentaires Fonds : R-co Thematic Blockchain Global Equity Statut : Production Objectif de volatilité : Non renseigné / non applicable Échelle de risque : 6/7</t>
  </si>
  <si>
    <t xml:space="preserve">Q0783</t>
  </si>
  <si>
    <t xml:space="preserve">Je change de fonds : sur R-co Conviction High Yield SD Euro, que dit la fiche pour l’indication de commission de surperformance au niveau produit ?</t>
  </si>
  <si>
    <t xml:space="preserve">Résultat Information trouvée Pour le fonds « R-co Conviction High Yield SD Euro » en Production, l’indication de commission de surperformance au niveau produit est : Commission de surperformance : Non High Water Mark : Pas de High Water Mark Détails complémentaires Fonds : R-co Conviction High Yield SD Euro Statut : Production Indication de commission de surperformance : Non High Water Mark : Pas de High Water Mark À noter que cette information est celle renseignée au niveau du produit (fonds). Les modalités peuvent ensuite varier au niveau de certaines parts.</t>
  </si>
  <si>
    <t xml:space="preserve">donne une valeur alors que la base est vide</t>
  </si>
  <si>
    <t xml:space="preserve">Q0784</t>
  </si>
  <si>
    <t xml:space="preserve">Passe maintenant à le plafond des frais indirects de souscription, distinct d’un droit d’entrée de part.</t>
  </si>
  <si>
    <t xml:space="preserve">Résultat Information trouvée Pour le fonds « R-co Conviction High Yield SD Euro » en Production, le plafond des frais indirects de souscription est de 0,00 %. Détails complémentaires Fonds : R-co Conviction High Yield SD Euro Statut : Production Plafond des frais indirects de souscription : 0,00 % Cette information correspond au niveau produit et est distincte des éventuels droits d’entrée applicables à certaines parts.</t>
  </si>
  <si>
    <t xml:space="preserve">Q0785</t>
  </si>
  <si>
    <t xml:space="preserve">Je reviens à R-co Thematic Blockchain Global Equity : quelle donnée figure sur l’existence d’une délégation de gestion financière ?</t>
  </si>
  <si>
    <t xml:space="preserve">Résultat Information trouvée Pour le fonds « R-co Thematic Blockchain Global Equity » en Production, l’existence d’une délégation de gestion financière est renseignée à « Non ». Détails complémentaires Fonds : R-co Thematic Blockchain Global Equity Statut : Production Délégation de gestion financière : Non Société de gestion : Rothschild &amp; Co Asset Management</t>
  </si>
  <si>
    <t xml:space="preserve">Q0786</t>
  </si>
  <si>
    <t xml:space="preserve">C158</t>
  </si>
  <si>
    <t xml:space="preserve">Mediobanca R-co Valor</t>
  </si>
  <si>
    <t xml:space="preserve">Concernant Mediobanca R-co Valor, peux-tu retrouver la part minimale d’investissements durables sociaux dans l’EET dans la fiche ?</t>
  </si>
  <si>
    <t xml:space="preserve">Résultat Information trouvée Pour le fonds/compartiment en production « Mediobanca R-co Valor », la valeur de la « part minimale d’investissements durables sociaux dans l’EET » est de 0 %. Détails complémentaires Cette information correspond au champ EET relatif à la part minimale d’investissements durables sociaux du produit. La valeur enregistrée dans la fiche est 0 %.</t>
  </si>
  <si>
    <t xml:space="preserve">Q0787</t>
  </si>
  <si>
    <t xml:space="preserve">Dans la continuité, l’allocation stratégique renseignée ?</t>
  </si>
  <si>
    <t xml:space="preserve">The Fund may invest up to 100% of its assets in a single type of instrument, including equities, transferable debt securities, certificates, money market securities and cash, using derivative instruments for investment and hedging purposes. Exposure to certain types of instruments may vary significantly in terms of asset allocation, countries and currencies, depending on the investment manager's view of market conditions and macroeconomic prospects.
In particular, it may invest:
•    up to 100% in equity assets of all capitalisations and all geographical areas (including emerging countries and non-OECD countries), with no restrictions on sector, country of incorporation or currency denomination;
•    up to 100% in fixed income assets, money market instruments and debt securities issued by public and/or private issuers, in any currency, with investment in high-yield bonds limited to 20% of assets and 10% in unrated bonds, and investment in convertible bonds limited to 20% of assets;
• up to 10% of the value of its total assets in units of open-ended UCITS and AIFs, including linked funds, in accordance with the Fund's investment policy;</t>
  </si>
  <si>
    <t xml:space="preserve">Résultat Information trouvée L’allocation stratégique renseignée pour « Mediobanca R-co Valor » est la suivante : Le fonds peut investir jusqu’à 100 % de ses actifs dans un seul type d’instrument, notamment des actions, titres de créance négociables, certificats, instruments du marché monétaire et liquidités, avec recours à des instruments dérivés à des fins d’investissement et de couverture. Plus précisément, il peut investir : Jusqu’à 100 % en actions de toutes capitalisations et de toutes zones géographiques (y compris pays émergents et pays non membres de l’OCDE), sans restriction de secteur, de pays d’établissement ou de devise. Jusqu’à 100 % en instruments de taux, instruments du marché monétaire et titres de dette émis par des émetteurs publics et/ou privés, dans toute devise, avec : une limite de 20 % des actifs en obligations à haut rendement (high yield), une limite de 10 % en obligations non notées, une limite de 20 % en obligations convertibles. Jusqu’à 10 % de l’actif total en parts ou actions d’OPCVM et de FIA ouverts, y compris des fonds liés, conformément à la politique d’investissement du fonds.</t>
  </si>
  <si>
    <t xml:space="preserve">Q0788</t>
  </si>
  <si>
    <t xml:space="preserve">Côté produit, que mentionne-t-on pour le catégorie ESG AMF renseignée ?</t>
  </si>
  <si>
    <t xml:space="preserve">Résultat Information trouvée Pour le produit « Mediobanca R-co Valor », la catégorie ESG AMF renseignée est : Pas de catégorie Détails complémentaires Aucune catégorie ESG AMF de type 1, 2 ou 3 n’est enregistrée pour ce produit. Le référentiel indique explicitement « Pas de catégorie ».</t>
  </si>
  <si>
    <t xml:space="preserve">Q0789</t>
  </si>
  <si>
    <t xml:space="preserve">Je voudrais également l’indicateur d’investissement durable dans l’EET.</t>
  </si>
  <si>
    <t xml:space="preserve">Résultat Information trouvée Pour « Mediobanca R-co Valor », l’indicateur d’investissement durable dans l’EET est : Oui Détails complémentaires Les données EET associées indiquent également : Part minimale d’investissements durables déclarée : 30 % Part minimale d’investissements durables environnementaux : 0 % Part minimale d’investissements durables sociaux : 0 %</t>
  </si>
  <si>
    <t xml:space="preserve">Q0790</t>
  </si>
  <si>
    <t xml:space="preserve">Une dernière donnée : l’indicateur de risque de crédit ?</t>
  </si>
  <si>
    <t xml:space="preserve">Résultat Information trouvée Pour le produit « Mediobanca R-co Valor », l’indicateur de risque de crédit est : Oui Détails complémentaires Le risque de crédit est bien identifié et renseigné comme applicable dans la fiche produit.</t>
  </si>
  <si>
    <t xml:space="preserve">Q0791</t>
  </si>
  <si>
    <t xml:space="preserve">C159</t>
  </si>
  <si>
    <t xml:space="preserve">Pour R-co Valor Equity, je cherche l’objectif de gestion renseigné. Quelle information est enregistrée ?</t>
  </si>
  <si>
    <t xml:space="preserve">Le compartiment a pour objectif de gestion d’obtenir, sur la durée de placement recommandée supérieure à cinq ans, une performance nette de frais supérieure à celle de l’indicateur de référence MSCI ACWI Net Total Return EUR Index, en mettant en œuvre une gestion discrétionnaire au travers d’actions internationales de sociétés issues de tous les secteurs.</t>
  </si>
  <si>
    <t xml:space="preserve">Résultat Information trouvée Pour le fonds R-co Valor Equity, l’objectif de gestion enregistré est : « Le compartiment a pour objectif de gestion d’obtenir, sur la durée de placement recommandée supérieure à cinq ans, une performance nette de frais supérieure à celle de l’indicateur de référence MSCI ACWI Net Total Return EUR Index, en mettant en œuvre une gestion discrétionnaire au travers d’actions internationales de sociétés issues de tous les secteurs. » Détails complémentaires Le fonds est en statut Production. L’objectif vise une surperformance du MSCI ACWI Net Total Return EUR Index sur un horizon de placement recommandé supérieur à 5 ans.</t>
  </si>
  <si>
    <t xml:space="preserve">Q0792</t>
  </si>
  <si>
    <t xml:space="preserve">Qu’en est-il de l’indicateur de risque de liquidité ?</t>
  </si>
  <si>
    <t xml:space="preserve">Résultat Information trouvée Pour le fonds R-co Valor Equity, l’indicateur de risque de liquidité est renseigné à : Risque de liquidité : Non Détails complémentaires Aucun risque de liquidité n’est indiqué pour ce fonds dans le référentiel Product Info.</t>
  </si>
  <si>
    <t xml:space="preserve">Q0793</t>
  </si>
  <si>
    <t xml:space="preserve">Passons à R-co Valor. Quelle information as-tu pour la part minimale d’investissements durables environnementaux dans l’EET ?</t>
  </si>
  <si>
    <t xml:space="preserve">Résultat Information trouvée Pour le fonds R-co Valor, la part minimale d’investissements durables environnementaux dans l’EET est : 0 % Détails complémentaires La valeur enregistrée dans le référentiel Product Info pour cet indicateur est de 0 %.</t>
  </si>
  <si>
    <t xml:space="preserve">Q0794</t>
  </si>
  <si>
    <t xml:space="preserve">Dans la rubrique frais de ce produit, quelle valeur est enregistrée pour le premier taux de frais de gestion renseigné au niveau produit ?</t>
  </si>
  <si>
    <t xml:space="preserve">Résultat Information trouvée Pour le fonds R-co Valor, aucune valeur n'est renseignée pour le premier taux de frais de gestion au niveau produit. Détails complémentaires Le champ correspondant au premier taux de frais de gestion est vide dans l’enregistrement du fonds en Production.</t>
  </si>
  <si>
    <t xml:space="preserve">Q0795</t>
  </si>
  <si>
    <t xml:space="preserve">Dernier point sur R-co Valor Equity, et non sur le fonds précédent : l’information « benchmark » renseignée au niveau produit, sans inventer un indice de part ?</t>
  </si>
  <si>
    <t xml:space="preserve">Résultat Information trouvée Pour le fonds R-co Valor Equity, aucune information de benchmark n’est renseignée au niveau produit dans les champs dédiés au benchmark. En revanche, l’indicateur « Benchmark » est positionné à : Benchmark : Non Détails complémentaires Aucune description de benchmark ni indice de comparaison n’est enregistrée au niveau produit pour ce fonds. Le seul renseignement disponible est que le produit n’est pas marqué comme benchmark.</t>
  </si>
  <si>
    <t xml:space="preserve">Q0796</t>
  </si>
  <si>
    <t xml:space="preserve">C160</t>
  </si>
  <si>
    <t xml:space="preserve">Prodomi</t>
  </si>
  <si>
    <t xml:space="preserve">Pour le dossier Prodomi, peux-tu me confirmer le plafond des frais indirects de rachat, distinct d’un droit de sortie de part ?</t>
  </si>
  <si>
    <t xml:space="preserve">Résultat Aucune information disponible pour cette demande. Je n’ai trouvé aucune donnée correspondant à « Prodomi » dans le référentiel consulté. Je ne peux donc pas confirmer un plafond de frais indirects de rachat à partir des données disponibles. Détails complémentaires Si « Prodomi » correspond à un fonds, une part, un ISIN ou un nom de dossier différent de son libellé exact dans le référentiel, indiquez cet identifiant et je rechercherai directement l’information associée.</t>
  </si>
  <si>
    <t xml:space="preserve">Q0797</t>
  </si>
  <si>
    <t xml:space="preserve">Et le gestionnaire par délégation indiqué pour ce même fonds ?</t>
  </si>
  <si>
    <t xml:space="preserve">Résultat Aucune information disponible pour cette demande. Je ne trouve aucun fonds ou dossier correspondant à « Prodomi » dans les données consultées. Je ne peux donc pas identifier le gestionnaire par délégation associé. Détails complémentaires Pour retrouver cette information, il me faut un identifiant présent dans le référentiel, par exemple : le nom exact du fonds, un code ISIN, ou le nom exact de la part.</t>
  </si>
  <si>
    <t xml:space="preserve">Q0798</t>
  </si>
  <si>
    <t xml:space="preserve">RMM Invest 6</t>
  </si>
  <si>
    <t xml:space="preserve">Pour RMM Invest 6 cette fois, que trouve-t-on concernant le catégorie ESG AMF renseignée ?</t>
  </si>
  <si>
    <t xml:space="preserve">Résultat Pour le fonds RMM Invest 6, la catégorie ESG AMF renseignée est : Pas de catégorie Détails complémentaires Le fonds est bien trouvé en statut Production et la valeur enregistrée pour la catégorie ESG AMF est « Pas de catégorie ».</t>
  </si>
  <si>
    <t xml:space="preserve">Q0799</t>
  </si>
  <si>
    <t xml:space="preserve">Pour finaliser la réponse client, précise l’existence d’une délégation de gestion financière.</t>
  </si>
  <si>
    <t xml:space="preserve">Résultat Pour le fonds RMM Invest 6 : Catégorie ESG AMF : Pas de catégorie Délégation de gestion financière : Non Détails complémentaires Aucune délégation de gestion financière n’est renseignée pour ce fonds. Il n’y a donc pas de gestionnaire financier délégué enregistré dans le référentiel pour RMM Invest 6.</t>
  </si>
  <si>
    <t xml:space="preserve">Q0800</t>
  </si>
  <si>
    <t xml:space="preserve">Je reviens à Prodomi : quelle donnée figure sur la méthode de calcul de l’exposition globale ?</t>
  </si>
  <si>
    <t xml:space="preserve">Résultat Pour le fonds Prodomi en statut Production, la méthode de calcul de l’exposition globale renseignée est : Engagement Détails complémentaires La valeur enregistrée dans le référentiel pour la méthode de calcul de l’exposition globale du fonds Prodomi est « Engagement ». Les autres occurrences historiques du fonds comportent soit la même valeur, soit aucune valeur renseignée. Pour le fonds en Production, la valeur retenue est bien « Engagement ».</t>
  </si>
  <si>
    <t xml:space="preserve">Q0801</t>
  </si>
  <si>
    <t xml:space="preserve">C161</t>
  </si>
  <si>
    <t xml:space="preserve">Je prépare une DDQ sur R-co Target 2032 IG. Quelle est l’information disponible concernant l’indicateur d’investisseur averti ?</t>
  </si>
  <si>
    <t xml:space="preserve">Résultat Information trouvée Pour le fonds R-co Target 2032 IG, l’indicateur d’« investisseur averti » est renseigné à : Oui. Détails complémentaires Cet indicateur signifie que le fonds est identifié dans le référentiel comme destiné à des investisseurs avertis. Aucun autre commentaire ou restriction complémentaire n’est associé à cet indicateur dans les données consultées.</t>
  </si>
  <si>
    <t xml:space="preserve">Q0802</t>
  </si>
  <si>
    <t xml:space="preserve">J’ai aussi besoin de l’objectif de gestion renseigné.</t>
  </si>
  <si>
    <t xml:space="preserve">Le compartiment a pour objectif de gestion, au moment de la souscription et jusqu’au 31/12/2032, d’obtenir une performance nette de frais liée aux taux de rendements actuels des obligations de maturité 2032, en investissant exclusivement dans des titres à caractère « Investment Grade » (non spéculatifs).
L’échéance moyenne du portefeuille est comprise entre janvier et décembre 2032.</t>
  </si>
  <si>
    <t xml:space="preserve">Résultat Information trouvée Objectif de gestion du fonds R-co Target 2032 IG : « Le compartiment a pour objectif de gestion, au moment de la souscription et jusqu’au 31/12/2032, d’obtenir une performance nette de frais liée aux taux de rendements actuels des obligations de maturité 2032, en investissant exclusivement dans des titres à caractère “Investment Grade” (non spéculatifs). L’échéance moyenne du portefeuille est comprise entre janvier et décembre 2032. » Détails complémentaires Concernant l’indicateur d’investisseur averti, celui-ci est renseigné à Oui pour ce fonds.</t>
  </si>
  <si>
    <t xml:space="preserve">Q0803</t>
  </si>
  <si>
    <t xml:space="preserve">Dans la rubrique stratégie de ce produit, quelle valeur est enregistrée pour l’univers d’investissement renseigné ?</t>
  </si>
  <si>
    <t xml:space="preserve">Résultat Information trouvée Pour le fonds R-co Target 2032 IG, la valeur renseignée dans le champ « Univers d’investissement » est : QW5A Index Détails complémentaires Aucune autre valeur d’univers d’investissement n’est enregistrée pour ce fonds dans les données consultées.</t>
  </si>
  <si>
    <t xml:space="preserve">Q0804</t>
  </si>
  <si>
    <t xml:space="preserve">Autre rubrique du même dossier : la prise en compte des principales incidences négatives, selon l’EET ?</t>
  </si>
  <si>
    <t xml:space="preserve">Résultat Information trouvée Pour le fonds R-co Target 2032 IG, la prise en compte des principales incidences négatives (PAI) selon l’EET est renseignée à : Oui Détails complémentaires Le fonds est donc déclaré comme prenant en compte les principales incidences négatives au sens du champ EET correspondant.</t>
  </si>
  <si>
    <t xml:space="preserve">Q0805</t>
  </si>
  <si>
    <t xml:space="preserve">Avant de conclure, peux-tu vérifier l’indicateur d’investissement durable dans l’EET ?</t>
  </si>
  <si>
    <t xml:space="preserve">Résultat Information trouvée Pour le fonds R-co Target 2032 IG, l’indicateur EET relatif à l’investissement durable est renseigné à : Oui Détails complémentaires Les informations EET consultées pour ce fonds indiquent donc : Prise en compte des principales incidences négatives (PAI) : Oui Investissement durable : Oui Ces deux indicateurs sont activés dans le référentiel pour ce produit.</t>
  </si>
  <si>
    <t xml:space="preserve">Q0806</t>
  </si>
  <si>
    <t xml:space="preserve">C162</t>
  </si>
  <si>
    <t xml:space="preserve">RMM Invest 14 S.L.P.</t>
  </si>
  <si>
    <t xml:space="preserve">Pour RMM Invest 14 S.L.P., quelle valeur est renseignée pour l’indicateur de connaissance de base de l’investisseur ?</t>
  </si>
  <si>
    <t xml:space="preserve">Neutral</t>
  </si>
  <si>
    <t xml:space="preserve">Résultat Information trouvée Pour le fonds « RMM Invest 14 S.L.P. », l’indicateur de connaissance de base de l’investisseur est renseigné avec la valeur : « Neutre ». Détails complémentaires Fonds : RMM Invest 14 S.L.P. Statut : Production Indicateur de connaissance de base de l’investisseur : Neutre</t>
  </si>
  <si>
    <t xml:space="preserve">Q0807</t>
  </si>
  <si>
    <t xml:space="preserve">Toujours pour ce produit : l’indicateur d’investisseur informé ?</t>
  </si>
  <si>
    <t xml:space="preserve">Résultat Information trouvée Pour le fonds « RMM Invest 14 S.L.P. », l’indicateur d’investisseur informé est renseigné à : « Oui ». Détails complémentaires Fonds : RMM Invest 14 S.L.P. Statut : Production Indicateur d’investisseur informé : Oui</t>
  </si>
  <si>
    <t xml:space="preserve">Q0808</t>
  </si>
  <si>
    <t xml:space="preserve">RMM US 2 S.L.P.</t>
  </si>
  <si>
    <t xml:space="preserve">Autre dossier, RMM US 2 S.L.P. : peux-tu vérifier la thématique ESG principale déclarée dans l’EET ?</t>
  </si>
  <si>
    <t xml:space="preserve">Résultat Information trouvée Pour le fonds « RMM US 2 S.L.P. », aucune valeur n’est renseignée pour la thématique ESG principale déclarée dans l’EET. Détails complémentaires Fonds : RMM US 2 S.L.P. Statut : Production Thématique ESG principale déclarée dans l’EET : non renseignée / aucune valeur enregistrée dans le référentiel.</t>
  </si>
  <si>
    <t xml:space="preserve">Q0809</t>
  </si>
  <si>
    <t xml:space="preserve">Je passe à la rubrique suivante : l’allocation stratégique renseignée ?</t>
  </si>
  <si>
    <t xml:space="preserve">b) L'objectif d'investissement du Fonds Maître et des Fonds Parallèles au Fonds Maître est de valoriser du capital à long terme par le biais d'investissements en (i) titres de capital ou donnant accès au capital permettant de contrôler ou, dans le cadre d’investissements minoritaires, d’avoir une influence, (ii) titres de créance, ou prêts, y compris des titres de créance d’entreprises en difficulté. Le Fonds Maître et les Fonds Parallèles au Fonds Maître ont une stratégie d’investissement mondiale et effectueront des investissements dans différents marchés, industries, et zones géographiques. La taille des investissements du Fonds Maître et des Fonds Parallèles au Fonds Maître sera généralement comprise entre 300 millions et 1,5 milliard de Dollars U.S. environ. Le Fonds Maître et les Fonds Parallèles au Fonds Maître peuvent également effectuer des investissements de taille plus importante ou plus faible par rapport à cette fourchette et ne sont pas limités par celle-ci.</t>
  </si>
  <si>
    <t xml:space="preserve">Résultat Information trouvée Pour le fonds « RMM US 2 S.L.P. », l’allocation stratégique renseignée est : « L'objectif d'investissement du Fonds Maître et des Fonds Parallèles au Fonds Maître est de valoriser du capital à long terme par le biais d'investissements en (i) titres de capital ou donnant accès au capital permettant de contrôler ou, dans le cadre d’investissements minoritaires, d’avoir une influence, (ii) titres de créance, ou prêts, y compris des titres de créance d’entreprises en difficulté. Le Fonds Maître et les Fonds Parallèles au Fonds Maître ont une stratégie d’investissement mondiale et effectueront des investissements dans différents marchés, industries et zones géographiques. La taille des investissements du Fonds Maître et des Fonds Parallèles au Fonds Maître sera généralement comprise entre 300 millions et 1,5 milliard de dollars US environ. Le Fonds Maître et les Fonds Parallèles au Fonds Maître peuvent également effectuer des investissements de taille plus importante ou plus faible par rapport à cette fourchette et ne sont pas limités par celle-ci. » Détails complémentaires Fonds : RMM US 2 S.L.P. Statut : Production Allocation stratégique : renseignée.</t>
  </si>
  <si>
    <t xml:space="preserve">texte long (100% des mots)</t>
  </si>
  <si>
    <t xml:space="preserve">Q0810</t>
  </si>
  <si>
    <t xml:space="preserve">Dernier point sur RMM Invest 14 S.L.P., et non sur le fonds précédent : l’échelle de risque officielle renseignée ?</t>
  </si>
  <si>
    <t xml:space="preserve">7</t>
  </si>
  <si>
    <t xml:space="preserve">Résultat Information trouvée Pour le fonds « RMM Invest 14 S.L.P. », aucune valeur n’est renseignée pour l’échelle de risque officielle. Détails complémentaires Fonds : RMM Invest 14 S.L.P. Statut : Production Échelle de risque officielle : non renseignée / aucune valeur enregistrée dans le référentiel.</t>
  </si>
  <si>
    <t xml:space="preserve">Q0811</t>
  </si>
  <si>
    <t xml:space="preserve">C163</t>
  </si>
  <si>
    <t xml:space="preserve">Dans la documentation produit de R-co Target 2030 IG, que dois-je reprendre pour le catégorie ESG AMF renseignée ?</t>
  </si>
  <si>
    <t xml:space="preserve">Résultat Pour le fonds R-co Target 2030 IG, la catégorie ESG AMF renseignée est : 3. Détails complémentaires Cette information est celle actuellement enregistrée pour le fonds en statut Production.</t>
  </si>
  <si>
    <t xml:space="preserve">Q0812</t>
  </si>
  <si>
    <t xml:space="preserve">Même fonds, autre point : l’indicateur d’investisseur informé ?</t>
  </si>
  <si>
    <t xml:space="preserve">Résultat Pour le fonds R-co Target 2030 IG, l’indicateur « Investisseur informé » est : Oui. Détails complémentaires Cette valeur est celle actuellement enregistrée pour le fonds en statut Production.</t>
  </si>
  <si>
    <t xml:space="preserve">Q0813</t>
  </si>
  <si>
    <t xml:space="preserve">Je complète maintenant l’existence d’une délégation de gestion financière : quelle donnée as-tu ?</t>
  </si>
  <si>
    <t xml:space="preserve">Résultat Pour le fonds R-co Target 2030 IG, l’existence d’une délégation de gestion financière est renseignée à : Non. Détails complémentaires Aucune délégation de gestion financière n’est indiquée pour ce fonds en statut Production.</t>
  </si>
  <si>
    <t xml:space="preserve">Q0814</t>
  </si>
  <si>
    <t xml:space="preserve">Qu’indique Product Info sur l’entité sponsor renseignée ?</t>
  </si>
  <si>
    <t xml:space="preserve">Résultat Pour le fonds R-co Target 2030 IG, aucune entité sponsor n'est renseignée dans Product Info. Détails complémentaires La fiche du fonds en statut Production ne contient pas de valeur pour le champ « entité sponsor ».</t>
  </si>
  <si>
    <t xml:space="preserve">Q0815</t>
  </si>
  <si>
    <t xml:space="preserve">Pour boucler la fiche, précise l’indicateur de connaissance de base de l’investisseur.</t>
  </si>
  <si>
    <t xml:space="preserve">Résultat Pour le fonds R-co Target 2030 IG, l’indicateur de connaissance de base de l’investisseur est : Oui. Détails complémentaires Cette valeur est celle enregistrée pour le fonds en statut Production.</t>
  </si>
  <si>
    <t xml:space="preserve">Q0816</t>
  </si>
  <si>
    <t xml:space="preserve">C164</t>
  </si>
  <si>
    <t xml:space="preserve">Duguay Stratégie E</t>
  </si>
  <si>
    <t xml:space="preserve">Sur Duguay Stratégie E, j’ai besoin de l’objectif de gestion renseigné pour une réponse RFI.</t>
  </si>
  <si>
    <t xml:space="preserve">Le FCP Duguay Stratégie E a pour objectif de gestion d’obtenir, sur la durée de placement recommandée supérieure à 5 ans, une performance nette de frais supérieure à celle de l’indicateur composite de référence : 24% Bloomberg Euro Treasury 1-10 Year Total Return (LF87TREU Index) + 29% Bloomberg Euro Aggregate Corporates - Intermediate (I10317EU Index) + 23,5% MSCI Daily TR Net Europe €  (MSDEE15N) + 23,5%  MSCI World ex Europe NTR €  (MSDEWEUN), en investissant à plus de 90% de son actif net en parts et/ou actions d’OPC et/ou d'OPC côtés/ETF, via la mise en œuvre d’une gestion discrétionnaire.</t>
  </si>
  <si>
    <t xml:space="preserve">Résultat Information trouvée Pour la part de production « Duguay Stratégie E », l’objectif de gestion renseigné est : « Le FCP Duguay Stratégie E a pour objectif de gestion d’obtenir, sur la durée de placement recommandée supérieure à 5 ans, une performance nette de frais supérieure à celle de l’indicateur composite de référence : 24% Bloomberg Euro Treasury 1-10 Year Total Return (LF87TREU Index) + 29% Bloomberg Euro Aggregate Corporates - Intermediate (I10317EU Index) + 23,5% MSCI Daily TR Net Europe € (MSDEE15N) + 23,5% MSCI World ex Europe NTR € (MSDEWEUN), en investissant à plus de 90% de son actif net en parts et/ou actions d’OPC et/ou d'OPC cotés/ETF, via la mise en œuvre d’une gestion discrétionnaire. » Détails complémentaires Aucun détail complémentaire pertinent trouvé pour cette demande.</t>
  </si>
  <si>
    <t xml:space="preserve">texte long (96% des mots)</t>
  </si>
  <si>
    <t xml:space="preserve">Q0817</t>
  </si>
  <si>
    <t xml:space="preserve">Peux-tu préciser l’univers d’investissement renseigné ?</t>
  </si>
  <si>
    <t xml:space="preserve">LF87TREU Index;I10317EU Index;MSDEE15N Index;MSDEWEUN Index</t>
  </si>
  <si>
    <t xml:space="preserve">Résultat Information trouvée L’univers d’investissement renseigné pour « Duguay Stratégie E » est : LF87TREU Index I10317EU Index MSDEE15N Index MSDEWEUN Index Ces références sont enregistrées sous la forme : « LF87TREU Index;I10317EU Index;MSDEE15N Index;MSDEWEUN Index ».</t>
  </si>
  <si>
    <t xml:space="preserve">Q0818</t>
  </si>
  <si>
    <t xml:space="preserve">FMS 4</t>
  </si>
  <si>
    <t xml:space="preserve">Pour FMS 4 cette fois, que trouve-t-on concernant la classification AMF indiquée ?</t>
  </si>
  <si>
    <t xml:space="preserve">Résultat Information trouvée Pour le fonds « FMS 4 » (statut Production), la classification AMF renseignée est : Pas de Classification AMF Détails complémentaires Aucune autre classification AMF n’est renseignée pour ce fonds en production.</t>
  </si>
  <si>
    <t xml:space="preserve">Q0819</t>
  </si>
  <si>
    <t xml:space="preserve">Je vérifie aussi le second taux de frais de gestion renseigné au niveau produit : quelle est la donnée ?</t>
  </si>
  <si>
    <t xml:space="preserve">Résultat Information trouvée Pour le fonds « FMS 4 » en production, aucun second taux de frais de gestion n’est renseigné au niveau produit : la donnée est vide / non renseignée. Détails complémentaires Le fonds a bien été retrouvé, mais aucune valeur n’est enregistrée pour le second taux de frais de gestion.</t>
  </si>
  <si>
    <t xml:space="preserve">Q0820</t>
  </si>
  <si>
    <t xml:space="preserve">Reprenons Duguay Stratégie E pour terminer : peux-tu vérifier l’information « benchmark » renseignée au niveau produit, sans inventer un indice de part ?</t>
  </si>
  <si>
    <t xml:space="preserve">Résultat Information trouvée Pour « Duguay Stratégie E » en production, l’information « benchmark » renseignée au niveau produit est : Benchmark : Non Aucune description de benchmark ni aucun indice de comparaison n’est renseigné au niveau produit dans les données disponibles. Détails complémentaires Cette réponse est basée uniquement sur les informations enregistrées au niveau produit. Aucun indice n’a été déduit ou repris depuis une part ou depuis l’objectif de gestion.</t>
  </si>
  <si>
    <t xml:space="preserve">Q0821</t>
  </si>
  <si>
    <t xml:space="preserve">C165</t>
  </si>
  <si>
    <t xml:space="preserve">Je vérifie R-co Conviction Credit Euro avant d’envoyer une fiche client : l’allocation stratégique renseignée ?</t>
  </si>
  <si>
    <t xml:space="preserve">L’allocation sur la courbe des taux et l’exposition crédit est faite de façon discrétionnaire, et son exposition dépend de l’anticipation de la Société de gestion quant à l'évolution des taux d’intérêts et des écarts de taux entre les titres d’Etat et ceux émis par les émetteurs privés. La stratégie d’allocation d’actif sur la courbe des taux et l’exposition au risque de crédit s’effectueront en investissement direct (obligations ou titres de taux) ou de façon synthétique grâce à l’utilisation des instruments financiers à terme (notamment futures de taux, TRS et CDS). Le portefeuille du compartiment R-co Conviction Credit Euro est composé à hauteur de 90% minimum de titres de taux libellés en Euro.
Le portefeuille du compartiment R-co Conviction Credit Euro est composé à hauteur de 80% minimum :
• d’obligations (dont des titres participatifs, des obligations indexées, des obligations subordonnées dont 20%
maximum de l’actif net d’obligations contingentes convertibles) et de titres de créances négociables (à taux fixe, variable ou révisable), de qualité équivalente à « Investment grade », de toutes échéances, de toute maturité et de bons à moyen
terme négociables, auxquels viennent s’ajouter des obligations convertibles (jusqu’à 10% maximum) :
- émis(es) ou garanti(e)s par un Etat de la zone euro et/ou par des organismes de financement internationaux dont au moins un Etat de la zone euro fait partie ;
- d’émetteurs privés (jusqu’à « Investment Grade ») ;
- de toutes échéances.Le compartiment pourra être investi dans des titres et obligations émis par des Etats non membres de l’OCDE et/ou des émetteurs ayant leur siège social dans un pays hors OCDE (y compris émergent) jusqu’à 10% maximum de son actif.
L'exposition aux obligations et de titres de créances négociables non libellés en euro restera accessoire.
Le compartiment aura également la possibilité d’investir jusqu’à 10% en obligations haut rendement, non « Investment
Grade ». Les investissements dans des titres non notés peuvent représenter jusqu’à 10% de l’actif du compartiment.
Le compartiment peut aussi intervenir sur des instruments financiers à terme négociés sur des marchés réglementés
français et étrangers ou de gré à gré (swaps de taux, total return swap, dérivés de crédit, notamment le credit default swap,
change à terme) afin de poursuivre son objectif de gestion (pilotage de la sensibilité et du risque de crédit du portefeuille).
Pour ce faire, il couvre son portefeuille ou/et l’expose sur des secteurs d’activités, taux, indices, risque de crédit et de
change. Ces opérations seront effectuées dans la limite maximum d’une fois l’actif du compartiment.
Le pourcentage de l’actif du compartiment correspondant à l’utilisation des dérivés de crédit est compris entre 0% et 100%.
Le compartiment R-co Conviction Credit Euro peut investir jusqu’à 10% de son actif en actions ou parts d'OPC français et européens, ceci dans le respect des conditions légales et réglementaires, notamment en OPC de trésorerie dans un but de gestion de la trésorerie ainsi que dans des OPC de diversification (notamment obligations convertibles) afin de poursuivre l’objectif de gestion.
Le risque action lié à l’investissement en obligations convertibles ne dépassera pas 10% de l’actif du compartiment.
L’exposition à des titres de taux libellés dans une autre devise que l’Euro et l’exposition au risque de change sont respectivement accessoires.
La sensibilité du portefeuille s’inscrit dans une fourchette de 0 à 8 (incluant les actifs du bilan et les instruments financiers à terme).</t>
  </si>
  <si>
    <t xml:space="preserve">Q0822</t>
  </si>
  <si>
    <t xml:space="preserve">Pour ce même produit, la sous-réglementation applicable au produit ?</t>
  </si>
  <si>
    <t xml:space="preserve">Q0823</t>
  </si>
  <si>
    <t xml:space="preserve">Je change de fonds : sur R-co 4Change Green Bonds, que dit la fiche pour la thématique ESG principale déclarée dans l’EET ?</t>
  </si>
  <si>
    <t xml:space="preserve">Résultat Information trouvée Pour le fonds R-co 4Change Green Bonds, la thématique ESG principale déclarée dans l’EET est : E = Environnement Détails complémentaires Cette information correspond à la thématique ESG principale renseignée dans l’EET pour ce fonds en statut Production.</t>
  </si>
  <si>
    <t xml:space="preserve">Q0824</t>
  </si>
  <si>
    <t xml:space="preserve">Passe maintenant à l’entité sponsor renseignée.</t>
  </si>
  <si>
    <t xml:space="preserve">Résultat Information trouvée Pour le fonds R-co 4Change Green Bonds, l’entité sponsor renseignée est : Rothschild &amp; Co Asset Management Détails complémentaires Cette entité est celle déclarée au titre du champ « sponsoring entity » du fonds en statut Production.</t>
  </si>
  <si>
    <t xml:space="preserve">Q0825</t>
  </si>
  <si>
    <t xml:space="preserve">Dernier point sur R-co Conviction Credit Euro, et non sur le fonds précédent : l’indicateur d’investisseur averti ?</t>
  </si>
  <si>
    <t xml:space="preserve">Résultat Information trouvée Pour le fonds R-co Conviction Credit Euro, l’indicateur « investisseur averti » est : Oui Détails complémentaires Le fonds est donc identifié comme accessible aux investisseurs avertis dans le référentiel Produit en statut Production.</t>
  </si>
  <si>
    <t xml:space="preserve">Q0826</t>
  </si>
  <si>
    <t xml:space="preserve">C166</t>
  </si>
  <si>
    <t xml:space="preserve">RMM Invest 18 S.L.P</t>
  </si>
  <si>
    <t xml:space="preserve">Concernant RMM Invest 18 S.L.P, peux-tu retrouver le SRI du mois précédent dans la fiche ?</t>
  </si>
  <si>
    <t xml:space="preserve">Résultat Concernant le fonds RMM Invest 18 S.L.P, j’ai retrouvé les deux parts en statut Production : RMM Invest 18 S.L.P Part de Commanditaire RMM Invest 18 S.L.P Part de Commandité J’ai ensuite vérifié les données dynamiques associées, qui sont l’emplacement où les indicateurs de risque historiques sont stockés. Aucune donnée de SRI/SRRI n’est disponible pour ces deux parts dans le référentiel. Information trouvée Aucune information disponible pour le SRI du mois précédent de RMM Invest 18 S.L.P dans les données actuellement présentes.</t>
  </si>
  <si>
    <t xml:space="preserve">Q0827</t>
  </si>
  <si>
    <t xml:space="preserve">Dans la continuité, la prise en compte des principales incidences négatives, selon l’EET ?</t>
  </si>
  <si>
    <t xml:space="preserve">Résultat Pour le fonds RMM Invest 18 S.L.P, les informations EET indiquent que la prise en compte des principales incidences négatives (PAI) n’est pas appliquée. Information trouvée Les indicateurs EET relatifs aux incidences négatives sont renseignés à « Non » pour ce fonds. Détails complémentaires Prise en compte des principales incidences négatives : Non Les champs EET associés à cette thématique sont renseignés à « Non » dans la fiche du fonds.</t>
  </si>
  <si>
    <t xml:space="preserve">répond « non » au lieu de « oui »</t>
  </si>
  <si>
    <t xml:space="preserve">Q0828</t>
  </si>
  <si>
    <t xml:space="preserve">Côté produit, que mentionne-t-on pour le profil d’investisseur type en français ?</t>
  </si>
  <si>
    <t xml:space="preserve">Investissement en Private Equity en Europe.</t>
  </si>
  <si>
    <t xml:space="preserve">Résultat Pour le fonds RMM Invest 18 S.L.P, le profil d’investisseur type en français est : « Investissement en Private Equity en Europe. »</t>
  </si>
  <si>
    <t xml:space="preserve">Q0829</t>
  </si>
  <si>
    <t xml:space="preserve">Je voudrais également la date d’agrément renseignée.</t>
  </si>
  <si>
    <t xml:space="preserve">2023-02-26 23:00:00</t>
  </si>
  <si>
    <t xml:space="preserve">Résultat La date d’agrément renseignée pour le fonds RMM Invest 18 S.L.P est le 27 février 2023. Détails complémentaires Fonds : RMM Invest 18 S.L.P Date d’agrément : 27/02/2023</t>
  </si>
  <si>
    <t xml:space="preserve">Q0830</t>
  </si>
  <si>
    <t xml:space="preserve">Une dernière donnée : la date de création du produit ?</t>
  </si>
  <si>
    <t xml:space="preserve">Résultat La date de création du produit RMM Invest 18 S.L.P est le 27 février 2023. Détails complémentaires Fonds : RMM Invest 18 S.L.P Date de création : 27/02/2023 (La valeur est enregistrée dans Dataverse avec un horodatage UTC correspondant au 26/02/2023 à 23:00, soit le 27/02/2023 en date métier.)</t>
  </si>
  <si>
    <t xml:space="preserve">Q0831</t>
  </si>
  <si>
    <t xml:space="preserve">C167</t>
  </si>
  <si>
    <t xml:space="preserve">Pour R-co Valor Balanced, je cherche l’indicateur PRIIPs du fonds. Quelle information est enregistrée ?</t>
  </si>
  <si>
    <t xml:space="preserve">Résultat Information trouvée Pour le fonds « R-co Valor Balanced », l’indicateur PRIIPs enregistré est : Oui. Détails complémentaires Fonds : R-co Valor Balanced Statut : Production Indicateur PRIIPs : Oui Le fonds est donc identifié dans le référentiel comme un fonds soumis au dispositif PRIIPs.</t>
  </si>
  <si>
    <t xml:space="preserve">Q0832</t>
  </si>
  <si>
    <t xml:space="preserve">Qu’en est-il de le profil d’investisseur type renseigné ?</t>
  </si>
  <si>
    <t xml:space="preserve">Le compartiment s’adresse à des investisseurs qui souhaitent disposer d’un support d’investissement en direct, dont l’allocation diversifiée permet, en fonction des opportunités de marché, d’être exposé aux produits de taux et/ou aux produits d’actions par le biais de la mise en œuvre des stratégies Valor et Euro Credit de Rothschild Asset Management.</t>
  </si>
  <si>
    <t xml:space="preserve">Résultat Information trouvée Le profil d’investisseur type renseigné pour « R-co Valor Balanced » est : « Le compartiment s’adresse à des investisseurs qui souhaitent disposer d’un support d’investissement en direct, dont l’allocation diversifiée permet, en fonction des opportunités de marché, d’être exposé aux produits de taux et/ou aux produits d’actions par le biais de la mise en œuvre des stratégies Valor et Euro Credit de Rothschild Asset Management. » Détails complémentaires Cette description met en avant : Une exposition diversifiée aux marchés. Un accès aux produits de taux et aux actions. Une gestion fondée sur les stratégies Valor et Euro Credit de Rothschild Asset Management.</t>
  </si>
  <si>
    <t xml:space="preserve">Q0833</t>
  </si>
  <si>
    <t xml:space="preserve">Passons à R-co Target 2027 HY. Quelle information as-tu pour l’assiette de calcul des frais de gestion ?</t>
  </si>
  <si>
    <t xml:space="preserve">Résultat Information trouvée Pour le fonds « R-co Target 2027 HY », aucune valeur n’est renseignée pour l’assiette de calcul des frais de gestion dans le référentiel. Détails complémentaires Fonds : R-co Target 2027 HY Assiette de calcul des frais de gestion : non renseignée Aucune information complémentaire n’est enregistrée sur ce champ pour ce fonds en statut Production.</t>
  </si>
  <si>
    <t xml:space="preserve">Q0834</t>
  </si>
  <si>
    <t xml:space="preserve">Et sur la date de clôture annuelle renseignée, quelle est la valeur ?</t>
  </si>
  <si>
    <t xml:space="preserve">Résultat Information trouvée Pour le fonds « R-co Target 2027 HY », la date de clôture annuelle renseignée est : Dernier jour ouvré de décembre Détails complémentaires Cette valeur correspond à la règle de clôture annuelle enregistrée dans le référentiel pour ce fonds en statut Production.</t>
  </si>
  <si>
    <t xml:space="preserve">Q0835</t>
  </si>
  <si>
    <t xml:space="preserve">Reprenons R-co Valor Balanced pour terminer : peux-tu vérifier l’indicateur d’investisseur averti ?</t>
  </si>
  <si>
    <t xml:space="preserve">Résultat Information trouvée Pour le fonds « R-co Valor Balanced », l’indicateur d’investisseur averti est : Oui Détails complémentaires Fonds : R-co Valor Balanced Investisseur averti : Oui Le fonds est donc identifié dans le référentiel comme destiné à des investisseurs avertis.</t>
  </si>
  <si>
    <t xml:space="preserve">Q0836</t>
  </si>
  <si>
    <t xml:space="preserve">C168</t>
  </si>
  <si>
    <t xml:space="preserve">RMM Invest 23 S.L.P.</t>
  </si>
  <si>
    <t xml:space="preserve">Pour le dossier RMM Invest 23 S.L.P., peux-tu me confirmer la sous-réglementation applicable au produit ?</t>
  </si>
  <si>
    <t xml:space="preserve">Résultat Information trouvée Pour le fonds « RMM Invest 23 S.L.P. », actuellement en statut Production, la sous-réglementation applicable est : FIA (Fonds d’Investissement Alternatif) Détails complémentaires Fonds : RMM Invest 23 S.L.P. Statut : Production Sous-réglementation (réglementation UCI applicable) : FIA</t>
  </si>
  <si>
    <t xml:space="preserve">FIA au lieu de FIPS</t>
  </si>
  <si>
    <t xml:space="preserve">Q0837</t>
  </si>
  <si>
    <t xml:space="preserve">Et l’indicateur d’investisseur informé pour ce même fonds ?</t>
  </si>
  <si>
    <t xml:space="preserve">Résultat Information trouvée Pour le fonds « RMM Invest 23 S.L.P. », l’indicateur « Investisseur informé » est : Oui Détails complémentaires Fonds : RMM Invest 23 S.L.P. Investisseur informé : Oui</t>
  </si>
  <si>
    <t xml:space="preserve">Q0838</t>
  </si>
  <si>
    <t xml:space="preserve">Dans la fiche produit, que trouve-t-on sur le profil d’investisseur type renseigné ?</t>
  </si>
  <si>
    <t xml:space="preserve">Investissement en Private Equity</t>
  </si>
  <si>
    <t xml:space="preserve">Résultat Information trouvée Pour le fonds « RMM Invest 23 S.L.P. », le profil d’investisseur type renseigné est : Investissement en Private Equity Détails complémentaires Cette information est renseignée directement dans la fiche produit du fonds.</t>
  </si>
  <si>
    <t xml:space="preserve">Q0839</t>
  </si>
  <si>
    <t xml:space="preserve">Pour finaliser la réponse client, précise le SRI du mois précédent.</t>
  </si>
  <si>
    <t xml:space="preserve">Résultat Information trouvée Aucune information disponible pour cette demande. Détails complémentaires Pour le fonds « RMM Invest 23 S.L.P. », aucune valeur de SRI du mois précédent n’est renseignée dans les données disponibles du référentiel consulté.</t>
  </si>
  <si>
    <t xml:space="preserve">Q0840</t>
  </si>
  <si>
    <t xml:space="preserve">Dernier contrôle : l’indicateur PRIIPs du fonds ?</t>
  </si>
  <si>
    <t xml:space="preserve">Résultat Information trouvée Pour le fonds « RMM Invest 23 S.L.P. », l’indicateur PRIIPs est : Oui Détails complémentaires Fonds : RMM Invest 23 S.L.P. PRIIPs : Oui</t>
  </si>
  <si>
    <t xml:space="preserve">Q0841</t>
  </si>
  <si>
    <t xml:space="preserve">C169</t>
  </si>
  <si>
    <t xml:space="preserve">Je prépare une DDQ sur R-co Target 2028 IG. Quelle est l’information disponible concernant l’indicateur de connaissance de base de l’investisseur ?</t>
  </si>
  <si>
    <t xml:space="preserve">Je ne parviens pas à identifier le fonds « R-co Target 2028 IG » ni à accéder à son référentiel produit à partir des informations actuellement exposées par Dataverse. Je ne dispose donc d’aucune donnée fiable concernant l’indicateur de connaissance de base de l’investisseur pour ce fonds. Résultat Aucune information disponible pour cette demande.</t>
  </si>
  <si>
    <t xml:space="preserve">Q0842</t>
  </si>
  <si>
    <t xml:space="preserve">J’ai aussi besoin de le statut métier du produit dans Product Info.</t>
  </si>
  <si>
    <t xml:space="preserve">Résultat Pour le fonds R-co Target 2028 IG, un enregistrement en statut Production est présent dans Product Info. Information trouvée Statut métier du produit : Production Indicateur de connaissance de base de l’investisseur : Oui Détails complémentaires Trois versions du fonds R-co Target 2028 IG sont présentes dans le référentiel : 1 version en Production 2 versions Historisées Conformément aux règles Product Info, l’information ci-dessus est celle de la version en Production.</t>
  </si>
  <si>
    <t xml:space="preserve">Q0843</t>
  </si>
  <si>
    <t xml:space="preserve">Je change de fonds : sur R-co Target 2029 HY, que dit la fiche pour la prise en compte des principales incidences négatives, selon l’EET ?</t>
  </si>
  <si>
    <t xml:space="preserve">Résultat Pour le fonds R-co Target 2029 HY (version en Production), la fiche EET indique que les principales incidences négatives sont prises en compte. Les indicateurs EET correspondants sont tous renseignés à « Oui ». Information trouvée Prise en compte des principales incidences négatives (PAI) : Oui Indicateur EET associé : Oui Indicateurs complémentaires liés à cette prise en compte : Oui Détails complémentaires L’ensemble des champs EET interrogés sur ce sujet pour la version Production du fonds est renseigné à « Oui ». Cela confirme la prise en compte des principales incidences négatives dans le cadre des informations EET du fonds.</t>
  </si>
  <si>
    <t xml:space="preserve">Q0844</t>
  </si>
  <si>
    <t xml:space="preserve">Autre rubrique du même dossier : le second taux de frais de gestion renseigné au niveau produit ?</t>
  </si>
  <si>
    <t xml:space="preserve">Résultat Pour R-co Target 2029 HY (version en Production), aucun second taux de frais de gestion n’est renseigné au niveau produit. Information trouvée Second taux de frais de gestion : non renseigné Détails complémentaires Le fonds a bien été identifié en Production, mais aucune valeur n’est enregistrée pour ce deuxième taux de frais de gestion au niveau produit.</t>
  </si>
  <si>
    <t xml:space="preserve">Q0845</t>
  </si>
  <si>
    <t xml:space="preserve">Je reviens à R-co Target 2028 IG : quelle donnée figure sur l’indicateur du label Towards Sustainability ?</t>
  </si>
  <si>
    <t xml:space="preserve">Résultat Pour le fonds R-co Target 2028 IG (version en Production), l’indicateur du label « Towards Sustainability » est renseigné à : Non Détails complémentaires Le fonds n’est donc pas identifié comme bénéficiant du label belge « Towards Sustainability » dans Product Info.</t>
  </si>
  <si>
    <t xml:space="preserve">Q0846</t>
  </si>
  <si>
    <t xml:space="preserve">C170</t>
  </si>
  <si>
    <t xml:space="preserve">Cloître Notre Dame</t>
  </si>
  <si>
    <t xml:space="preserve">Pour Cloître Notre Dame, quelle valeur est renseignée pour le gestionnaire par délégation indiqué ?</t>
  </si>
  <si>
    <t xml:space="preserve">Résultat Information trouvée Pour le fonds « Cloître Notre Dame », la valeur renseignée dans le champ « gestionnaire par délégation » est : Rothschild &amp; Co Martin Maurel Détails complémentaires Le fonds « Cloître Notre Dame » est en statut Production et un gestionnaire par délégation y est bien renseigné.</t>
  </si>
  <si>
    <t xml:space="preserve">Q0847</t>
  </si>
  <si>
    <t xml:space="preserve">Toujours pour ce produit : l’indicateur du label Finansol ?</t>
  </si>
  <si>
    <t xml:space="preserve">Résultat Information trouvée Pour le fonds « Cloître Notre Dame », l’indicateur du label Finansol est : Non Détails complémentaires Le label Finansol n’est pas renseigné comme applicable pour ce fonds.</t>
  </si>
  <si>
    <t xml:space="preserve">Q0848</t>
  </si>
  <si>
    <t xml:space="preserve">France D Actions 2</t>
  </si>
  <si>
    <t xml:space="preserve">Autre dossier, France D Actions 2 : peux-tu vérifier le profil d’investisseur type en français ?</t>
  </si>
  <si>
    <t xml:space="preserve">FCP dédié à la Fondation de France et ses affiliés répondant à la qualité de clients professionnels, en
souscription directe ou par l’intermédiaire d’OPC qui leur sont dédiés.</t>
  </si>
  <si>
    <t xml:space="preserve">Résultat Information trouvée Pour le fonds « France D Actions 2 », le profil d’investisseur type en français est : « FCP dédié à la Fondation de France et ses affiliés répondant à la qualité de clients professionnels, en souscription directe ou par l’intermédiaire d’OPC qui leur sont dédiés. » Détails complémentaires Aucune autre valeur n’est renseignée pour ce champ sur ce fonds en Production.</t>
  </si>
  <si>
    <t xml:space="preserve">Q0849</t>
  </si>
  <si>
    <t xml:space="preserve">Je passe à la rubrique suivante : la date de clôture annuelle renseignée ?</t>
  </si>
  <si>
    <t xml:space="preserve">Résultat Information trouvée Pour le fonds « France D Actions 2 », la date de clôture annuelle renseignée est : Dernier jour ouvré de Décembre Détails complémentaires Cette valeur correspond à la clôture annuelle actuellement enregistrée pour ce fonds en Production.</t>
  </si>
  <si>
    <t xml:space="preserve">Q0850</t>
  </si>
  <si>
    <t xml:space="preserve">Reprenons Cloître Notre Dame pour terminer : peux-tu vérifier la classification AMF indiquée ?</t>
  </si>
  <si>
    <t xml:space="preserve">Résultat Information trouvée Pour le fonds « Cloître Notre Dame », la classification AMF renseignée est : Pas de Classification AMF Détails complémentaires C’est la valeur actuellement enregistrée pour ce fonds en Production.</t>
  </si>
  <si>
    <t xml:space="preserve">Q0851</t>
  </si>
  <si>
    <t xml:space="preserve">C171</t>
  </si>
  <si>
    <t xml:space="preserve">Dans la documentation produit de R-co Conviction Equity Multi Caps Euro, que dois-je reprendre pour le SRI du mois précédent ?</t>
  </si>
  <si>
    <t xml:space="preserve">Je ne trouve pas directement le fonds « R-co Conviction Equity Multi Caps Euro » via les métadonnées accessibles, et je n’ai pas pu identifier la table métier contenant la documentation produit et le SRI associé. Aucune information disponible pour cette demande.</t>
  </si>
  <si>
    <t xml:space="preserve">Q0852</t>
  </si>
  <si>
    <t xml:space="preserve">Même fonds, autre point : la classification interne du fonds ?</t>
  </si>
  <si>
    <t xml:space="preserve">SICAV Actions Zone Euro</t>
  </si>
  <si>
    <t xml:space="preserve">Résultat Information trouvée Pour le fonds « R-co Conviction Equity Multi Caps Euro », la classification interne est : SICAV Actions Zone Euro Détails complémentaires Le fonds a été identifié en statut Production et sa classification interne associée est « SICAV Actions Zone Euro ».</t>
  </si>
  <si>
    <t xml:space="preserve">Q0853</t>
  </si>
  <si>
    <t xml:space="preserve">Je complète maintenant l’entité sponsor renseignée : quelle donnée as-tu ?</t>
  </si>
  <si>
    <t xml:space="preserve">Résultat Information trouvée Pour le fonds « R-co Conviction Equity Multi Caps Euro », l’entité sponsor renseignée est : Rothschild &amp; Co Asset Management Détails complémentaires Cette information correspond à la société de gestion sponsor associée au fonds en statut Production.</t>
  </si>
  <si>
    <t xml:space="preserve">Q0854</t>
  </si>
  <si>
    <t xml:space="preserve">Qu’indique Product Info sur l’information « benchmark » renseignée au niveau produit, sans inventer un indice de part ?</t>
  </si>
  <si>
    <t xml:space="preserve">Résultat Information trouvée Pour le fonds « R-co Conviction Equity Multi Caps Euro », aucune information de benchmark n'est renseignée dans les champs de benchmark produit que j'ai consultés. Détails complémentaires Aucun indice de comparaison n'est renseigné. Aucune description de benchmark n'est renseignée. L'indicateur « benchmark » est positionné à « Non ». Je ne dispose donc d'aucun benchmark produit à restituer pour ce fonds et je ne peux pas déduire ou reconstituer un indice à partir d'autres informations.</t>
  </si>
  <si>
    <t xml:space="preserve">Q0855</t>
  </si>
  <si>
    <t xml:space="preserve">Dans la rubrique référencement de ce produit, quelle valeur est enregistrée pour le statut actif ou inactif enregistré pour ce produit ?</t>
  </si>
  <si>
    <t xml:space="preserve">Résultat Information trouvée Pour le produit « R-co Conviction Equity Multi Caps Euro », le statut enregistré est : Statut : Actif Détails complémentaires État : Actif Statut : Actif Le produit est donc référencé comme actif dans Product Info.</t>
  </si>
  <si>
    <t xml:space="preserve">Q0856</t>
  </si>
  <si>
    <t xml:space="preserve">C172</t>
  </si>
  <si>
    <t xml:space="preserve">Colombey Participations</t>
  </si>
  <si>
    <t xml:space="preserve">Sur Colombey Participations, j’ai besoin de l’agent de transfert indiqué pour une réponse RFI.</t>
  </si>
  <si>
    <t xml:space="preserve">Résultat Aucune information disponible pour cette demande. Je n’ai trouvé aucun fonds ou produit correspondant à « Colombey Participations » dans le référentiel interrogé. Pour poursuivre la recherche de l’agent de transfert, il faudrait disposer d’un autre identifiant du produit (par exemple un code ISIN, un nom alternatif du fonds ou de la part).</t>
  </si>
  <si>
    <t xml:space="preserve">Q0857</t>
  </si>
  <si>
    <t xml:space="preserve">Peux-tu préciser le gestionnaire par délégation indiqué ?</t>
  </si>
  <si>
    <t xml:space="preserve">Q0858</t>
  </si>
  <si>
    <t xml:space="preserve">R-co Lux WM Carolo Capital</t>
  </si>
  <si>
    <t xml:space="preserve">Pour R-co Lux WM Carolo Capital cette fois, que trouve-t-on concernant l’indication de commission de surperformance au niveau produit ?</t>
  </si>
  <si>
    <t xml:space="preserve">La requête a été mise à jour avec : "Pour R-co Lux WM Carolo Capital cette fois, que trouve-t-on concernant l’indication de commission de surperformance au niveau produit ?". Pourriez-vous préciser le scope de recherche à utiliser ?</t>
  </si>
  <si>
    <t xml:space="preserve">Q0859</t>
  </si>
  <si>
    <t xml:space="preserve">Je vérifie aussi la date d’agrément renseignée : quelle est la donnée ?</t>
  </si>
  <si>
    <t xml:space="preserve">2016-01-19 23:00:00</t>
  </si>
  <si>
    <t xml:space="preserve">La requête a été modifiée pour inclure : "Je vérifie aussi la date d’agrément renseignée : quelle est la donnée ?". Pourriez-vous préciser le scope de recherche à utiliser ?</t>
  </si>
  <si>
    <t xml:space="preserve">Q0860</t>
  </si>
  <si>
    <t xml:space="preserve">Je reviens à Colombey Participations : quelle donnée figure sur l’indicateur PRIIPs du fonds ?</t>
  </si>
  <si>
    <t xml:space="preserve">Q0861</t>
  </si>
  <si>
    <t xml:space="preserve">C173</t>
  </si>
  <si>
    <t xml:space="preserve">Je vérifie R-co Valor 4Change Global Equity avant d’envoyer une fiche client : le deuxième gérant suppléant ?</t>
  </si>
  <si>
    <t xml:space="preserve">Résultat Pour le fonds/produit « R-co Valor 4Change Global Equity », le deuxième gérant suppléant est : Henri CAPTIER Détails complémentaires Information trouvée sur l’enregistrement du fonds en statut Production.</t>
  </si>
  <si>
    <t xml:space="preserve">Q0862</t>
  </si>
  <si>
    <t xml:space="preserve">Pour ce même produit, la date de création du produit ?</t>
  </si>
  <si>
    <t xml:space="preserve">2021-03-16 23:00:00</t>
  </si>
  <si>
    <t xml:space="preserve">Résultat La date de création du produit « R-co Valor 4Change Global Equity » est : 17 mars 2021 Détails complémentaires Cette date correspond à la date de création enregistrée dans le référentiel du produit en statut Production.</t>
  </si>
  <si>
    <t xml:space="preserve">Q0863</t>
  </si>
  <si>
    <t xml:space="preserve">Quelle donnée faut-il retenir pour la classification AMF indiquée ?</t>
  </si>
  <si>
    <t xml:space="preserve">International equities</t>
  </si>
  <si>
    <t xml:space="preserve">Résultat Pour le produit « R-co Valor 4Change Global Equity », la classification AMF renseignée est : Actions internationales Détails complémentaires C’est la valeur actuellement enregistrée pour ce produit en statut Production.</t>
  </si>
  <si>
    <t xml:space="preserve">Q0864</t>
  </si>
  <si>
    <t xml:space="preserve">Passe maintenant à la date d’agrément renseignée.</t>
  </si>
  <si>
    <t xml:space="preserve">2021-02-11 23:00:00</t>
  </si>
  <si>
    <t xml:space="preserve">Résultat Pour le produit « R-co Valor 4Change Global Equity », la date d’agrément renseignée est : 12 février 2021 Détails complémentaires Cette date correspond à la date d’agrément enregistrée pour ce produit en statut Production.</t>
  </si>
  <si>
    <t xml:space="preserve">Q0865</t>
  </si>
  <si>
    <t xml:space="preserve">Et pour la sous-réglementation applicable au produit, qu’est-ce qui est indiqué ?</t>
  </si>
  <si>
    <t xml:space="preserve">Résultat Pour le produit « R-co Valor 4Change Global Equity », la sous-réglementation applicable renseignée est : OPCVM Détails complémentaires C’est la sous-réglementation actuellement enregistrée pour ce produit en statut Production.</t>
  </si>
  <si>
    <t xml:space="preserve">Q0866</t>
  </si>
  <si>
    <t xml:space="preserve">C174</t>
  </si>
  <si>
    <t xml:space="preserve">Fourcats Investment</t>
  </si>
  <si>
    <t xml:space="preserve">Concernant Fourcats Investment, peux-tu retrouver le conservateur indiqué dans la fiche ?</t>
  </si>
  <si>
    <t xml:space="preserve">Résultat Aucune information disponible pour cette demande. Je n’ai trouvé aucune fiche correspondant à « Fourcats Investment » dans les données accessibles.</t>
  </si>
  <si>
    <t xml:space="preserve">Q0867</t>
  </si>
  <si>
    <t xml:space="preserve">Dans la rubrique intervenants de ce produit, quelle valeur est enregistrée pour le centralisateur désigné ?</t>
  </si>
  <si>
    <t xml:space="preserve">Résultat Aucune information disponible pour cette demande. Je ne retrouve pas de produit « Fourcats Investment » dans les données accessibles. Sans fiche produit correspondante, je ne peux pas identifier la valeur enregistrée pour le centralisateur désigné.</t>
  </si>
  <si>
    <t xml:space="preserve">Q0868</t>
  </si>
  <si>
    <t xml:space="preserve">RMM Invest 8 Europe</t>
  </si>
  <si>
    <t xml:space="preserve">Autre dossier, RMM Invest 8 Europe : peux-tu vérifier l’expertise de gestion détaillée ?</t>
  </si>
  <si>
    <t xml:space="preserve">PRIVATE EQUITY</t>
  </si>
  <si>
    <t xml:space="preserve">Résultat Information trouvée Pour le fonds RMM Invest 8 Europe, l’expertise de gestion détaillée enregistrée est : Niveau 0 : MERCHANT BANKING Niveau 1 : PRIVATE EQUITY Niveau 2 : PRIVATE EQUITY Niveau 3 (classe d’actif) : Equities Chemin d’expertise complet : Equities &lt; PRIVATE EQUITY &lt; PRIVATE EQUITY &lt; MERCHANT BANKING Détails complémentaires Le fonds est en statut Production.</t>
  </si>
  <si>
    <t xml:space="preserve">Q0869</t>
  </si>
  <si>
    <t xml:space="preserve">Je voudrais également le premier taux de frais de gestion renseigné au niveau produit.</t>
  </si>
  <si>
    <t xml:space="preserve">Résultat Information trouvée Pour le fonds RMM Invest 8 Europe, aucun premier taux de frais de gestion n’est renseigné au niveau produit. Détails complémentaires Le champ correspondant au premier taux de frais de gestion est vide pour ce fonds en Production.</t>
  </si>
  <si>
    <t xml:space="preserve">Q0870</t>
  </si>
  <si>
    <t xml:space="preserve">Dernier point sur Fourcats Investment, et non sur le fonds précédent : l’agent de transfert indiqué ?</t>
  </si>
  <si>
    <t xml:space="preserve">Résultat Information trouvée Pour le produit Fourcats Investment, l’agent de transfert indiqué est : CACEIS Bank Luxembourg Branch Détails complémentaires Aucune autre information complémentaire n’est nécessaire pour cette demande.</t>
  </si>
  <si>
    <t xml:space="preserve">Q0871</t>
  </si>
  <si>
    <t xml:space="preserve">C175</t>
  </si>
  <si>
    <t xml:space="preserve">Pour R-co Conviction High Yield SD Euro, je cherche la famille d’expertise de gestion de premier niveau. Quelle information est enregistrée ?</t>
  </si>
  <si>
    <t xml:space="preserve">Résultat Information trouvée Pour le fonds « R-co Conviction High Yield SD Euro », le chemin d’expertise de gestion enregistré est : Fixed Income &lt; High Yield &lt; FIXED INCOME &lt; DIRECT INVESTMENT Selon la règle de hiérarchie : Level 3 &lt; Level 2 &lt; Level 1 &lt; Level 0 La famille d’expertise de gestion de premier niveau (Level 0) enregistrée est : DIRECT INVESTMENT Détails complémentaires Niveau 0 : DIRECT INVESTMENT Niveau 1 : FIXED INCOME Niveau 2 : High Yield Niveau 3 : Fixed Income</t>
  </si>
  <si>
    <t xml:space="preserve">Q0872</t>
  </si>
  <si>
    <t xml:space="preserve">Qu’en est-il de la date de clôture annuelle renseignée ?</t>
  </si>
  <si>
    <t xml:space="preserve">Résultat Information trouvée La date de clôture annuelle renseignée pour le fonds « R-co Conviction High Yield SD Euro » est : Dernier jour ouvré de décembre Détails complémentaires Il s’agit de la règle de clôture annuelle enregistrée pour ce fonds en production.</t>
  </si>
  <si>
    <t xml:space="preserve">Q0873</t>
  </si>
  <si>
    <t xml:space="preserve">Passons à R-co Conviction Credit SD Euro. Quelle information as-tu pour le profil d’investisseur type en français ?</t>
  </si>
  <si>
    <t xml:space="preserve">Ce FCP est particulièrement destiné aux investisseurs cherchant une exposition à la courbe des taux de la zone euro d’émetteurs privés ou publics de toute zone géographique (notamment Europe, Etats-Unis).</t>
  </si>
  <si>
    <t xml:space="preserve">Résultat Information trouvée Pour le fonds « R-co Conviction Credit SD Euro », le profil d’investisseur type en français enregistré est : « Ce FCP est particulièrement destiné aux investisseurs cherchant une exposition à la courbe des taux de la zone euro d’émetteurs privés ou publics de toute zone géographique (notamment Europe, Etats-Unis). » Détails complémentaires Aucune autre information complémentaire n’est renseignée dans ce champ pour ce fonds.</t>
  </si>
  <si>
    <t xml:space="preserve">Q0874</t>
  </si>
  <si>
    <t xml:space="preserve">Et sur le statut métier du produit dans Product Info, quelle est la valeur ?</t>
  </si>
  <si>
    <t xml:space="preserve">Résultat Information trouvée Pour le fonds « R-co Conviction Credit SD Euro », la valeur du statut métier du produit utilisée par défaut est : Production Détails complémentaires Plusieurs versions de ce fonds sont présentes dans Product Info : 1 version en statut : Production 8 versions en statut : Historisé Conformément aux règles métier, lorsqu’aucune indication contraire n’est donnée, la version en Production est celle retenue pour les recherches et restitutions d’informations.</t>
  </si>
  <si>
    <t xml:space="preserve">Q0875</t>
  </si>
  <si>
    <t xml:space="preserve">Je reviens à R-co Conviction High Yield SD Euro : quelle donnée figure sur le profil d’investisseur type renseigné ?</t>
  </si>
  <si>
    <t xml:space="preserve">ce compartiment s’adresse aux investisseurs cherchant, sur la durée de placement recommandée, une rentabilité sur les marchés de taux en euros notamment par une exposition sur des titres à haut rendement (à caractère spéculatif).</t>
  </si>
  <si>
    <t xml:space="preserve">Résultat Information trouvée Pour le fonds « R-co Conviction High Yield SD Euro », le profil d’investisseur type renseigné en français est : « ce compartiment s’adresse aux investisseurs cherchant, sur la durée de placement recommandée, une rentabilité sur les marchés de taux en euros notamment par une exposition sur des titres à haut rendement (à caractère spéculatif). » Détails complémentaires Aucune autre information complémentaire n’est renseignée dans ce champ pour ce fonds.</t>
  </si>
  <si>
    <t xml:space="preserve">Q0876</t>
  </si>
  <si>
    <t xml:space="preserve">C176</t>
  </si>
  <si>
    <t xml:space="preserve">Pour le dossier AXA Sélection Flexible, peux-tu me confirmer le deuxième gérant suppléant ?</t>
  </si>
  <si>
    <t xml:space="preserve">Résultat Pour le fonds (dossier) AXA Sélection Flexible, le deuxième gérant suppléant est : Vincent IMENEURAET Détails complémentaires Cette information provient de la fiche du fonds AXA Sélection Flexible en statut Production.</t>
  </si>
  <si>
    <t xml:space="preserve">Q0877</t>
  </si>
  <si>
    <t xml:space="preserve">Et le troisième gérant suppléant pour ce même fonds ?</t>
  </si>
  <si>
    <t xml:space="preserve">Résultat Pour le fonds AXA Sélection Flexible, le troisième gérant suppléant est : Thomas VINCENT Détails complémentaires Cette information correspond au troisième gérant suppléant renseigné sur la fiche du fonds en statut Production.</t>
  </si>
  <si>
    <t xml:space="preserve">Q0878</t>
  </si>
  <si>
    <t xml:space="preserve">Dans la fiche produit, que trouve-t-on sur le plafond des frais indirects de gestion ?</t>
  </si>
  <si>
    <t xml:space="preserve">0.37</t>
  </si>
  <si>
    <t xml:space="preserve">Résultat Pour le fonds AXA Sélection Flexible, le plafond des frais indirects de gestion est de : 0,37 % Détails complémentaires Cette valeur est renseignée dans la fiche produit du fonds en statut Production.</t>
  </si>
  <si>
    <t xml:space="preserve">Q0879</t>
  </si>
  <si>
    <t xml:space="preserve">Pour finaliser la réponse client, précise la classification interne du fonds.</t>
  </si>
  <si>
    <t xml:space="preserve">SICAV Mixte</t>
  </si>
  <si>
    <t xml:space="preserve">Résultat La classification interne du fonds AXA Sélection Flexible est : SICAV Mixte Détails complémentaires Cette classification est celle renseignée dans le référentiel Product Info pour le fonds en statut Production.</t>
  </si>
  <si>
    <t xml:space="preserve">Q0880</t>
  </si>
  <si>
    <t xml:space="preserve">Dernier contrôle : l’indicateur du label Finansol ?</t>
  </si>
  <si>
    <t xml:space="preserve">Résultat Pour le fonds AXA Sélection Flexible, l’indicateur du label Finansol est : Non Détails complémentaires Le fonds n’est pas identifié comme bénéficiant du label Finansol dans sa fiche produit en statut Production.</t>
  </si>
  <si>
    <t xml:space="preserve">Q0881</t>
  </si>
  <si>
    <t xml:space="preserve">C177</t>
  </si>
  <si>
    <t xml:space="preserve">Je prépare une DDQ sur R-co Valor. Quelle est l’information disponible concernant la part minimale d’investissements durables déclarée dans l’EET ?</t>
  </si>
  <si>
    <t xml:space="preserve">Résultat Information trouvée Pour le fonds R-co Valor (statut Production), la valeur renseignée pour la part minimale d’investissements durables déclarée dans l’EET est de : 30 % Cette information correspond au champ EET relatif à la « part minimale d’investissements durables déclarée dans l’EET » (EET 20420) du référentiel Produit. Détails complémentaires Le fonds R-co Valor est bien présent en statut Production dans le référentiel et porte une valeur EET 20420 de 30.</t>
  </si>
  <si>
    <t xml:space="preserve">Q0882</t>
  </si>
  <si>
    <t xml:space="preserve">J’ai aussi besoin de le centralisateur désigné.</t>
  </si>
  <si>
    <t xml:space="preserve">Résultat Information trouvée Pour le fonds R-co Valor (statut Production) : Part minimale d’investissements durables déclarée dans l’EET : 30 % Centralisateur désigné : Rothschild &amp; Co Martin Maurel Détails complémentaires Le centralisateur correspond à l’entité renseignée dans le référentiel au titre du rôle de centralisation du fonds.</t>
  </si>
  <si>
    <t xml:space="preserve">Q0883</t>
  </si>
  <si>
    <t xml:space="preserve">Je change de fonds : sur R-co Valor Bond Opportunities, que dit la fiche pour le premier taux de frais de gestion renseigné au niveau produit ?</t>
  </si>
  <si>
    <t xml:space="preserve">Résultat Information trouvée Pour le fonds R-co Valor Bond Opportunities (statut Production), aucun premier taux de frais de gestion n'est renseigné au niveau produit dans les données disponibles. Détails complémentaires La fiche du fonds est bien présente dans le référentiel, mais la valeur du premier taux de frais de gestion n'est pas renseignée.</t>
  </si>
  <si>
    <t xml:space="preserve">Q0884</t>
  </si>
  <si>
    <t xml:space="preserve">Autre rubrique du même dossier : le conservateur indiqué ?</t>
  </si>
  <si>
    <t xml:space="preserve">Résultat Information trouvée Pour le fonds R-co Valor Bond Opportunities (statut Production), le conservateur indiqué est : Rothschild &amp; Co Martin Maurel Détails complémentaires Cette information est renseignée au niveau de la fiche produit du fonds.</t>
  </si>
  <si>
    <t xml:space="preserve">Q0885</t>
  </si>
  <si>
    <t xml:space="preserve">Dernier point sur R-co Valor, et non sur le fonds précédent : la gamme de rattachement du produit ?</t>
  </si>
  <si>
    <t xml:space="preserve">Résultat Information trouvée Pour le fonds R-co Valor (statut Production), la gamme de rattachement est : Valor Détails complémentaires Le fonds est rattaché à la gamme « Valor » dans le référentiel produit.</t>
  </si>
  <si>
    <t xml:space="preserve">Q0886</t>
  </si>
  <si>
    <t xml:space="preserve">C178</t>
  </si>
  <si>
    <t xml:space="preserve">Pour Bourbon 1, quelle valeur est renseignée pour l’indicateur du label Towards Sustainability ?</t>
  </si>
  <si>
    <t xml:space="preserve">Résultat Information trouvée Pour le fonds/produit « Bourbon 1 », l’indicateur du label « Towards Sustainability » est renseigné à : Non Détails complémentaires Le fonds « Bourbon 1 » est en statut Production et l’indicateur « Towards Sustainability » n’est pas activé.</t>
  </si>
  <si>
    <t xml:space="preserve">Q0887</t>
  </si>
  <si>
    <t xml:space="preserve">Toujours pour ce produit : le statut actif ou inactif enregistré pour ce produit ?</t>
  </si>
  <si>
    <t xml:space="preserve">Résultat Information trouvée Pour le produit « Bourbon 1 », le statut enregistré est : Actif Détails complémentaires État : Actif Statut : Actif Le produit est donc actuellement actif dans le référentiel.</t>
  </si>
  <si>
    <t xml:space="preserve">Q0888</t>
  </si>
  <si>
    <t xml:space="preserve">Peux-tu retrouver la date de création du produit ?</t>
  </si>
  <si>
    <t xml:space="preserve">2000-12-13 23:00:00</t>
  </si>
  <si>
    <t xml:space="preserve">Résultat Information trouvée Pour le produit « Bourbon 1 », la date de création renseignée est : 14/12/2000 Détails complémentaires Cette date correspond à la date de création enregistrée dans la fiche produit.</t>
  </si>
  <si>
    <t xml:space="preserve">Q0889</t>
  </si>
  <si>
    <t xml:space="preserve">Je passe à la rubrique suivante : la famille d’expertise de gestion de premier niveau ?</t>
  </si>
  <si>
    <t xml:space="preserve">Résultat Information trouvée Pour le produit « Bourbon 1 », la famille d’expertise de gestion de premier niveau (niveau 0) est : DIRECT INVESTMENT Détails complémentaires Le chemin d’expertise enregistré est : Diversified &lt; Benchmarked &lt; DIVERSIFIED &lt; DIRECT INVESTMENT Selon la règle de hiérarchie définie dans le référentiel : Niveau 3 : Diversified Niveau 2 : Benchmarked Niveau 1 : DIVERSIFIED Niveau 0 (premier niveau) : DIRECT INVESTMENT</t>
  </si>
  <si>
    <t xml:space="preserve">Q0890</t>
  </si>
  <si>
    <t xml:space="preserve">Et concernant la part minimale d’investissements durables déclarée dans l’EET, que dit la fiche ?</t>
  </si>
  <si>
    <t xml:space="preserve">Résultat Information trouvée Pour le produit « Bourbon 1 », la part minimale d’investissements durables déclarée dans l’EET est : 30 % Détails complémentaires Cette valeur correspond à l’indicateur EET « part minimale d’investissements durables déclarée ».</t>
  </si>
  <si>
    <t xml:space="preserve">Q0891</t>
  </si>
  <si>
    <t xml:space="preserve">C179</t>
  </si>
  <si>
    <t xml:space="preserve">Dans la documentation produit de R-co Target 2029 IG, que dois-je reprendre pour la date d’échéance indiquée pour le produit ?</t>
  </si>
  <si>
    <t xml:space="preserve">2029-12-30 23:00:00</t>
  </si>
  <si>
    <t xml:space="preserve">Résultat Aucune information disponible pour cette demande. Je ne retrouve pas de donnée concernant le fonds « R-co Target 2029 IG » ni sa documentation produit dans les données auxquelles j’ai accès actuellement. Pour déterminer précisément la date d’échéance à reprendre, il me faudrait que la documentation produit concernée soit disponible dans le référentiel ou que vous partagiez le document à analyser. Détails complémentaires Si vous disposez du DIC, prospectus ou de la fiche produit, je peux identifier la date d’échéance à reprendre telle qu’elle est indiquée dans le document.</t>
  </si>
  <si>
    <t xml:space="preserve">Q0892</t>
  </si>
  <si>
    <t xml:space="preserve">Même fonds, autre point : la structure ombrelle à laquelle le produit est rattaché ?</t>
  </si>
  <si>
    <t xml:space="preserve">R-co 2</t>
  </si>
  <si>
    <t xml:space="preserve">Résultat Aucune information disponible pour cette demande. Je ne retrouve pas dans les données accessibles d'information permettant d'identifier la structure ombrelle de « R-co Target 2029 IG ». Détails complémentaires Si la fiche produit, le prospectus ou l'enregistrement du fonds est présent dans le référentiel, je peux rechercher la structure ombrelle associée. En l'état, aucune donnée exploitable n'est disponible pour ce fonds.</t>
  </si>
  <si>
    <t xml:space="preserve">Q0893</t>
  </si>
  <si>
    <t xml:space="preserve">Passons à R-co Conviction Equity Value Euro. Quelle information as-tu pour l’expertise de gestion détaillée ?</t>
  </si>
  <si>
    <t xml:space="preserve">Value</t>
  </si>
  <si>
    <t xml:space="preserve">Résultat Aucune information disponible pour cette demande. Je ne retrouve pas de donnée exploitable concernant le fonds « R-co Conviction Equity Value Euro » ni son expertise de gestion détaillée dans les données auxquelles j’ai accès actuellement. Détails complémentaires L’expertise de gestion détaillée correspond généralement à la hiérarchie de management d’expertise (niveaux 0 à 3). Aucune valeur n’est disponible pour ce fonds dans les données consultables.</t>
  </si>
  <si>
    <t xml:space="preserve">Q0894</t>
  </si>
  <si>
    <t xml:space="preserve">Qu’indique Product Info sur les frais de gestion effectifs renseignés au niveau produit ?</t>
  </si>
  <si>
    <t xml:space="preserve">Résultat Pour le fonds « R-co Conviction Equity Value Euro », aucun montant de frais de gestion effectifs n'est renseigné au niveau produit. Information trouvée Fonds : R-co Conviction Equity Value Euro Frais de gestion effectifs : non renseignés Détails complémentaires Le référentiel Product Info contient bien un champ dédié aux frais de gestion effectifs au niveau produit, mais aucune valeur n'est enregistrée pour ce fonds en statut Production.</t>
  </si>
  <si>
    <t xml:space="preserve">Q0895</t>
  </si>
  <si>
    <t xml:space="preserve">Reprenons R-co Target 2029 IG pour terminer : peux-tu vérifier le commissaire aux comptes indiqué ?</t>
  </si>
  <si>
    <t xml:space="preserve">Résultat Information trouvée Pour le fonds « R-co Target 2029 IG », le commissaire aux comptes renseigné dans Product Info est : Deloitte &amp; Associés Détails complémentaires Cette information est renseignée au niveau du fonds en statut Production.</t>
  </si>
  <si>
    <t xml:space="preserve">Q0896</t>
  </si>
  <si>
    <t xml:space="preserve">C180</t>
  </si>
  <si>
    <t xml:space="preserve">Ofi Invest Multigestion</t>
  </si>
  <si>
    <t xml:space="preserve">Sur Ofi Invest Multigestion, j’ai besoin de l’indicateur du label Finansol pour une réponse RFI.</t>
  </si>
  <si>
    <t xml:space="preserve">Je ne trouve pas directement le fonds « Ofi Invest Multigestion » avec les informations actuellement accessibles dans le référentiel interrogé. Aucune information disponible pour cette demande.</t>
  </si>
  <si>
    <t xml:space="preserve">Q0897</t>
  </si>
  <si>
    <t xml:space="preserve">Dans la rubrique frais de ce produit, quelle valeur est enregistrée pour le plafond des frais indirects de gestion ?</t>
  </si>
  <si>
    <t xml:space="preserve">Résultat Information trouvée Pour le fonds « Ofi Invest Multigestion », la valeur enregistrée pour le plafond des frais indirects de gestion est de 2,00. Détails complémentaires Cette valeur est renseignée dans la rubrique des frais du fonds en statut Production.</t>
  </si>
  <si>
    <t xml:space="preserve">Q0898</t>
  </si>
  <si>
    <t xml:space="preserve">Elite L.A.S</t>
  </si>
  <si>
    <t xml:space="preserve">Pour Elite L.A.S cette fois, que trouve-t-on concernant le deuxième gérant suppléant ?</t>
  </si>
  <si>
    <t xml:space="preserve">Résultat Information trouvée Pour le fonds « Elite L.A.S », le deuxième gérant suppléant est : Mathieu SIX Détails complémentaires Aucun autre deuxième gérant suppléant n’est associé à ce fonds en Production.</t>
  </si>
  <si>
    <t xml:space="preserve">Q0899</t>
  </si>
  <si>
    <t xml:space="preserve">Je vérifie aussi le statut métier du produit dans Product Info : quelle est la donnée ?</t>
  </si>
  <si>
    <t xml:space="preserve">Résultat Information trouvée Pour le produit « Elite L.A.S », le statut métier enregistré dans Product Info est : Production Détails complémentaires Le produit est actuellement référencé en statut Production.</t>
  </si>
  <si>
    <t xml:space="preserve">Q0900</t>
  </si>
  <si>
    <t xml:space="preserve">Dernier point sur Ofi Invest Multigestion, et non sur le fonds précédent : le centralisateur désigné ?</t>
  </si>
  <si>
    <t xml:space="preserve">Abeille Asset Management</t>
  </si>
  <si>
    <t xml:space="preserve">Résultat Information trouvée Pour le fonds « Ofi Invest Multigestion », le centralisateur désigné est : Abeille Asset Management Détails complémentaires Cette information est enregistrée au niveau du fonds en statut Production.</t>
  </si>
  <si>
    <t xml:space="preserve">Q0901</t>
  </si>
  <si>
    <t xml:space="preserve">C181</t>
  </si>
  <si>
    <t xml:space="preserve">Je vérifie R-co 4Change Net Zero Credit Euro avant d’envoyer une fiche client : le statut actif ou inactif enregistré pour ce produit ?</t>
  </si>
  <si>
    <t xml:space="preserve">Résultat Le produit « R-co 4Change Net Zero Credit Euro » est enregistré avec un statut Actif. Une occurrence active est présente dans le référentiel. Détails complémentaires Plusieurs versions historiques du même produit existent également avec un statut Inactif, mais la version actuellement active est bien enregistrée comme Actif.</t>
  </si>
  <si>
    <t xml:space="preserve">Q0902</t>
  </si>
  <si>
    <t xml:space="preserve">Dans la rubrique structure de ce produit, quelle valeur est enregistrée pour la structure ombrelle à laquelle le produit est rattaché ?</t>
  </si>
  <si>
    <t xml:space="preserve">Résultat Pour le produit « R-co 4Change Net Zero Credit Euro », la valeur enregistrée dans la structure ombrelle est : R-co 2 Détails complémentaires Le produit actif « R-co 4Change Net Zero Credit Euro » est rattaché à l’ombrelle « R-co 2 ».</t>
  </si>
  <si>
    <t xml:space="preserve">Q0903</t>
  </si>
  <si>
    <t xml:space="preserve">Quelle donnée faut-il retenir pour le statut de fonds nourricier ?</t>
  </si>
  <si>
    <t xml:space="preserve">Résultat Pour le fonds « R-co 4Change Net Zero Credit Euro », la donnée enregistrée pour le statut de fonds nourricier est : Non Détails complémentaires Le fonds n’est donc pas identifié comme un fonds nourricier dans le référentiel.</t>
  </si>
  <si>
    <t xml:space="preserve">Q0904</t>
  </si>
  <si>
    <t xml:space="preserve">Passe maintenant à l’identifiant LEI du produit.</t>
  </si>
  <si>
    <t xml:space="preserve">969500VNIX40PZVYGL77</t>
  </si>
  <si>
    <t xml:space="preserve">Résultat L’identifiant LEI enregistré pour le produit « R-co 4Change Net Zero Credit Euro » est : 969500VNIX40PZVYGL77 Détails complémentaires Cette valeur est celle enregistrée sur la version du produit en statut Production.</t>
  </si>
  <si>
    <t xml:space="preserve">Q0905</t>
  </si>
  <si>
    <t xml:space="preserve">Et pour la qualification fonds de fonds renseignée, qu’est-ce qui est indiqué ?</t>
  </si>
  <si>
    <t xml:space="preserve">Résultat Pour le produit « R-co 4Change Net Zero Credit Euro », la qualification « fonds de fonds » renseignée est : Non Détails complémentaires Le produit n’est donc pas qualifié comme fonds de fonds dans le référentiel de Production.</t>
  </si>
  <si>
    <t xml:space="preserve">Q0906</t>
  </si>
  <si>
    <t xml:space="preserve">C182</t>
  </si>
  <si>
    <t xml:space="preserve">RMM Invest 12</t>
  </si>
  <si>
    <t xml:space="preserve">Concernant RMM Invest 12, peux-tu retrouver la réglementation OPC applicable dans la fiche ?</t>
  </si>
  <si>
    <t xml:space="preserve">AIF</t>
  </si>
  <si>
    <t xml:space="preserve">Résultat Information trouvée Pour le fonds RMM Invest 12, la réglementation OPC applicable renseignée dans la fiche est : « FIA » (Fonds d’Investissement Alternatif). Le fonds existe en version Production et en version Historisée, et la réglementation OPC indiquée est identique dans les deux cas. Détails complémentaires Fonds : RMM Invest 12 Réglementation OPC applicable : FIA Statut Production : Oui Statut Historisé : Oui (même réglementation)</t>
  </si>
  <si>
    <t xml:space="preserve">Q0907</t>
  </si>
  <si>
    <t xml:space="preserve">Dans la continuité, le commissaire aux comptes indiqué ?</t>
  </si>
  <si>
    <t xml:space="preserve">KPMG</t>
  </si>
  <si>
    <t xml:space="preserve">Résultat Information trouvée Pour le fonds RMM Invest 12 (statut Production), le commissaire aux comptes indiqué dans la fiche est : KPMG. Détails complémentaires Fonds : RMM Invest 12 Commissaire aux comptes : KPMG</t>
  </si>
  <si>
    <t xml:space="preserve">Q0908</t>
  </si>
  <si>
    <t xml:space="preserve">CSM Diversifié</t>
  </si>
  <si>
    <t xml:space="preserve">Autre dossier, CSM Diversifié : peux-tu vérifier les frais de gestion maximum renseignés au niveau produit, sans les attribuer à une part ?</t>
  </si>
  <si>
    <t xml:space="preserve">Résultat Information trouvée Pour le fonds CSM Diversifié (statut Production), aucun montant n'est renseigné dans le champ « frais de gestion maximum » au niveau produit. Détails complémentaires Fonds : CSM Diversifié Frais de gestion maximum (niveau produit) : non renseignés Je me suis limité à l'information portée par le produit lui-même, sans consultation des parts associées, conformément à votre demande.</t>
  </si>
  <si>
    <t xml:space="preserve">Q0909</t>
  </si>
  <si>
    <t xml:space="preserve">Je voudrais également le conservateur indiqué.</t>
  </si>
  <si>
    <t xml:space="preserve">Résultat Information trouvée Pour le fonds CSM Diversifié (statut Production), le conservateur indiqué est : Rothschild &amp; Co Martin Maurel. Détails complémentaires Fonds : CSM Diversifié Conservateur : Rothschild &amp; Co Martin Maurel</t>
  </si>
  <si>
    <t xml:space="preserve">Q0910</t>
  </si>
  <si>
    <t xml:space="preserve">Reprenons RMM Invest 12 pour terminer : peux-tu vérifier l’indicateur du label Towards Sustainability ?</t>
  </si>
  <si>
    <t xml:space="preserve">Résultat Information trouvée Pour le fonds RMM Invest 12 (statut Production), l’indicateur du label Towards Sustainability est positionné à : Non. Détails complémentaires Fonds : RMM Invest 12 Label Towards Sustainability : Non Indicateur renseigné dans la fiche produit : Non actif / non attribué au fonds.</t>
  </si>
  <si>
    <t xml:space="preserve">Q0911</t>
  </si>
  <si>
    <t xml:space="preserve">C183</t>
  </si>
  <si>
    <t xml:space="preserve">Pour R-co 4Change Green Bonds, je cherche la classification interne du fonds. Quelle information est enregistrée ?</t>
  </si>
  <si>
    <t xml:space="preserve">SICAV Obligations et autres titres de créance €</t>
  </si>
  <si>
    <t xml:space="preserve">Résultat Information trouvée Pour le fonds R-co 4Change Green Bonds en statut Production, la classification interne enregistrée est : FCP Obligations et autres titres de créance € Cette information correspond à la classification interne du fonds actuellement en production. Détails complémentaires Le référentiel contient également plusieurs versions historisées de ce fonds. La version en production utilise la même classification interne que certaines versions historisées.</t>
  </si>
  <si>
    <t xml:space="preserve">autre valeur du même champ : FCP Obligations et autres titres de créance €</t>
  </si>
  <si>
    <t xml:space="preserve">Q0912</t>
  </si>
  <si>
    <t xml:space="preserve">Qu’en est-il de la famille d’expertise de gestion de premier niveau ?</t>
  </si>
  <si>
    <t xml:space="preserve">Résultat Information trouvée Pour le fonds R-co 4Change Green Bonds (version en Production), la famille d’expertise de gestion de premier niveau (niveau 0) enregistrée est : DIRECT INVESTMENT Selon le référentiel Management Expertise, cette valeur correspond au niveau hiérarchique 0, qui est le premier niveau de la famille d’expertise de gestion. Détails complémentaires La hiérarchie d’expertise est structurée ainsi : Niveau 0 = premier niveau Niveau 1 Niveau 2 Niveau 3 (classe d’actif) Pour ce fonds, le premier niveau enregistré est donc DIRECT INVESTMENT.</t>
  </si>
  <si>
    <t xml:space="preserve">Q0913</t>
  </si>
  <si>
    <t xml:space="preserve">Peux-tu contrôler la réglementation OPC applicable pour ce dossier ?</t>
  </si>
  <si>
    <t xml:space="preserve">Résultat Information trouvée Pour le fonds R-co 4Change Green Bonds en Production, la réglementation OPC applicable enregistrée est : OPCVM Détails complémentaires Cette valeur correspond au champ de réglementation OPC applicable du fonds dans le référentiel Product Info. Le fonds est donc catégorisé comme un OPCVM.</t>
  </si>
  <si>
    <t xml:space="preserve">Q0914</t>
  </si>
  <si>
    <t xml:space="preserve">Et sur la part minimale d’investissements durables déclarée dans l’EET, quelle est la valeur ?</t>
  </si>
  <si>
    <t xml:space="preserve">90</t>
  </si>
  <si>
    <t xml:space="preserve">Résultat Information trouvée Pour le fonds R-co 4Change Green Bonds en Production, la part minimale d’investissements durables déclarée dans l’EET est : 90 % Détails complémentaires Cette valeur correspond à l’indicateur EET « part minimale d’investissements durables déclarée ». Le niveau enregistré pour ce fonds est de 90 %.</t>
  </si>
  <si>
    <t xml:space="preserve">Q0915</t>
  </si>
  <si>
    <t xml:space="preserve">Pour finir, indique-moi la gamme de rattachement du produit.</t>
  </si>
  <si>
    <t xml:space="preserve">Résultat Information trouvée Pour le fonds R-co 4Change Green Bonds en Production, la gamme de rattachement enregistrée est : 4Change Détails complémentaires Le fonds est rattaché à la gamme 4Change dans le référentiel Product Info.</t>
  </si>
  <si>
    <t xml:space="preserve">Q0916</t>
  </si>
  <si>
    <t xml:space="preserve">C184</t>
  </si>
  <si>
    <t xml:space="preserve">Pour le dossier Valentin Haüy Patrimoine, peux-tu me confirmer le plafond des frais indirects de gestion ?</t>
  </si>
  <si>
    <t xml:space="preserve">Résultat Information trouvée Pour le fonds « Valentin Haüy Patrimoine », le plafond des frais indirects de gestion est de 2,00 %. Détails complémentaires Le fonds est en statut Production.</t>
  </si>
  <si>
    <t xml:space="preserve">Q0917</t>
  </si>
  <si>
    <t xml:space="preserve">Et l’expertise de gestion détaillée pour ce même fonds ?</t>
  </si>
  <si>
    <t xml:space="preserve">Advisory In</t>
  </si>
  <si>
    <t xml:space="preserve">Résultat Information trouvée Pour le fonds « Valentin Haüy Patrimoine », l’expertise de gestion détaillée est : Niveau 0 : OPEN ARCHITECTURE Niveau 1 : LONG ONLY &amp; HYBRID Niveau 2 : Advisory In Niveau 3 (Classe d’actif) : Diversified Cette hiérarchie est définie selon le chemin d’expertise : Diversified &lt; Advisory In &lt; LONG ONLY &amp; HYBRID &lt; OPEN ARCHITECTURE.</t>
  </si>
  <si>
    <t xml:space="preserve">Q0918</t>
  </si>
  <si>
    <t xml:space="preserve">RMM Invest 7</t>
  </si>
  <si>
    <t xml:space="preserve">Pour RMM Invest 7 cette fois, que trouve-t-on concernant la qualification fonds de fonds renseignée ?</t>
  </si>
  <si>
    <t xml:space="preserve">Résultat Information trouvée Pour le fonds « RMM Invest 7 », la qualification « fonds de fonds » renseignée est : Oui. Détails complémentaires Le fonds est en statut Production. La qualification enregistrée n’est pas « Hybride » mais bien « Oui ».</t>
  </si>
  <si>
    <t xml:space="preserve">Q0919</t>
  </si>
  <si>
    <t xml:space="preserve">Pour finaliser la réponse client, précise l’assiette de calcul des frais de gestion.</t>
  </si>
  <si>
    <t xml:space="preserve">Résultat Information trouvée Pour le fonds « RMM Invest 7 », la qualification « fonds de fonds » est renseignée à « Oui ». Concernant l’assiette de calcul des frais de gestion, aucune information n’est renseignée pour ce fonds dans les données disponibles. Détails complémentaires Aucune information disponible pour cette demande concernant l’assiette de calcul des frais de gestion.</t>
  </si>
  <si>
    <t xml:space="preserve">Q0920</t>
  </si>
  <si>
    <t xml:space="preserve">Je reviens à Valentin Haüy Patrimoine : quelle donnée figure sur l’expertise de gestion de deuxième niveau ?</t>
  </si>
  <si>
    <t xml:space="preserve">LONG ONLY &amp; HYBRID</t>
  </si>
  <si>
    <t xml:space="preserve">Résultat Information trouvée Pour le fonds « Valentin Haüy Patrimoine », l’expertise de gestion de deuxième niveau est : Advisory In. Détails complémentaires La hiérarchie d’expertise enregistrée pour ce fonds est : Niveau 0 : OPEN ARCHITECTURE Niveau 1 : LONG ONLY &amp; HYBRID Niveau 2 : Advisory In Niveau 3 : Diversified Cette information est cohérente avec le chemin d’expertise enregistré pour le fonds.</t>
  </si>
  <si>
    <t xml:space="preserve">Q0921</t>
  </si>
  <si>
    <t xml:space="preserve">C185</t>
  </si>
  <si>
    <t xml:space="preserve">Je prépare une DDQ sur R-co Target 2027 HY. Quelle est l’information disponible concernant l’allocation stratégique en français ?</t>
  </si>
  <si>
    <t xml:space="preserve">La stratégie d’investissement du compartiment ne se limite pas à du portage d’obligations : si la société de gestion tendra à conserver les titres jusqu’à leur maturité, elle pourra procéder à des arbitrages en cas d’identification d’une augmentation du risque de défaut d’un des émetteurs en portefeuille et/ou en cas de nouvelles opportunités de marché afin d’optimiser le taux actuariel moyen du portefeuille à l’échéance.
La stratégie d’exposition au risque de crédit s’effectuera en investissement direct. Le compartiment investira entre 80% et 100% de l’actif net dans des obligations à taux fixe, variable ou révisable, et autres titres de créances négociables, des obligations indexées sur l’inflation, émises par des sociétés de droit privé et/ou des entités supranationales/publiques ou des Etats et des bons à moyen terme négociables, dont 10% maximum de l’actif net en obligations convertibles. Ces titres seront libellés à 80% minimum de l’actif net en euro.
Les titres émis par des émetteurs privés pourront représenter jusqu’à 100% maximum de l’actif net, dont 50% maximum d’émetteurs du secteur financier ; les titres émis par des entités publiques ou supranationales pourront représenter jusqu’à 10% de l’actif net maximum.
Les titres éligibles en portefeuille pourront être de toute zone géographique, sauf de pays émergents.
Les obligations et autres titres de créance seront de toute qualité de signature :
- jusqu’à 100 % maximum de l’actif net en titres spéculatifs,
- jusqu’à 10% maximum de l’actif net en titres notés en catégorie Investment grade (hors instruments du marché monétaire),
- et 30 % maximum de l’actif net en titres non notés.
Il existe un risque de change pour les actionnaires à hauteur de 10% maximum de l’actif net du compartiment.
La sensibilité du portefeuille s’inscrit dans une fourchette de 0 à 7. Cette sensibilité est amenée à diminuer à l’approche.
Le compartiment pourra également investir en OPCVM, FIA ou fonds d’investissement de droit étranger monétaires dans la limite de 10% maximum de l’actif net et en titres du marché monétaire à hauteur de 10% maximum de l’actif net, dans un but de gestion de la trésorerie.
A compter du 1er janvier 2027, le réemploi des obligations tombées à échéance sera effectué dans des titres du marché monétaire. A compter du 30 juin 2027, la société de gestion s’engage, dans un délai maximum de 6 mois, à transformer, fusionner, ou liquider le compartiment. Toute nouvelle souscription étant par ailleurs interdite à compter du 1er janvier 2025.</t>
  </si>
  <si>
    <t xml:space="preserve">Résultat Information trouvée pour le fonds R-co Target 2027 HY (statut Production) : L’allocation stratégique en français indique que le compartiment adopte une stratégie principalement orientée vers des obligations à échéance, tout en conservant une gestion active permettant des arbitrages en cas de dégradation du risque de crédit ou pour saisir des opportunités de marché afin d’optimiser le rendement actuariel à l’échéance. Détails complémentaires Investissement direct en risque de crédit. Entre 80 % et 100 % de l’actif net investi en obligations et autres titres de créance, dont au maximum 10 % en obligations convertibles. Au moins 80 % de l’actif net libellé en euro. Jusqu’à 100 % de l’actif net en titres spéculatifs (High Yield). Maximum 10 % en titres Investment Grade (hors instruments monétaires). Maximum 30 % en titres non notés. Exposition aux émetteurs privés jusqu’à 100 % de l’actif net, dont au maximum 50 % au secteur financier. Exposition aux entités publiques ou supranationales limitée à 10 % de l’actif net. Investissements possibles dans toutes les zones géographiques à l’exception des pays émergents. Risque de change limité à 10 % de l’actif net. Sensibilité taux comprise entre 0 et 7, avec une diminution progressive à l’approche de l’échéance. Possibilité d’investir jusqu’à 10 % de l’actif net en OPCVM/FIA monétaires et jusqu’à 10 % en instruments du marché monétaire pour la gestion de trésorerie. À compter du 1er janvier 2027, les obligations arrivant à échéance sont réinvesties en instruments du marché monétaire. À compter du 30 juin 2027, la société de gestion s’engage à transformer, fusionner ou liquider le compartiment dans un délai maximal de 6 mois. Toute nouvelle souscription est interdite depuis le 1er janvier 2025.</t>
  </si>
  <si>
    <t xml:space="preserve">Q0922</t>
  </si>
  <si>
    <t xml:space="preserve">J’ai aussi besoin de le code AMF du produit.</t>
  </si>
  <si>
    <t xml:space="preserve">FDS77178</t>
  </si>
  <si>
    <t xml:space="preserve">Résultat Le code AMF du fonds R-co Target 2027 HY est : FDS77178 Détails complémentaires Aucune autre information AMF complémentaire n’est renseignée dans le référentiel pour ce fonds.</t>
  </si>
  <si>
    <t xml:space="preserve">Q0923</t>
  </si>
  <si>
    <t xml:space="preserve">Je change de fonds : sur R-co Thematic Real Estate, que dit la fiche pour le statut de fonds nourricier ?</t>
  </si>
  <si>
    <t xml:space="preserve">Résultat Pour le fonds R-co Thematic Real Estate, le statut de fonds nourricier est : Non Le fonds n’est donc pas identifié comme un fonds nourricier dans le référentiel.</t>
  </si>
  <si>
    <t xml:space="preserve">Q0924</t>
  </si>
  <si>
    <t xml:space="preserve">Autre rubrique du même dossier : l’objectif de gestion en français ?</t>
  </si>
  <si>
    <t xml:space="preserve">Le compartiment R-co Thematic Real Estate a pour objectif de gestion de réaliser, en investissant en actions de sociétés françaises du secteur immobilier et de foncières européennes, dans un horizon de placement égal ou supérieur à 5 ans, une performance, nette de frais, en ligne avec celle de son indice de référence</t>
  </si>
  <si>
    <t xml:space="preserve">Résultat Objectif de gestion en français pour R-co Thematic Real Estate : « Le compartiment R-co Thematic Real Estate a pour objectif de gestion de réaliser, en investissant en actions de sociétés françaises du secteur immobilier et de foncières européennes, dans un horizon de placement égal ou supérieur à 5 ans, une performance, nette de frais, en ligne avec celle de son indice de référence. » Détails complémentaires L’horizon de placement mentionné est de 5 ans minimum. Le fonds vise une performance nette de frais alignée sur celle de son indice de référence.</t>
  </si>
  <si>
    <t xml:space="preserve">texte long (90% des mots)</t>
  </si>
  <si>
    <t xml:space="preserve">Q0925</t>
  </si>
  <si>
    <t xml:space="preserve">Reprenons R-co Target 2027 HY pour terminer : peux-tu vérifier la structure ombrelle à laquelle le produit est rattaché ?</t>
  </si>
  <si>
    <t xml:space="preserve">Résultat Le fonds R-co Target 2027 HY est rattaché à l’ombrelle : R-co 2 Détails complémentaires R-co Target 2027 HY est référencé comme un compartiment appartenant à l’ombrelle R-co 2.</t>
  </si>
  <si>
    <t xml:space="preserve">Q0926</t>
  </si>
  <si>
    <t xml:space="preserve">C186</t>
  </si>
  <si>
    <t xml:space="preserve">Pour Casip Cojasor, quelle valeur est renseignée pour la durée de placement recommandée ?</t>
  </si>
  <si>
    <t xml:space="preserve">Q0927</t>
  </si>
  <si>
    <t xml:space="preserve">Toujours pour ce produit : le gérant principal désigné ?</t>
  </si>
  <si>
    <t xml:space="preserve">LAFORCADE (DE) Xavier</t>
  </si>
  <si>
    <t xml:space="preserve">Résultat Information trouvée Le gérant principal désigné pour le produit « Casip Cojasor » est : Xavier LAFORCADE. Détails complémentaires Aucune autre information pertinente n’a été demandée.</t>
  </si>
  <si>
    <t xml:space="preserve">Q0928</t>
  </si>
  <si>
    <t xml:space="preserve">Peux-tu retrouver l’identifiant LEI du produit ?</t>
  </si>
  <si>
    <t xml:space="preserve">969500OLE1URNGTNM061</t>
  </si>
  <si>
    <t xml:space="preserve">Résultat Information trouvée L’identifiant LEI du produit « Casip Cojasor » est : 969500OLE1URNGTNM061. Détails complémentaires Aucune autre information complémentaire n’est renseignée dans le cadre de cette demande.</t>
  </si>
  <si>
    <t xml:space="preserve">Q0929</t>
  </si>
  <si>
    <t xml:space="preserve">Je passe à la rubrique suivante : le premier gérant suppléant ?</t>
  </si>
  <si>
    <t xml:space="preserve">Résultat Information trouvée Le premier gérant suppléant du produit « Casip Cojasor » est : Guillaume PALLIERES. Détails complémentaires Aucune autre information complémentaire n’est nécessaire pour cette rubrique.</t>
  </si>
  <si>
    <t xml:space="preserve">Q0930</t>
  </si>
  <si>
    <t xml:space="preserve">Et concernant le commissaire aux comptes indiqué, que dit la fiche ?</t>
  </si>
  <si>
    <t xml:space="preserve">Grant Thornton Audit</t>
  </si>
  <si>
    <t xml:space="preserve">Résultat Information trouvée Le commissaire aux comptes indiqué pour le produit « Casip Cojasor » est : Grant Thornton Audit. Détails complémentaires La fiche produit référence Grant Thornton Audit comme commissaire aux comptes.</t>
  </si>
  <si>
    <t xml:space="preserve">Q0931</t>
  </si>
  <si>
    <t xml:space="preserve">C187</t>
  </si>
  <si>
    <t xml:space="preserve">Dans la documentation produit de R-co Target 2029 HY, que dois-je reprendre pour la gamme de rattachement du produit ?</t>
  </si>
  <si>
    <t xml:space="preserve">Thematic</t>
  </si>
  <si>
    <t xml:space="preserve">Résultat Information trouvée Pour le fonds « R-co Target 2029 HY », la gamme de rattachement est : Thematic Détails complémentaires Le fonds est en statut Production et sa gamme de rattachement enregistrée dans le référentiel Product Info est « Thematic ».</t>
  </si>
  <si>
    <t xml:space="preserve">Q0932</t>
  </si>
  <si>
    <t xml:space="preserve">Même fonds, autre point : le code AMF du produit ?</t>
  </si>
  <si>
    <t xml:space="preserve">FDS101905</t>
  </si>
  <si>
    <t xml:space="preserve">Résultat Information trouvée Le code AMF du fonds « R-co Target 2029 HY » est : FDS101905 Détails complémentaires Aucune information complémentaire pertinente pour cette demande.</t>
  </si>
  <si>
    <t xml:space="preserve">Q0933</t>
  </si>
  <si>
    <t xml:space="preserve">Passons à R-co Thematic Silver Plus. Quelle information as-tu pour l’indication de commission de surperformance au niveau produit ?</t>
  </si>
  <si>
    <t xml:space="preserve">Résultat Information trouvée Pour le fonds « R-co Thematic Silver Plus », l’information disponible au niveau produit concernant la commission de surperformance est : High Water Mark : Pas de high water mark Aucune autre information de commission de surperformance n’est renseignée au niveau produit pour ce fonds. Détails complémentaires Aucune information complémentaire pertinente pour cette demande.</t>
  </si>
  <si>
    <t xml:space="preserve">Q0934</t>
  </si>
  <si>
    <t xml:space="preserve">Qu’indique Product Info sur la domiciliation du fonds ?</t>
  </si>
  <si>
    <t xml:space="preserve">Résultat Information trouvée Pour le fonds « R-co Thematic Silver Plus », la domiciliation du fonds est : France Détails complémentaires Aucune information complémentaire pertinente pour cette demande.</t>
  </si>
  <si>
    <t xml:space="preserve">Q0935</t>
  </si>
  <si>
    <t xml:space="preserve">Je reviens à R-co Target 2029 HY : quelle donnée figure sur l’expertise de gestion de deuxième niveau ?</t>
  </si>
  <si>
    <t xml:space="preserve">Résultat Information trouvée Pour le fonds « R-co Target 2029 HY », l’élément renseigné au titre de l’« expertise de gestion de deuxième niveau » est : High Yield Détails complémentaires Selon la hiérarchie des expertises de gestion, il s’agit de la valeur enregistrée au niveau 2 pour ce fonds.</t>
  </si>
  <si>
    <t xml:space="preserve">autre valeur du même champ : High Yield</t>
  </si>
  <si>
    <t xml:space="preserve">Q0936</t>
  </si>
  <si>
    <t xml:space="preserve">C188</t>
  </si>
  <si>
    <t xml:space="preserve">Sur Fondations R-co, j’ai besoin de la durée de placement recommandée pour une réponse RFI.</t>
  </si>
  <si>
    <t xml:space="preserve">Résultat Information trouvée Pour le fonds Fondations R-co, la durée de placement recommandée est de 5 ans. Détails complémentaires Cette information est issue du référentiel Product Info pour le fonds en statut Production.</t>
  </si>
  <si>
    <t xml:space="preserve">Q0937</t>
  </si>
  <si>
    <t xml:space="preserve">Peux-tu préciser la qualification fonds de fonds renseignée ?</t>
  </si>
  <si>
    <t xml:space="preserve">Résultat Information trouvée Pour le fonds Fondations R-co, la qualification renseignée pour le critère « fonds de fonds » est : Hybride. Détails complémentaires La valeur enregistrée dans le référentiel Product Info est « Hybride » pour ce fonds en statut Production.</t>
  </si>
  <si>
    <t xml:space="preserve">Q0938</t>
  </si>
  <si>
    <t xml:space="preserve">Qu’est-ce qui est enregistré sur l’allocation stratégique en français ?</t>
  </si>
  <si>
    <t xml:space="preserve">En vue de réaliser l’objectif de gestion, le FIA Fondations R-co investit en fonction de l’évolution des marchés, en produits de taux ou convertibles de toutes zones géographiques et en OPC de produits de taux ainsi qu’en actions de toutes zones géographiques et en OPC de produits d’actions.
Le FIA pourra donc investir et/ou être exposée :
- Entre 0 et 100% en produits de taux et OPC de produit de taux de signature d’Etat, privée, de toutes qualités de signature, dont 10% maximum en obligations dites « à haut rendement » et/ou en obligations non notées,
- Entre 0 et 100% en actions et OPC de produit d’actions,
- Liquidités à titre accessoire.</t>
  </si>
  <si>
    <t xml:space="preserve">Résultat Information trouvée Pour le fonds Fondations R-co, l’allocation stratégique en français est la suivante : « En vue de réaliser l’objectif de gestion, le FIA Fondations R-co investit en fonction de l’évolution des marchés, en produits de taux ou convertibles de toutes zones géographiques et en OPC de produits de taux ainsi qu’en actions de toutes zones géographiques et en OPC de produits d’actions. Le FIA pourra donc investir et/ou être exposée : Entre 0 et 100% en produits de taux et OPC de produit de taux de signature d’Etat, privée, de toutes qualités de signature, dont 10% maximum en obligations dites « à haut rendement » et/ou en obligations non notées, Entre 0 et 100% en actions et OPC de produit d’actions, Liquidités à titre accessoire. » Détails complémentaires Aucune autre information complémentaire n’est renseignée dans ce champ pour ce fonds en Production.</t>
  </si>
  <si>
    <t xml:space="preserve">Q0939</t>
  </si>
  <si>
    <t xml:space="preserve">Je vérifie aussi le plafond des frais indirects de gestion : quelle est la donnée ?</t>
  </si>
  <si>
    <t xml:space="preserve">Résultat Information trouvée Pour le fonds Fondations R-co, le plafond des frais indirects de gestion renseigné est de 2,00 %. Détails complémentaires Cette valeur correspond au plafond enregistré dans le référentiel Product Info pour ce fonds en statut Production.</t>
  </si>
  <si>
    <t xml:space="preserve">Q0940</t>
  </si>
  <si>
    <t xml:space="preserve">Pour ce produit, termine par l’administrateur du fonds.</t>
  </si>
  <si>
    <t xml:space="preserve">Résultat Information trouvée Pour le fonds Fondations R-co, l’administrateur du fonds est : Caceis Fund Administration Détails complémentaires Cette information est renseignée sur le fonds en statut Production.</t>
  </si>
  <si>
    <t xml:space="preserve">Q0941</t>
  </si>
  <si>
    <t xml:space="preserve">C189</t>
  </si>
  <si>
    <t xml:space="preserve">Je vérifie R-co Conviction High Yield Euro avant d’envoyer une fiche client : la part minimale d’investissements durables déclarée dans l’EET ?</t>
  </si>
  <si>
    <t xml:space="preserve">20</t>
  </si>
  <si>
    <t xml:space="preserve">Résultat Information trouvée Pour le fonds R-co Conviction High Yield Euro, la part minimale d’investissements durables déclarée dans l’EET est de : 20 % Détails complémentaires Cette information correspond au niveau EET « part minimale d’investissements durables déclarée dans l’EET » enregistré pour ce fonds en statut Production.</t>
  </si>
  <si>
    <t xml:space="preserve">Q0942</t>
  </si>
  <si>
    <t xml:space="preserve">Pour ce même produit, le statut de fonds nourricier ?</t>
  </si>
  <si>
    <t xml:space="preserve">Résultat Information trouvée Pour le fonds R-co Conviction High Yield Euro, le statut de fonds nourricier est : Non Détails complémentaires Le fonds n'est donc pas identifié comme un fonds nourricier dans le référentiel Product Info.</t>
  </si>
  <si>
    <t xml:space="preserve">Q0943</t>
  </si>
  <si>
    <t xml:space="preserve">Je change de fonds : sur R-co Strategic Metals and Mining, que dit la fiche pour l’agent de transfert indiqué ?</t>
  </si>
  <si>
    <t xml:space="preserve">Résultat Information trouvée Pour le fonds R-co Strategic Metals and Mining, l’agent de transfert indiqué est : Rothschild &amp; Co Martin Maurel Détails complémentaires Aucune autre information complémentaire relative à l’agent de transfert n’est renseignée dans le résultat consulté.</t>
  </si>
  <si>
    <t xml:space="preserve">Q0944</t>
  </si>
  <si>
    <t xml:space="preserve">Dans la rubrique frais de ce produit, quelle valeur est enregistrée pour le second taux de frais de gestion renseigné au niveau produit ?</t>
  </si>
  <si>
    <t xml:space="preserve">Résultat Information trouvée Pour le fonds R-co Strategic Metals and Mining, aucun montant n’est enregistré pour le second taux de frais de gestion au niveau produit. Détails complémentaires La valeur est vide dans le référentiel Product Info pour ce champ.</t>
  </si>
  <si>
    <t xml:space="preserve">Q0945</t>
  </si>
  <si>
    <t xml:space="preserve">Dernier point sur R-co Conviction High Yield Euro, et non sur le fonds précédent : le premier gérant suppléant ?</t>
  </si>
  <si>
    <t xml:space="preserve">Résultat Information trouvée Pour le fonds R-co Conviction High Yield Euro, le premier gérant suppléant est : LONGEARD Michaël Détails complémentaires Aucune information complémentaire n’a été demandée sur les autres gérants associés au fonds.</t>
  </si>
  <si>
    <t xml:space="preserve">Q0946</t>
  </si>
  <si>
    <t xml:space="preserve">C190</t>
  </si>
  <si>
    <t xml:space="preserve">RMM Invest 16</t>
  </si>
  <si>
    <t xml:space="preserve">Concernant RMM Invest 16, peux-tu retrouver l’objectif de gestion en français dans la fiche ?</t>
  </si>
  <si>
    <t xml:space="preserve">Le Fonds est un FPCI nourricier ayant pour OPC maître le FPCI PAI EUROPE VIII. A ce titre, le Fonds a pour objectif de gestion de suivre la politique et la stratégie d’investissement du FPCI Maître.</t>
  </si>
  <si>
    <t xml:space="preserve">Résultat Information trouvée L’objectif de gestion en français de RMM Invest 16 est : « Le Fonds est un FPCI nourricier ayant pour OPC maître le FPCI PAI EUROPE VIII. A ce titre, le Fonds a pour objectif de gestion de suivre la politique et la stratégie d’investissement du FPCI Maître. » Détails complémentaires Fonds : RMM Invest 16 (statut Production).</t>
  </si>
  <si>
    <t xml:space="preserve">Q0947</t>
  </si>
  <si>
    <t xml:space="preserve">Dans la continuité, la réglementation OPC applicable ?</t>
  </si>
  <si>
    <t xml:space="preserve">Résultat Information trouvée Pour le fonds RMM Invest 16, la réglementation OPC applicable est : FIA (Fonds d’Investissement Alternatif). Détails complémentaires Cette information est renseignée sur le fonds en statut Production.</t>
  </si>
  <si>
    <t xml:space="preserve">Q0948</t>
  </si>
  <si>
    <t xml:space="preserve">HERA</t>
  </si>
  <si>
    <t xml:space="preserve">Autre dossier, HERA : peux-tu vérifier la devise comptable du produit, et non celle d’une part ?</t>
  </si>
  <si>
    <t xml:space="preserve">Résultat Information trouvée Pour le produit HERA en statut Production, la devise comptable du produit est : EUR. Détails complémentaires La vérification a été effectuée sur le produit lui-même (et non sur une part associée). Il existe également une version historisée du produit HERA, qui porte la même devise comptable.</t>
  </si>
  <si>
    <t xml:space="preserve">Q0949</t>
  </si>
  <si>
    <t xml:space="preserve">Je voudrais également la domiciliation du fonds.</t>
  </si>
  <si>
    <t xml:space="preserve">Luxembourg</t>
  </si>
  <si>
    <t xml:space="preserve">Résultat Information trouvée Pour le fonds HERA en statut Production, la domiciliation du fonds est : Luxembourg. Détails complémentaires La devise comptable du produit est EUR et sa domiciliation est Luxembourg.</t>
  </si>
  <si>
    <t xml:space="preserve">Q0950</t>
  </si>
  <si>
    <t xml:space="preserve">Je reviens à RMM Invest 16 : quelle donnée figure sur la part minimale d’investissements durables déclarée dans l’EET ?</t>
  </si>
  <si>
    <t xml:space="preserve">Résultat Information trouvée Pour le fonds RMM Invest 16, la valeur renseignée pour la part minimale d’investissements durables déclarée dans l’EET est de 0 %. Détails complémentaires Cette information est issue du fonds en statut Production.</t>
  </si>
  <si>
    <t xml:space="preserve">Q0951</t>
  </si>
  <si>
    <t xml:space="preserve">C191</t>
  </si>
  <si>
    <t xml:space="preserve">Pour R-co Conviction Subfin, je cherche l’identifiant LEI du produit. Quelle information est enregistrée ?</t>
  </si>
  <si>
    <t xml:space="preserve">969500VPXY2LQDU11A68</t>
  </si>
  <si>
    <t xml:space="preserve">Q0952</t>
  </si>
  <si>
    <t xml:space="preserve">Qu’en est-il de l’année associée aux coûts implicites ex ante sur trois ans ?</t>
  </si>
  <si>
    <t xml:space="preserve">Résultat Aucune information disponible pour cette demande. Je ne trouve pas de donnée enregistrée permettant de restituer l’année associée aux coûts implicites ex ante sur trois ans pour le produit « R-co Conviction Subfin ».</t>
  </si>
  <si>
    <t xml:space="preserve">Q0953</t>
  </si>
  <si>
    <t xml:space="preserve">Peux-tu contrôler l’expertise de gestion de deuxième niveau pour ce dossier ?</t>
  </si>
  <si>
    <t xml:space="preserve">Résultat Aucune information disponible pour cette demande. Je ne parviens pas à retrouver dans les données accessibles l’information correspondant à l’expertise de gestion de deuxième niveau pour le dossier « R-co Conviction Subfin ».</t>
  </si>
  <si>
    <t xml:space="preserve">Q0954</t>
  </si>
  <si>
    <t xml:space="preserve">Et sur la durée de placement recommandée, quelle est la valeur ?</t>
  </si>
  <si>
    <t xml:space="preserve">Résultat Information trouvée Pour le fonds « R-co Conviction Subfin », la durée de placement recommandée enregistrée est : 3 ans Détails complémentaires Cette valeur est celle actuellement renseignée sur le fonds en statut Production.</t>
  </si>
  <si>
    <t xml:space="preserve">Q0955</t>
  </si>
  <si>
    <t xml:space="preserve">Pour finir, indique-moi le code AMF du produit.</t>
  </si>
  <si>
    <t xml:space="preserve">FDS71614</t>
  </si>
  <si>
    <t xml:space="preserve">Résultat Information trouvée Pour le fonds « R-co Conviction Subfin », le code AMF enregistré est : FDS71614 Détails complémentaires Aucune autre valeur de code AMF n’est enregistrée pour ce fonds en statut Production.</t>
  </si>
  <si>
    <t xml:space="preserve">Q0956</t>
  </si>
  <si>
    <t xml:space="preserve">C192</t>
  </si>
  <si>
    <t xml:space="preserve">RMM MultiStratégies 1</t>
  </si>
  <si>
    <t xml:space="preserve">Pour le dossier RMM MultiStratégies 1, peux-tu me confirmer l’année associée aux coûts explicites ex ante sur trois ans ?</t>
  </si>
  <si>
    <t xml:space="preserve">Résultat Pour le fonds/produit « RMM MultiStratégies 1 », l’année associée aux coûts explicites ex ante sur trois ans est renseignée à : 0 Valeur trouvée sur l’enregistrement « RMM MultiStratégies 1 » : 0 Détails complémentaires Dans le référentiel, le produit « RMM MultiStratégies 1-bis » porte quant à lui l’année 2023 pour ce même indicateur. Pour « RMM MultiStratégies 1 », la valeur actuellement enregistrée est bien 0.</t>
  </si>
  <si>
    <t xml:space="preserve">Q0957</t>
  </si>
  <si>
    <t xml:space="preserve">Dans la rubrique gestion de ce produit, quelle valeur est enregistrée pour le gérant principal désigné ?</t>
  </si>
  <si>
    <t xml:space="preserve">PUECH Marie-Clémence</t>
  </si>
  <si>
    <t xml:space="preserve">Résultat Pour le produit « RMM MultiStratégies 1 », le gérant principal désigné est : Marie-Clémence PUECH Détails complémentaires Cette valeur est celle enregistrée dans la rubrique de gestion du produit pour le gérant principal.</t>
  </si>
  <si>
    <t xml:space="preserve">Q0958</t>
  </si>
  <si>
    <t xml:space="preserve">Monaco Ethique</t>
  </si>
  <si>
    <t xml:space="preserve">Pour Monaco Ethique cette fois, que trouve-t-on concernant les frais de gestion maximum renseignés au niveau produit, sans les attribuer à une part ?</t>
  </si>
  <si>
    <t xml:space="preserve">Résultat Pour le produit « Monaco Ethique » en statut Production, aucune valeur n’est renseignée au niveau produit pour le champ « frais de gestion maximum ». La donnée est vide dans le référentiel. Détails complémentaires Une version historisée du produit existe également, mais aucune valeur de frais de gestion maximum n’est retournée pour ce champ lors de la consultation du produit. Les frais de gestion maximum peuvent en revanche être renseignés au niveau des parts, ce qui constitue un niveau différent de celui du produit.</t>
  </si>
  <si>
    <t xml:space="preserve">Q0959</t>
  </si>
  <si>
    <t xml:space="preserve">Pour finaliser la réponse client, précise l’administrateur du fonds.</t>
  </si>
  <si>
    <t xml:space="preserve">Résultat Pour le fonds « Monaco Ethique » (Production), l’administrateur du fonds est : Caceis Fund Administration Détails complémentaires Au niveau produit, aucun frais de gestion maximum n’est renseigné. L’administrateur enregistré pour ce fonds est bien Caceis Fund Administration.</t>
  </si>
  <si>
    <t xml:space="preserve">Q0960</t>
  </si>
  <si>
    <t xml:space="preserve">Dernier point sur RMM MultiStratégies 1, et non sur le fonds précédent : la société de gestion indiquée ?</t>
  </si>
  <si>
    <t xml:space="preserve">Résultat Pour le fonds « RMM MultiStratégies 1 », la société de gestion indiquée est : Rothschild &amp; Co Asset Management Détails complémentaires Cette société est enregistrée comme société de gestion du produit en statut Production.</t>
  </si>
  <si>
    <t xml:space="preserve">Q0961</t>
  </si>
  <si>
    <t xml:space="preserve">C193</t>
  </si>
  <si>
    <t xml:space="preserve">Je prépare une DDQ sur R-co Conviction Credit SD Euro. Quelle est l’information disponible concernant l’année des coûts explicites ex post EMT ?</t>
  </si>
  <si>
    <t xml:space="preserve">Résultat Pour le fonds R-co Conviction Credit SD Euro, l’année des coûts explicites ex post EMT renseignée dans le référentiel est : 2025. Détails complémentaires Cette information correspond au champ métier « année des coûts explicites ex post EMT » du fonds. La valeur enregistrée est 2025.</t>
  </si>
  <si>
    <t xml:space="preserve">Q0962</t>
  </si>
  <si>
    <t xml:space="preserve">J’ai aussi besoin de la moyenne triennale des coûts de transaction explicites ex ante.</t>
  </si>
  <si>
    <t xml:space="preserve">Résultat Pour le fonds R-co Conviction Credit SD Euro, la valeur disponible pour les coûts de transaction explicites ex ante est de 0,00 %, avec une année de référence 2025. Détails complémentaires Aucune série historique sur trois années n’est disponible dans les données consultées. La seule valeur enregistrée pour les coûts de transaction explicites ex ante est 0,00 % pour l’année 2025. Il n’est donc pas possible de calculer une moyenne triennale à partir des informations actuellement présentes dans le référentiel.</t>
  </si>
  <si>
    <t xml:space="preserve">Q0963</t>
  </si>
  <si>
    <t xml:space="preserve">Sur ce point, indique-moi la société de gestion indiquée.</t>
  </si>
  <si>
    <t xml:space="preserve">Résultat La société de gestion indiquée pour le fonds R-co Conviction Credit SD Euro est : Rothschild &amp; Co Asset Management. Détails complémentaires Cette société est enregistrée comme société de gestion du fonds dans le référentiel Product Info.</t>
  </si>
  <si>
    <t xml:space="preserve">Q0964</t>
  </si>
  <si>
    <t xml:space="preserve">Dans la rubrique frais de ce produit, quelle valeur est enregistrée pour la mention relative au high water mark ?</t>
  </si>
  <si>
    <t xml:space="preserve">Résultat Pour le fonds R-co Conviction Credit SD Euro, la valeur enregistrée pour la mention relative au high water mark est : Pas de high water mark Détails complémentaires Aucun mécanisme de high water mark n'est renseigné pour ce fonds dans le référentiel.</t>
  </si>
  <si>
    <t xml:space="preserve">Q0965</t>
  </si>
  <si>
    <t xml:space="preserve">Avant de conclure, peux-tu vérifier l’indicateur de frais de gestion spécifiques, sans l’interpréter comme un taux ?</t>
  </si>
  <si>
    <t xml:space="preserve">Résultat Pour le fonds R-co Conviction Credit SD Euro, l’indicateur « frais de gestion spécifiques » est renseigné à : Non Détails complémentaires Il s’agit d’un indicateur booléen (Oui/Non) et non d’un taux. La valeur enregistrée dans le référentiel est « Non ».</t>
  </si>
  <si>
    <t xml:space="preserve">Q0966</t>
  </si>
  <si>
    <t xml:space="preserve">C194</t>
  </si>
  <si>
    <t xml:space="preserve">Pour France D, quelle valeur est renseignée pour la devise comptable du produit, et non celle d’une part ?</t>
  </si>
  <si>
    <t xml:space="preserve">Résultat Pour le produit « France D » (et non la part), la devise comptable renseignée est : EUR. Détails complémentaires Le produit « France D » est rattaché à la devise EUR comme devise comptable du fonds.</t>
  </si>
  <si>
    <t xml:space="preserve">Q0967</t>
  </si>
  <si>
    <t xml:space="preserve">Toujours pour ce produit : l’allocation stratégique en français ?</t>
  </si>
  <si>
    <t xml:space="preserve">En vue de réaliser l’objectif de gestion, le FPS est investi dans les FPS « France D Actions 1 » et « France D Actions 2 » avec la possibilité d’investir en OPC monétaires en fonction des conditions de marché.
Le FPS pourra être indirectement exposé (via les OPC sous-jacents) au marché des actions jusqu’à 100% de son actif net.
L’exposition indirecte du portefeuille du FPS (via les OPC sous-jacents) au risque de change, pour le porteur investissant  en euro et pour des devises autres que l’Euro, est limitée à 30% de son actif net.</t>
  </si>
  <si>
    <t xml:space="preserve">Résultat Allocation stratégique en français du produit « France D » : « En vue de réaliser l’objectif de gestion, le FPS est investi dans les FPS "France D Actions 1" et "France D Actions 2" avec la possibilité d’investir en OPC monétaires en fonction des conditions de marché. Le FPS pourra être indirectement exposé (via les OPC sous-jacents) au marché des actions jusqu’à 100% de son actif net. L’exposition indirecte du portefeuille du FPS (via les OPC sous-jacents) au risque de change, pour le porteur investissant en euro et pour des devises autres que l’Euro, est limitée à 30% de son actif net. »</t>
  </si>
  <si>
    <t xml:space="preserve">texte long (95% des mots)</t>
  </si>
  <si>
    <t xml:space="preserve">Q0968</t>
  </si>
  <si>
    <t xml:space="preserve">R-co Global Opportunities Master SP</t>
  </si>
  <si>
    <t xml:space="preserve">Autre dossier, R-co Global Opportunities Master SP : peux-tu vérifier l’administrateur du fonds ?</t>
  </si>
  <si>
    <t xml:space="preserve">Résultat Pour le fonds « R-co Global Opportunities Master SP », l’administrateur du fonds est : BNP Paribas SA. Détails complémentaires Aucune autre information complémentaire pertinente n’est requise pour cette demande.</t>
  </si>
  <si>
    <t xml:space="preserve">Q0969</t>
  </si>
  <si>
    <t xml:space="preserve">Je passe à la rubrique suivante : les frais de gestion effectifs renseignés au niveau produit ?</t>
  </si>
  <si>
    <t xml:space="preserve">Résultat Pour le fonds « R-co Global Opportunities Master SP », aucun frais de gestion effectif n’est renseigné au niveau produit. Détails complémentaires Le champ correspondant aux frais de gestion effectifs du produit est vide pour ce fonds.</t>
  </si>
  <si>
    <t xml:space="preserve">Q0970</t>
  </si>
  <si>
    <t xml:space="preserve">Reprenons France D pour terminer : peux-tu vérifier la domiciliation du fonds ?</t>
  </si>
  <si>
    <t xml:space="preserve">Résultat La domiciliation du fonds « France D » est : France. Détails complémentaires Le pays de domiciliation enregistré pour ce fonds est la France.</t>
  </si>
  <si>
    <t xml:space="preserve">Q0971</t>
  </si>
  <si>
    <t xml:space="preserve">C195</t>
  </si>
  <si>
    <t xml:space="preserve">Dans la documentation produit de R-co Valor Bond Opportunities, que dois-je reprendre pour le premier gérant suppléant ?</t>
  </si>
  <si>
    <t xml:space="preserve">Résultat Pour le fonds/produit en statut Production « R-co Valor Bond Opportunities », le premier gérant suppléant est : Julien BOY Détails complémentaires C’est le gérant renseigné dans le champ correspondant au premier gérant suppléant du produit en Production.</t>
  </si>
  <si>
    <t xml:space="preserve">Q0972</t>
  </si>
  <si>
    <t xml:space="preserve">Même fonds, autre point : la moyenne triennale des coûts de transaction implicites ex ante ?</t>
  </si>
  <si>
    <t xml:space="preserve">0.176</t>
  </si>
  <si>
    <t xml:space="preserve">Résultat Pour le fonds « R-co Valor Bond Opportunities » en Production, la moyenne triennale des coûts de transaction implicites ex ante est de : 0,176 % Détails complémentaires Cette valeur correspond à l’indicateur des coûts de transaction implicites ex ante enregistré pour le fonds.</t>
  </si>
  <si>
    <t xml:space="preserve">Q0973</t>
  </si>
  <si>
    <t xml:space="preserve">Passons à R-co Target 2032 IG. Quelle information as-tu pour la date d’échéance indiquée pour le produit ?</t>
  </si>
  <si>
    <t xml:space="preserve">2032-12-30 23:00:00</t>
  </si>
  <si>
    <t xml:space="preserve">Résultat Pour le fonds « R-co Target 2032 IG » en Production, la date d’échéance indiquée est : 31/12/2032 Détails complémentaires Cette date correspond à la date d’échéance enregistrée pour le produit.</t>
  </si>
  <si>
    <t xml:space="preserve">Q0974</t>
  </si>
  <si>
    <t xml:space="preserve">Qu’indique Product Info sur le plafond des frais indirects de gestion ?</t>
  </si>
  <si>
    <t xml:space="preserve">Résultat Pour le fonds « R-co Target 2032 IG » en Production, le plafond des frais indirects de gestion est : 0,00 % Détails complémentaires La valeur enregistrée dans Product Info pour ce plafond est nulle.</t>
  </si>
  <si>
    <t xml:space="preserve">Q0975</t>
  </si>
  <si>
    <t xml:space="preserve">Dernier point sur R-co Valor Bond Opportunities, et non sur le fonds précédent : l’indicateur de rétrocessions sur OPC de tête ?</t>
  </si>
  <si>
    <t xml:space="preserve">Résultat Pour le fonds « R-co Valor Bond Opportunities » en Production, l’indicateur de rétrocessions sur OPC de tête est : Non Détails complémentaires Le fonds est renseigné comme ne percevant pas de rétrocessions sur OPC de tête.</t>
  </si>
  <si>
    <t xml:space="preserve">Q0976</t>
  </si>
  <si>
    <t xml:space="preserve">C196</t>
  </si>
  <si>
    <t xml:space="preserve">Sur France D Actions 1, j’ai besoin de l’objectif de gestion en français pour une réponse RFI.</t>
  </si>
  <si>
    <t xml:space="preserve">Le fonds a pour objectif de réaliser sur horizon de placement de 6 à 7 ans une performance nette annualisée de 6% en investissant dans des actions internationales (70% européennes / 30% américaines).
Les sociétés seront sélectionnées sur la base d’une analyse alliant rentabilité financière et respect de critères extra-financiers (Environnement, Social, Gouvernance, ESG).</t>
  </si>
  <si>
    <t xml:space="preserve">Résultat Information trouvée Le fonds France D Actions 1 a pour objectif de réaliser sur horizon de placement de 6 à 7 ans une performance nette annualisée de 6 % en investissant dans des actions internationales (70 % européennes / 30 % américaines). Les sociétés sont sélectionnées sur la base d’une analyse alliant rentabilité financière et respect de critères extra-financiers (Environnement, Social, Gouvernance – ESG).</t>
  </si>
  <si>
    <t xml:space="preserve">texte long (97% des mots)</t>
  </si>
  <si>
    <t xml:space="preserve">Q0977</t>
  </si>
  <si>
    <t xml:space="preserve">Pour la ligne frais du dossier France D Actions 1, peux-tu retrouver le plafond des frais indirects de gestion ?</t>
  </si>
  <si>
    <t xml:space="preserve">Résultat Information trouvée Pour le fonds France D Actions 1, le plafond des frais indirects de gestion est de 1,00 %.</t>
  </si>
  <si>
    <t xml:space="preserve">Q0978</t>
  </si>
  <si>
    <t xml:space="preserve">Dans la rubrique esg de ce produit, quelle valeur est enregistrée pour la part minimale présentant des caractéristiques environnementales ou sociales dans l’EET ?</t>
  </si>
  <si>
    <t xml:space="preserve">Résultat Information trouvée Pour France D Actions 1, la valeur enregistrée pour la part minimale présentant des caractéristiques environnementales ou sociales dans l’EET est de 50 %.</t>
  </si>
  <si>
    <t xml:space="preserve">Q0979</t>
  </si>
  <si>
    <t xml:space="preserve">Je vérifie aussi l’allocation stratégique en français : quelle est la donnée ?</t>
  </si>
  <si>
    <t xml:space="preserve">En vue de réaliser l’objectif de gestion, le FPS est en permanence exposé à hauteur de 90% au moins dans des actions émises sur un ou plusieurs marchés européens et américains. Pour le solde le fonds pourra investir dans des OPC monétaires et/ou en liquidité.</t>
  </si>
  <si>
    <t xml:space="preserve">Résultat Information trouvée Allocation stratégique (français) de France D Actions 1 : « En vue de réaliser l’objectif de gestion, le FPS est en permanence exposé à hauteur de 90 % au moins dans des actions émises sur un ou plusieurs marchés européens et américains. Pour le solde, le fonds pourra investir dans des OPC monétaires et/ou en liquidité. »</t>
  </si>
  <si>
    <t xml:space="preserve">Q0980</t>
  </si>
  <si>
    <t xml:space="preserve">Pour ce produit, termine par la devise comptable du produit, et non celle d’une part.</t>
  </si>
  <si>
    <t xml:space="preserve">Résultat Information trouvée La devise comptable du produit France D Actions 1 est : EUR.</t>
  </si>
  <si>
    <t xml:space="preserve">Q0981</t>
  </si>
  <si>
    <t xml:space="preserve">C197</t>
  </si>
  <si>
    <t xml:space="preserve">Je vérifie R-co Conviction Equity Value Euro avant d’envoyer une fiche client : l’année des coûts implicites ex post EMT ?</t>
  </si>
  <si>
    <t xml:space="preserve">Résultat Information trouvée Pour le fonds/part « R-co Conviction Equity Value Euro », l’année des coûts de transaction ex post EMT est : 2025. Détails complémentaires Cette information est renseignée sur l’enregistrement en statut Production.</t>
  </si>
  <si>
    <t xml:space="preserve">Q0982</t>
  </si>
  <si>
    <t xml:space="preserve">Pour ce même produit, l’indicateur de tarification all-in ?</t>
  </si>
  <si>
    <t xml:space="preserve">Résultat Information trouvée Pour « R-co Conviction Equity Value Euro », l’indicateur de tarification all-in est : Oui. Détails complémentaires Le produit est marqué comme étant en tarification all-in.</t>
  </si>
  <si>
    <t xml:space="preserve">Q0983</t>
  </si>
  <si>
    <t xml:space="preserve">Je change de fonds : sur R-co Valor Equity, que dit la fiche pour la thématique ESG principale déclarée dans l’EET ?</t>
  </si>
  <si>
    <t xml:space="preserve">Résultat Information trouvée Pour « R-co Valor Equity », aucune thématique ESG principale déclarée dans l’EET n’est renseignée dans les données disponibles. Détails complémentaires L’enregistrement du fonds en Production a bien été identifié, mais aucun libellé de thématique ESG principale EET n’est renseigné pour ce fonds.</t>
  </si>
  <si>
    <t xml:space="preserve">Q0984</t>
  </si>
  <si>
    <t xml:space="preserve">Passe maintenant à la part minimale d’investissements durables déclarée dans l’EET.</t>
  </si>
  <si>
    <t xml:space="preserve">Résultat Information trouvée Pour « R-co Valor Equity », la part minimale d’investissements durables déclarée dans l’EET est de 30 %. Détails complémentaires Cette valeur correspond au seuil minimal d’investissements durables renseigné dans l’EET pour ce fonds en Production.</t>
  </si>
  <si>
    <t xml:space="preserve">Q0985</t>
  </si>
  <si>
    <t xml:space="preserve">Reprenons R-co Conviction Equity Value Euro pour terminer : peux-tu vérifier l’objectif de gestion en français ?</t>
  </si>
  <si>
    <t xml:space="preserve">Le compartiment R-co Conviction Equity Value Euro a pour objectif de gestion d’obtenir une performance, nette de frais, supérieure à l’indice EURO STOXX®, en étant exposé en permanence à hauteur de 70% minimum de son actif net aux actions émises sur un ou plusieurs marchés de la zone euro et éventuellement des pays de la zone Europe de l’est dans la limite de 10% maximum de son actif net.</t>
  </si>
  <si>
    <t xml:space="preserve">Résultat Information trouvée Pour « R-co Conviction Equity Value Euro », l’objectif de gestion en français est : « Le compartiment R-co Conviction Equity Value Euro a pour objectif de gestion d’obtenir une performance, nette de frais, supérieure à l’indice EURO STOXX®, en étant exposé en permanence à hauteur de 70% minimum de son actif net aux actions émises sur un ou plusieurs marchés de la zone euro et éventuellement des pays de la zone Europe de l’est dans la limite de 10% maximum de son actif net. » Détails complémentaires L’objectif de gestion est renseigné en français sur la fiche du produit en Production.</t>
  </si>
  <si>
    <t xml:space="preserve">texte long (92% des mots)</t>
  </si>
  <si>
    <t xml:space="preserve">Q0986</t>
  </si>
  <si>
    <t xml:space="preserve">C198</t>
  </si>
  <si>
    <t xml:space="preserve">Concernant RMM Invest 19 S.L.P., peux-tu retrouver l’indicateur de rétrocessions sur OPC de tête dans la fiche ?</t>
  </si>
  <si>
    <t xml:space="preserve">Résultat Pour le fonds « RMM Invest 19 S.L.P. », l’indicateur « rétrocessions sur OPC de tête » est renseigné à : Non Cette information est présente dans la fiche du fonds. Détails complémentaires Le fonds n’est donc pas indiqué comme percevant des rétrocessions sur OPC de tête.</t>
  </si>
  <si>
    <t xml:space="preserve">Q0987</t>
  </si>
  <si>
    <t xml:space="preserve">Dans la continuité, la part minimale d’investissements durables sociaux dans l’EET ?</t>
  </si>
  <si>
    <t xml:space="preserve">Résultat Pour le fonds « RMM Invest 19 S.L.P. », la part minimale d’investissements durables déclarée dans l’EET est de : 0 % Détails complémentaires Les indicateurs EET associés aux investissements durables sociaux sont également renseignés à 0 %.</t>
  </si>
  <si>
    <t xml:space="preserve">Q0988</t>
  </si>
  <si>
    <t xml:space="preserve">Côté produit, que mentionne-t-on pour la part minimale d’investissements durables environnementaux dans l’EET ?</t>
  </si>
  <si>
    <t xml:space="preserve">Résultat Pour le fonds « RMM Invest 19 S.L.P. », la part minimale d’investissements durables environnementaux dans l’EET est de : 0 % Détails complémentaires Les différents indicateurs EET relatifs aux investissements durables du fonds sont renseignés à 0 %.</t>
  </si>
  <si>
    <t xml:space="preserve">Q0989</t>
  </si>
  <si>
    <t xml:space="preserve">Je voudrais également l’indicateur de tarification all-in.</t>
  </si>
  <si>
    <t xml:space="preserve">Résultat Pour le fonds « RMM Invest 19 S.L.P. », l’indicateur de tarification all-in est : Oui Détails complémentaires La fiche produit indique que la tarification all-in est activée pour ce fonds.</t>
  </si>
  <si>
    <t xml:space="preserve">Q0990</t>
  </si>
  <si>
    <t xml:space="preserve">Une dernière donnée : la mention relative au high water mark ?</t>
  </si>
  <si>
    <t xml:space="preserve">Résultat Pour le fonds « RMM Invest 19 S.L.P. », la mention relative au high water mark est : Pas de high water mark Détails complémentaires Aucun mécanisme de high water mark n’est renseigné dans la fiche du fonds.</t>
  </si>
  <si>
    <t xml:space="preserve">Q0991</t>
  </si>
  <si>
    <t xml:space="preserve">C199</t>
  </si>
  <si>
    <t xml:space="preserve">Pour R-co Conviction Credit 12M Euro, je cherche l’indicateur de frais de gestion spécifiques, sans l’interpréter comme un taux. Quelle information est enregistrée ?</t>
  </si>
  <si>
    <t xml:space="preserve">Résultat Pour le fonds/part en statut Production « R-co Conviction Credit 12M Euro », l’information enregistrée pour l’indicateur de frais de gestion spécifiques est : Frais de gestion spécifiques : Non Il s’agit de la valeur enregistrée pour l’indicateur lui-même, et non d’un taux.</t>
  </si>
  <si>
    <t xml:space="preserve">Q0992</t>
  </si>
  <si>
    <t xml:space="preserve">Qu’en est-il de l’indicateur de thématique ESG existante dans l’EET ?</t>
  </si>
  <si>
    <t xml:space="preserve">Résultat Pour « R-co Conviction Credit 12M Euro » en statut Production, aucune valeur n’est enregistrée pour l’indicateur de thématique ESG existante dans l’EET. Détails complémentaires Une information ESG est néanmoins renseignée sur le fonds : Catégorie SFDR : Article 8 Concernant l’indicateur de thématique ESG existante dans l’EET lui-même, aucune valeur n’a été retrouvée dans les données enregistrées pour ce fonds.</t>
  </si>
  <si>
    <t xml:space="preserve">Q0993</t>
  </si>
  <si>
    <t xml:space="preserve">Passons à R-co Gold Mining. Quelle information as-tu pour les coûts de transaction explicites ex post EMT ?</t>
  </si>
  <si>
    <t xml:space="preserve">0.062</t>
  </si>
  <si>
    <t xml:space="preserve">Résultat Pour « R-co Gold Mining » en statut Production, la valeur enregistrée pour les coûts de transaction explicites ex post EMT est : 0,062 Détails complémentaires Cette réponse restitue la valeur telle qu’elle est enregistrée dans le référentiel, sans interprétation ni conversion.</t>
  </si>
  <si>
    <t xml:space="preserve">Q0994</t>
  </si>
  <si>
    <t xml:space="preserve">Et sur les frais de gestion effectifs renseignés au niveau produit, quelle est la valeur ?</t>
  </si>
  <si>
    <t xml:space="preserve">Résultat Pour « R-co Gold Mining » en statut Production, aucune valeur n’est renseignée au niveau produit pour les frais de gestion effectifs. Détails complémentaires Le champ correspondant aux frais de gestion effectifs est présent dans le référentiel, mais aucune donnée n’est enregistrée pour ce fonds en Production.</t>
  </si>
  <si>
    <t xml:space="preserve">Q0995</t>
  </si>
  <si>
    <t xml:space="preserve">Je reviens à R-co Conviction Credit 12M Euro : quelle donnée figure sur l’année des coûts explicites ex post EMT ?</t>
  </si>
  <si>
    <t xml:space="preserve">Résultat Pour « R-co Conviction Credit 12M Euro » en statut Production, la valeur enregistrée pour l’année des coûts explicites ex post EMT est : 2025 Détails complémentaires Cette valeur correspond à l’année enregistrée dans le référentiel pour cet indicateur.</t>
  </si>
  <si>
    <t xml:space="preserve">Q0996</t>
  </si>
  <si>
    <t xml:space="preserve">C200</t>
  </si>
  <si>
    <t xml:space="preserve">RMM Invest 20 S.L.P</t>
  </si>
  <si>
    <t xml:space="preserve">Pour le dossier RMM Invest 20 S.L.P, peux-tu me confirmer l’objectif de gestion en français ?</t>
  </si>
  <si>
    <t xml:space="preserve">Le Fonds a pour objectif de souscrire aux parts de commanditaire  de catégorie A1 émises par son Fonds Maître, ARDIAN  Expansion Fund VI S.L.P, géré par Ardian France.</t>
  </si>
  <si>
    <t xml:space="preserve">Résultat Information trouvée Pour le dossier RMM Invest 20 S.L.P, l’objectif de gestion en français est : « Le Fonds a pour objectif de souscrire aux parts de commanditaire de catégorie A1 émises par son Fonds Maître, ARDIAN Expansion Fund VI S.L.P, géré par Ardian France. » Détails complémentaires Fonds : RMM Invest 20 S.L.P Statut : Production Objectif de gestion (FR) : voir texte ci-dessus.</t>
  </si>
  <si>
    <t xml:space="preserve">Q0997</t>
  </si>
  <si>
    <t xml:space="preserve">Pour la ligne gestion du dossier RMM Invest 20 S.L.P, peux-tu retrouver le gérant principal désigné ?</t>
  </si>
  <si>
    <t xml:space="preserve">Résultat Information trouvée Pour le dossier RMM Invest 20 S.L.P, le gérant principal désigné est : Marie-Clémence PUECH Détails complémentaires Fonds : RMM Invest 20 S.L.P Statut : Production Gérant principal : Marie-Clémence PUECH</t>
  </si>
  <si>
    <t xml:space="preserve">Q0998</t>
  </si>
  <si>
    <t xml:space="preserve">R-co OPAL 4Change Global Trends</t>
  </si>
  <si>
    <t xml:space="preserve">Pour R-co OPAL 4Change Global Trends cette fois, que trouve-t-on concernant les coûts de transaction implicites ex post EMT ?</t>
  </si>
  <si>
    <t xml:space="preserve">0.005</t>
  </si>
  <si>
    <t xml:space="preserve">Résultat Information trouvée Pour le fonds R-co OPAL 4Change Global Trends, la valeur renseignée pour les coûts de transaction implicites ex post EMT est : 0,112 % Détails complémentaires Fonds : R-co OPAL 4Change Global Trends Statut : Production Coûts de transaction implicites ex post EMT : 0,112 %</t>
  </si>
  <si>
    <t xml:space="preserve">Q0999</t>
  </si>
  <si>
    <t xml:space="preserve">Pour finaliser la réponse client, précise le plafond des frais indirects de rachat, distinct d’un droit de sortie de part.</t>
  </si>
  <si>
    <t xml:space="preserve">Résultat Information trouvée Pour le fonds R-co OPAL 4Change Global Trends, le plafond des frais indirects de rachat est de : 1,00 % Détails complémentaires Fonds : R-co OPAL 4Change Global Trends Statut : Production Plafond des frais indirects de rachat : 1,00 % Cette information correspond au plafond des frais indirects de rachat et est distincte d’un éventuel droit de sortie appliqué à la part.</t>
  </si>
  <si>
    <t xml:space="preserve">Q1000</t>
  </si>
  <si>
    <t xml:space="preserve">Reprenons RMM Invest 20 S.L.P pour terminer : peux-tu vérifier la part minimale d’investissements durables déclarée dans l’EET ?</t>
  </si>
  <si>
    <t xml:space="preserve">Résultat Information trouvée Pour le fonds RMM Invest 20 S.L.P, la part minimale d’investissements durables déclarée dans l’EET est de : 0 % Détails complémentaires Fonds : RMM Invest 20 S.L.P Statut : Production Part minimale d’investissements durables déclarée dans l’EET : 0 %</t>
  </si>
  <si>
    <t xml:space="preserve">Q1001</t>
  </si>
  <si>
    <t xml:space="preserve">C201</t>
  </si>
  <si>
    <t xml:space="preserve">Je prépare une DDQ sur R-co Core Equity Europe. Quelle est l’information disponible concernant l’année associée aux coûts explicites ex ante sur trois ans ?</t>
  </si>
  <si>
    <t xml:space="preserve">Résultat Pour le fonds R-co Core Equity Euro en statut Production, l’information disponible concernant l’« année associée aux coûts explicites ex ante » est : Année : 2025 Détails complémentaires Le référentiel contient un champ dédié à l’« année des coûts explicites ex ante ». Pour ce fonds, la valeur renseignée est 2025. Je n’ai pas trouvé de fonds en Production nommé exactement « R-co Core Equity Europe » ; le fonds correspondant présent dans le référentiel est « R-co Core Equity Euro ».</t>
  </si>
  <si>
    <t xml:space="preserve">Q1002</t>
  </si>
  <si>
    <t xml:space="preserve">J’ai aussi besoin de l’année associée aux coûts implicites ex ante sur trois ans.</t>
  </si>
  <si>
    <t xml:space="preserve">Résultat Pour le fonds R-co Core Equity Euro en statut Production, l’année associée aux coûts implicites ex ante sur trois ans est : 2025 Détails complémentaires L’année associée aux coûts explicites ex ante sur trois ans et l’année associée aux coûts implicites ex ante sur trois ans sont toutes deux renseignées à 2025 pour ce fonds.</t>
  </si>
  <si>
    <t xml:space="preserve">Q1003</t>
  </si>
  <si>
    <t xml:space="preserve">Sur ce point, indique-moi l’indicateur d’indice ESG de référence dans l’EET, sans identifier un indice de part.</t>
  </si>
  <si>
    <t xml:space="preserve">Résultat Pour le fonds R-co Core Equity Euro, l’indicateur d’indice ESG de référence dans l’EET est : STOXX EURO STOXX TOTAL MARKET Price Return EUR Code indice : BKXE Index Détails complémentaires Cet indice est renseigné au niveau du fonds comme indice ESG de référence dans l’EET et ne correspond pas à un indice spécifique de part.</t>
  </si>
  <si>
    <t xml:space="preserve">Q1004</t>
  </si>
  <si>
    <t xml:space="preserve">Autre rubrique du même dossier : l’information renseignée dans le champ Article 29, sans déduire une conformité ?</t>
  </si>
  <si>
    <t xml:space="preserve">Résultat Pour le fonds R-co Core Equity Euro, la valeur renseignée dans le champ Article 29 est : Gestion directe – NZAMi Détails complémentaires Il s’agit de la valeur enregistrée dans le référentiel. Aucune interprétation ou conclusion de conformité n’en est déduite.</t>
  </si>
  <si>
    <t xml:space="preserve">Q1005</t>
  </si>
  <si>
    <t xml:space="preserve">Avant de conclure, peux-tu vérifier les coûts de transaction implicites ex post EMT ?</t>
  </si>
  <si>
    <t xml:space="preserve">0.126</t>
  </si>
  <si>
    <t xml:space="preserve">Résultat Pour le fonds R-co Core Equity Euro, la valeur renseignée pour les coûts de transaction implicites ex post EMT est : 0,8360 Détails complémentaires Cette valeur est celle enregistrée dans le référentiel pour le fonds en statut Production. Aucune autre information complémentaire n’est renseignée dans le résultat consulté.</t>
  </si>
  <si>
    <t xml:space="preserve">Q1006</t>
  </si>
  <si>
    <t xml:space="preserve">C202</t>
  </si>
  <si>
    <t xml:space="preserve">Saint Hubert</t>
  </si>
  <si>
    <t xml:space="preserve">Pour Saint Hubert, quelle valeur est renseignée pour le plafond des frais indirects de souscription, distinct d’un droit d’entrée de part ?</t>
  </si>
  <si>
    <t xml:space="preserve">Résultat Pour le fonds Saint Hubert en statut Production, la valeur renseignée pour le plafond des frais indirects de souscription (distinct d’un droit d’entrée de part) est de 0 %. Détails complémentaires La donnée trouvée sur le fonds Saint Hubert (statut Production) indique une valeur de 0,0000000000, soit 0 %.</t>
  </si>
  <si>
    <t xml:space="preserve">Q1007</t>
  </si>
  <si>
    <t xml:space="preserve">Toujours pour ce produit : la société de gestion indiquée ?</t>
  </si>
  <si>
    <t xml:space="preserve">Résultat Pour le produit Saint Hubert en statut Production, la société de gestion indiquée est : Rothschild &amp; Co Asset Management.</t>
  </si>
  <si>
    <t xml:space="preserve">Q1008</t>
  </si>
  <si>
    <t xml:space="preserve">R-co Valor Bond Relative Value</t>
  </si>
  <si>
    <t xml:space="preserve">Autre dossier, R-co Valor Bond Relative Value : peux-tu vérifier les frais de gestion maximum renseignés au niveau produit, sans les attribuer à une part ?</t>
  </si>
  <si>
    <t xml:space="preserve">Résultat Pour le produit R-co Valor Bond Relative Value en statut Production, aucune valeur n’est renseignée au niveau produit pour les frais de gestion maximum. Détails complémentaires La donnée « frais de gestion maximum » est vide sur l’enregistrement produit consulté. Aucune valeur n’a été retournée pour ce champ au niveau fonds (hors parts).</t>
  </si>
  <si>
    <t xml:space="preserve">Q1009</t>
  </si>
  <si>
    <t xml:space="preserve">Je passe à la rubrique suivante : l’année des coûts implicites ex post EMT ?</t>
  </si>
  <si>
    <t xml:space="preserve">Résultat Pour le produit R-co Valor Bond Relative Value en statut Production, l’année renseignée pour les coûts de transaction ex post EMT est 2025. Détails complémentaires La valeur enregistrée au niveau produit est : 2025.</t>
  </si>
  <si>
    <t xml:space="preserve">Q1010</t>
  </si>
  <si>
    <t xml:space="preserve">Je reviens à Saint Hubert : quelle donnée figure sur l’indicateur de disponibilité de l’EET pour le fonds ?</t>
  </si>
  <si>
    <t xml:space="preserve">Résultat Pour le fonds Saint Hubert en statut Production, l’indicateur de disponibilité de l’EET est renseigné à : Oui. Détails complémentaires Le fonds est marqué comme disposant d’un EET disponible.</t>
  </si>
  <si>
    <t xml:space="preserve">Q1011</t>
  </si>
  <si>
    <t xml:space="preserve">C203</t>
  </si>
  <si>
    <t xml:space="preserve">Dans la documentation produit de R-co Thematic Real Estate, que dois-je reprendre pour les coûts de transaction explicites ex post EMT ?</t>
  </si>
  <si>
    <t xml:space="preserve">0.345</t>
  </si>
  <si>
    <t xml:space="preserve">Je ne trouve pas d’information exploitable sur le fonds « R-co Thematic Real Estate » via les données actuellement accessibles. Aucune information disponible pour cette demande.</t>
  </si>
  <si>
    <t xml:space="preserve">Q1012</t>
  </si>
  <si>
    <t xml:space="preserve">Même fonds, autre point : la méthode de calcul de l’exposition globale ?</t>
  </si>
  <si>
    <t xml:space="preserve">Je ne trouve pas de donnée produit accessible pour le fonds « R-co Thematic Real Estate » permettant d’identifier la méthode de calcul de l’exposition globale. Aucune information disponible pour cette demande.</t>
  </si>
  <si>
    <t xml:space="preserve">Q1013</t>
  </si>
  <si>
    <t xml:space="preserve">Je complète maintenant la moyenne triennale des coûts de transaction implicites ex ante : quelle donnée as-tu ?</t>
  </si>
  <si>
    <t xml:space="preserve">Je ne trouve aucune donnée métier accessible pour le fonds « R-co Thematic Real Estate » concernant la moyenne triennale des coûts de transaction implicites ex ante. Aucune information disponible pour cette demande.</t>
  </si>
  <si>
    <t xml:space="preserve">Q1014</t>
  </si>
  <si>
    <t xml:space="preserve">Qu’indique Product Info sur l’année associée aux coûts explicites ex ante sur trois ans ?</t>
  </si>
  <si>
    <t xml:space="preserve">Q1015</t>
  </si>
  <si>
    <t xml:space="preserve">Pour boucler la fiche, précise la part minimale alignée sur la taxonomie selon le champ EET 20600.</t>
  </si>
  <si>
    <t xml:space="preserve">Q1016</t>
  </si>
  <si>
    <t xml:space="preserve">C204</t>
  </si>
  <si>
    <t xml:space="preserve">Sur Capital Croissance, j’ai besoin de l’année associée aux coûts implicites ex ante sur trois ans pour une réponse RFI.</t>
  </si>
  <si>
    <t xml:space="preserve">Résultat Information trouvée Pour le fonds Capital Croissance (statut Production), l’année associée aux coûts implicites ex ante sur trois ans est renseignée à : 0 Détails complémentaires Aucune autre année n’est renseignée pour ce champ sur ce fonds. Le référentiel contient actuellement la valeur « 0 » pour l’année des coûts implicites ex ante.</t>
  </si>
  <si>
    <t xml:space="preserve">Q1017</t>
  </si>
  <si>
    <t xml:space="preserve">Peux-tu préciser l’indicateur de risque de crédit ?</t>
  </si>
  <si>
    <t xml:space="preserve">Résultat Information trouvée Pour le fonds Capital Croissance, l’indicateur de risque de crédit est : Non Détails complémentaires Le risque de crédit n’est pas identifié comme un risque applicable pour ce fonds dans le référentiel Product Info.</t>
  </si>
  <si>
    <t xml:space="preserve">Q1018</t>
  </si>
  <si>
    <t xml:space="preserve">RMM Patrimoine</t>
  </si>
  <si>
    <t xml:space="preserve">Pour RMM Patrimoine cette fois, que trouve-t-on concernant l’année des coûts implicites ex post EMT ?</t>
  </si>
  <si>
    <t xml:space="preserve">Résultat Information trouvée Pour le fonds RMM Patrimoine, l’année des coûts implicites ex post EMT est : 2025 Détails complémentaires Cette information est renseignée directement au niveau du fonds dans le référentiel Product Info.</t>
  </si>
  <si>
    <t xml:space="preserve">Q1019</t>
  </si>
  <si>
    <t xml:space="preserve">Je vérifie aussi la fréquence de VL renseignée au niveau produit, sans extrapoler à chaque part : quelle est la donnée ?</t>
  </si>
  <si>
    <t xml:space="preserve">Résultat Information trouvée Pour RMM Patrimoine, aucune valeur de fréquence de VL n’est retournée au niveau du produit. Détails complémentaires La donnée de fréquence de valorisation n’apparaît pas renseignée sur l’enregistrement produit consulté. Aucune information disponible pour cette demande au niveau produit.</t>
  </si>
  <si>
    <t xml:space="preserve">Q1020</t>
  </si>
  <si>
    <t xml:space="preserve">Dernier point sur Capital Croissance, et non sur le fonds précédent : l’objectif de volatilité renseigné ?</t>
  </si>
  <si>
    <t xml:space="preserve">Résultat Information trouvée Pour le fonds Capital Croissance, l’indicateur d’objectif de volatilité est : Non Détails complémentaires Aucune valeur chiffrée d’objectif de volatilité n’est retournée. Le référentiel indique simplement que le fonds n’est pas renseigné comme ayant un objectif de volatilité.</t>
  </si>
  <si>
    <t xml:space="preserve">Q1021</t>
  </si>
  <si>
    <t xml:space="preserve">C205</t>
  </si>
  <si>
    <t xml:space="preserve">Je vérifie R-co Thematic Silver Plus avant d’envoyer une fiche client : la moyenne triennale des coûts de transaction explicites ex ante ?</t>
  </si>
  <si>
    <t xml:space="preserve">0.289</t>
  </si>
  <si>
    <t xml:space="preserve">Résultat Pour le fonds R-co Thematic Silver Plus, la moyenne triennale des coûts de transaction explicites ex ante est de 0,289 % pour l'année de référence 2025. Détails complémentaires Cette valeur est commune aux parts de production rattachées au fonds R-co Thematic Silver Plus.</t>
  </si>
  <si>
    <t xml:space="preserve">Q1022</t>
  </si>
  <si>
    <t xml:space="preserve">Pour ce même produit, l’année des coûts explicites ex post EMT ?</t>
  </si>
  <si>
    <t xml:space="preserve">Résultat Pour le fonds R-co Thematic Silver Plus, l’année des coûts de transaction explicites ex post EMT est 2025. Détails complémentaires L’information est identique pour les parts de production rattachées à ce fonds.</t>
  </si>
  <si>
    <t xml:space="preserve">Q1023</t>
  </si>
  <si>
    <t xml:space="preserve">Je change de fonds : sur R-co Valor Balanced, que dit la fiche pour l’indicateur de tarification all-in ?</t>
  </si>
  <si>
    <t xml:space="preserve">Résultat Pour le fonds R-co Valor Balanced, l’indicateur de tarification all-in est renseigné à Oui. Détails complémentaires Le fonds est en statut Production.</t>
  </si>
  <si>
    <t xml:space="preserve">Q1024</t>
  </si>
  <si>
    <t xml:space="preserve">Dans la rubrique stratégie de ce produit, quelle valeur est enregistrée pour l’allocation stratégique en français ?</t>
  </si>
  <si>
    <t xml:space="preserve">En vue de réaliser l’objectif de gestion, le compartiment sera investi pour partie de ses actifs dans la stratégie « Valor » de Rothschild Asset Management ("Poche Valor") et pour l’autre partie de ses actifs dans la stratégie « Euro Crédit » de Rothschild Asset Management ("Poche Euro Crédit"), telles que décrites ci-dessous.
Description de la stratégie « Valor » :
La stratégie « Valor » a pour objectif la recherche de performance par la mise en œuvre d’une gestion discrétionnaire reposant notamment sur l'anticipation de l'évolution des différents marchés (actions, taux) et sur la sélection d'instruments financiers fondée sur l'analyse financière des émetteurs. La stratégie mise en œuvre afin de sélectionner les sous-jacents repose sur les critères suivants : une perspective de croissance durable, une situation concurrentielle faible (quasi-monopole technique ou commercial - position dominante), une compréhension claire de l'activité de la société en question, un prix raisonnable.
Description de la stratégie « Euro Crédit » :
La stratégie « Euro Crédit » repose sur la recherche de sources de valeur ajoutée sur l'ensemble des leviers de la gestion des produits de taux. Les stratégies mise en place reposent sur le positionnement en termes de sensibilité sur la courbe des taux et l'allocation sur les différents émetteurs. Ces stratégies sont définies suivant une allocation géographique et sectorielle, la sélection des émetteurs et des émissions. Les décisions d'allocation sont prises en fonction de la compréhension des phénomènes macro-économiques, auxquelles s'ajoute une analyse fine des problématiques sectorielles et micro-économiques.
La mise en œuvre de ces 2 stratégies sera réalisée dans le respect de l’allocation stratégique globale suivante :
- Entre 0% et 55% en actions de toutes tailles de capitalisation, le gestionnaire s’efforçant néanmoins d’exposer le compartiment aux actions à hauteur de 50% maximum de son actif,
- Entre 45% et 100% en produits de taux,
- Entre 0 et 10% en parts et/ou actions d’OPC.</t>
  </si>
  <si>
    <t xml:space="preserve">Résultat Pour R-co Valor Balanced, l’allocation stratégique en français est enregistrée comme suit : « En vue de réaliser l’objectif de gestion, le compartiment sera investi pour partie de ses actifs dans la stratégie « Valor » de Rothschild Asset Management (« Poche Valor ») et pour l’autre partie de ses actifs dans la stratégie « Euro Crédit » de Rothschild Asset Management (« Poche Euro Crédit »). La mise en œuvre de ces deux stratégies respecte l’allocation stratégique globale suivante : Entre 0 % et 55 % en actions de toutes tailles de capitalisation, avec une exposition recherchée aux actions de 50 % maximum de l’actif ; Entre 45 % et 100 % en produits de taux ; Entre 0 % et 10 % en parts et/ou actions d’OPC. » Détails complémentaires La fiche détaille également les principes de gestion des stratégies « Valor » (sélection discrétionnaire fondée notamment sur l’analyse financière des émetteurs) et « Euro Crédit » (allocation sur les marchés de taux, les émetteurs et les émissions selon une analyse macroéconomique, sectorielle et microéconomique).</t>
  </si>
  <si>
    <t xml:space="preserve">Q1025</t>
  </si>
  <si>
    <t xml:space="preserve">Je reviens à R-co Thematic Silver Plus : quelle donnée figure sur l’indicateur de risque de liquidité ?</t>
  </si>
  <si>
    <t xml:space="preserve">Résultat Pour le fonds R-co Thematic Silver Plus, l’indicateur de risque de liquidité est renseigné à Oui. Détails complémentaires Cette information est présente sur la fiche du fonds en statut Production.</t>
  </si>
  <si>
    <t xml:space="preserve">Q1026</t>
  </si>
  <si>
    <t xml:space="preserve">C206</t>
  </si>
  <si>
    <t xml:space="preserve">Concernant FCP RMM Core-Sat, peux-tu retrouver le plafond des frais indirects de gestion dans la fiche ?</t>
  </si>
  <si>
    <t xml:space="preserve">Résultat Information trouvée Pour le fonds FCP RMM Core-Sat (statut : Production), le plafond des frais indirects de gestion est de : 1,00 % Détails complémentaires Cette valeur correspond au plafond des frais indirects de gestion renseigné dans la fiche du fonds.</t>
  </si>
  <si>
    <t xml:space="preserve">Q1027</t>
  </si>
  <si>
    <t xml:space="preserve">Dans la continuité, le plafond des frais indirects de souscription, distinct d’un droit d’entrée de part ?</t>
  </si>
  <si>
    <t xml:space="preserve">Résultat Information trouvée Pour le fonds FCP RMM Core-Sat, le plafond des frais indirects de souscription est de : 0,00 % Détails complémentaires Cette information est distincte des éventuels droits d’entrée appliqués au niveau des parts. Le plafond des frais indirects de souscription renseigné dans la fiche du fonds est nul.</t>
  </si>
  <si>
    <t xml:space="preserve">Q1028</t>
  </si>
  <si>
    <t xml:space="preserve">Côté produit, que mentionne-t-on pour le plafond des frais indirects de rachat, distinct d’un droit de sortie de part ?</t>
  </si>
  <si>
    <t xml:space="preserve">Résultat Information trouvée Pour le fonds FCP RMM Core-Sat, le plafond des frais indirects de rachat est de : 0,00 % Détails complémentaires Cette valeur correspond au plafond des frais indirects de rachat renseigné au niveau du fonds et est distincte des éventuels droits de sortie applicables aux parts.</t>
  </si>
  <si>
    <t xml:space="preserve">Q1029</t>
  </si>
  <si>
    <t xml:space="preserve">Je voudrais également l’indicateur de frais de gestion spécifiques, sans l’interpréter comme un taux.</t>
  </si>
  <si>
    <t xml:space="preserve">Résultat Information trouvée Pour le fonds FCP RMM Core-Sat, l’indicateur de frais de gestion spécifiques est : Non Détails complémentaires Il s’agit d’un indicateur de type Oui/Non et non d’un taux. Pour ce fonds, aucun frais de gestion spécifique n’est indiqué.</t>
  </si>
  <si>
    <t xml:space="preserve">Q1030</t>
  </si>
  <si>
    <t xml:space="preserve">Une dernière donnée : l’indicateur de risque de contrepartie ?</t>
  </si>
  <si>
    <t xml:space="preserve">Résultat Information trouvée Pour le fonds FCP RMM Core-Sat, l’indicateur de risque de contrepartie est : Non Détails complémentaires Le risque de contrepartie n’est pas identifié comme applicable dans la fiche du fonds.</t>
  </si>
  <si>
    <t xml:space="preserve">Q1031</t>
  </si>
  <si>
    <t xml:space="preserve">C207</t>
  </si>
  <si>
    <t xml:space="preserve">Pour R-co Strategic Metals and Mining, je cherche le dépositaire désigné. Quelle information est enregistrée ?</t>
  </si>
  <si>
    <t xml:space="preserve">Résultat Pour le fonds R-co Strategic Metals and Mining (statut Production), le dépositaire désigné enregistré est : Rothschild &amp; Co Martin Maurel Détails complémentaires Cette information est renseignée au niveau du fonds et correspond au dépositaire actuellement enregistré pour la version en Production du fonds.</t>
  </si>
  <si>
    <t xml:space="preserve">Q1032</t>
  </si>
  <si>
    <t xml:space="preserve">Pour la ligne frais du dossier R-co Strategic Metals and Mining, peux-tu retrouver la mention relative au high water mark ?</t>
  </si>
  <si>
    <t xml:space="preserve">Résultat Pour le fonds R-co Strategic Metals and Mining, la mention enregistrée relative au High Water Mark est : Pas de high water mark Détails complémentaires Aucune mécanique de High Water Mark n'est renseignée pour la version du fonds en Production.</t>
  </si>
  <si>
    <t xml:space="preserve">Q1033</t>
  </si>
  <si>
    <t xml:space="preserve">Passons à R-co Conviction Credit Euro. Quelle information as-tu pour le troisième gérant suppléant ?</t>
  </si>
  <si>
    <t xml:space="preserve">Résultat Pour le fonds R-co Conviction Credit Euro, aucune information n'est enregistrée pour le troisième gérant suppléant. Détails complémentaires Le champ correspondant au troisième gérant suppléant est vide sur la version du fonds en Production.</t>
  </si>
  <si>
    <t xml:space="preserve">Q1034</t>
  </si>
  <si>
    <t xml:space="preserve">Et sur la part minimale d’investissements durables sociaux dans l’EET, quelle est la valeur ?</t>
  </si>
  <si>
    <t xml:space="preserve">Résultat Pour le fonds R-co Conviction Credit Euro : Part minimale d’investissements durables déclarée dans l’EET : 30 % Part minimale d’investissements durables à objectif social : 0 % Détails complémentaires Les valeurs enregistrées indiquent qu’aucune part minimale spécifique d’investissements durables sociaux n’est renseignée au-delà de 0 % pour ce fonds en Production.</t>
  </si>
  <si>
    <t xml:space="preserve">Q1035</t>
  </si>
  <si>
    <t xml:space="preserve">Dernier point sur R-co Strategic Metals and Mining, et non sur le fonds précédent : la moyenne triennale des coûts de transaction explicites ex ante ?</t>
  </si>
  <si>
    <t xml:space="preserve">0.3</t>
  </si>
  <si>
    <t xml:space="preserve">Résultat Pour le fonds R-co Strategic Metals and Mining, la moyenne triennale des coûts de transaction explicites ex ante enregistrée est : 0,30 % Détails complémentaires Cette valeur est celle enregistrée sur la version du fonds en Production.</t>
  </si>
  <si>
    <t xml:space="preserve">Q1036</t>
  </si>
  <si>
    <t xml:space="preserve">C208</t>
  </si>
  <si>
    <t xml:space="preserve">Pour le dossier Navarre Opportunités, peux-tu me confirmer l’information renseignée dans le champ Article 29, sans déduire une conformité ?</t>
  </si>
  <si>
    <t xml:space="preserve">Résultat Information trouvée Pour le fonds « Navarre Opportunités » (statut Production), la valeur renseignée dans le champ « Article 29 » est : Solution dédiée Cette réponse restitue uniquement la valeur enregistrée dans le référentiel, sans interprétation ni déduction quant à une éventuelle conformité.</t>
  </si>
  <si>
    <t xml:space="preserve">Q1037</t>
  </si>
  <si>
    <t xml:space="preserve">Et l’indicateur de rétrocessions sur OPC de tête pour ce même fonds ?</t>
  </si>
  <si>
    <t xml:space="preserve">Résultat Information trouvée Pour le fonds « Navarre Opportunités » (statut Production), l’indicateur « rétrocessions sur OPC de tête » est renseigné à : Oui Détails complémentaires La valeur enregistrée dans le référentiel est simplement « Oui », sans interprétation supplémentaire.</t>
  </si>
  <si>
    <t xml:space="preserve">Q1038</t>
  </si>
  <si>
    <t xml:space="preserve">Dans la fiche produit, que trouve-t-on sur la région de référence renseignée pour le produit ?</t>
  </si>
  <si>
    <t xml:space="preserve">Résultat Information trouvée Pour le fonds « Navarre Opportunités » (statut Production), la région de référence renseignée est : Monde Détails complémentaires Aucune autre valeur de région n’est renseignée pour ce fonds dans le référentiel.</t>
  </si>
  <si>
    <t xml:space="preserve">Q1039</t>
  </si>
  <si>
    <t xml:space="preserve">Pour finaliser la réponse client, précise l’indicateur d’indice ESG de référence dans l’EET, sans identifier un indice de part.</t>
  </si>
  <si>
    <t xml:space="preserve">Résultat Information trouvée Pour le fonds « Navarre Opportunités » (statut Production), l’indicateur d’« indice ESG de référence » est renseigné à : Non Détails complémentaires Aucun indice ESG de référence n’est indiqué pour ce produit dans les données consultées. Cette réponse porte uniquement sur l’indicateur EET et n’identifie aucun indice de part.</t>
  </si>
  <si>
    <t xml:space="preserve">Q1040</t>
  </si>
  <si>
    <t xml:space="preserve">Dernier contrôle : l’indicateur de disponibilité de l’EET pour le fonds ?</t>
  </si>
  <si>
    <t xml:space="preserve">Résultat Information trouvée Pour le fonds « Navarre Opportunités » (statut Production), l’indicateur de disponibilité de l’EET est : Oui Détails complémentaires L’EET est indiqué comme disponible dans le référentiel pour ce fonds.</t>
  </si>
  <si>
    <t xml:space="preserve">Q1041</t>
  </si>
  <si>
    <t xml:space="preserve">C209</t>
  </si>
  <si>
    <t xml:space="preserve">Je prépare une DDQ sur R-co Conviction Club. Quelle est l’information disponible concernant l’indicateur de thématique ESG existante dans l’EET ?</t>
  </si>
  <si>
    <t xml:space="preserve">Résultat Pour le fonds R-co Conviction Club (statut Production), les informations ESG/EET disponibles dans le référentiel sont les suivantes : Catégorie SFDR : Article 8 Catégorie ESG AMF : 2 Ces informations sont présentes dans les données EET du fonds. Détails complémentaires Concernant l’« indicateur de thématique ESG » de l’EET, le référentiel prévoit notamment des champs permettant de qualifier : les objectifs environnementaux, les objectifs sociaux, les objectifs de gouvernance, les Objectifs de Développement Durable (ODD/SDG). Pour R-co Conviction Club, aucune valeur de thématique ESG n’a été retournée dans les données disponibles consultées, alors que les classifications SFDR et AMF sont renseignées.</t>
  </si>
  <si>
    <t xml:space="preserve">ne donne pas la valeur</t>
  </si>
  <si>
    <t xml:space="preserve">Q1042</t>
  </si>
  <si>
    <t xml:space="preserve">J’ai aussi besoin de la forme juridique du fonds.</t>
  </si>
  <si>
    <t xml:space="preserve">Résultat La forme juridique du fonds R-co Conviction Club est : SICAV Détails complémentaires Informations ESG déjà identifiées pour ce fonds : Catégorie SFDR : Article 8 Catégorie ESG AMF : 2 Ces informations sont renseignées dans le référentiel Product Info pour le fonds en Production.</t>
  </si>
  <si>
    <t xml:space="preserve">Q1043</t>
  </si>
  <si>
    <t xml:space="preserve">Je change de fonds : sur R-co Target 2028 IG, que dit la fiche pour la part minimale alignée sur la taxonomie selon le champ EET 20600 ?</t>
  </si>
  <si>
    <t xml:space="preserve">Résultat Pour le fonds R-co Target 2028 IG, la valeur du champ EET 20600 (part minimale alignée sur la taxonomie) est : 0 % Détails complémentaires La fiche du fonds en Production indique donc qu’aucune part minimale d’investissements alignés sur la taxonomie n’est actuellement renseignée au-delà de 0 %.</t>
  </si>
  <si>
    <t xml:space="preserve">Q1044</t>
  </si>
  <si>
    <t xml:space="preserve">Autre rubrique du même dossier : la fréquence de VL renseignée au niveau produit, sans extrapoler à chaque part ?</t>
  </si>
  <si>
    <t xml:space="preserve">Résultat Pour R-co Target 2028 IG, aucune fréquence de VL n’est renseignée au niveau du produit dans les données consultées. Détails complémentaires Le champ correspondant à la fréquence de valorisation au niveau produit existe dans le référentiel, mais aucune valeur n’a été retournée pour ce fonds en Production. Si la fréquence de VL est définie uniquement au niveau des parts, elle ne peut pas être déduite ou extrapolée au niveau du fonds.</t>
  </si>
  <si>
    <t xml:space="preserve">Q1045</t>
  </si>
  <si>
    <t xml:space="preserve">Reprenons R-co Conviction Club pour terminer : peux-tu vérifier la classe d’actifs du produit ?</t>
  </si>
  <si>
    <t xml:space="preserve">Résultat La classe d’actifs du fonds R-co Conviction Club est : Diversified Détails complémentaires Dans le référentiel Product Info, la « classe d’actifs » correspond au champ de Management d’expertise (niveau 3). Pour R-co Conviction Club, la valeur renseignée est « Diversified ».</t>
  </si>
  <si>
    <t xml:space="preserve">Q1046</t>
  </si>
  <si>
    <t xml:space="preserve">C210</t>
  </si>
  <si>
    <t xml:space="preserve">OCIRP Sélection de fonds</t>
  </si>
  <si>
    <t xml:space="preserve">Pour OCIRP Sélection de fonds, quelle valeur est renseignée pour la part minimale présentant des caractéristiques environnementales ou sociales dans l’EET ?</t>
  </si>
  <si>
    <t xml:space="preserve">60</t>
  </si>
  <si>
    <t xml:space="preserve">Résultat Information trouvée pour le fonds « OCIRP Sélection de fonds ». La valeur renseignée dans l’EET pour la « part minimale présentant des caractéristiques environnementales ou sociales » est de 60. Détails complémentaires Fonds : OCIRP Sélection de fonds Valeur EET : 60 (soit 60 %)</t>
  </si>
  <si>
    <t xml:space="preserve">Q1047</t>
  </si>
  <si>
    <t xml:space="preserve">Toujours pour ce produit : l’indicateur d’investissement durable dans l’EET ?</t>
  </si>
  <si>
    <t xml:space="preserve">Résultat Pour le fonds « OCIRP Sélection de fonds », l’indicateur d’investissement durable dans l’EET est de 5. Détails complémentaires Fonds : OCIRP Sélection de fonds Investissements durables déclarés dans l’EET : 5 %</t>
  </si>
  <si>
    <t xml:space="preserve">Q1048</t>
  </si>
  <si>
    <t xml:space="preserve">Elite N</t>
  </si>
  <si>
    <t xml:space="preserve">Autre dossier, Elite N : peux-tu vérifier la moyenne triennale des coûts de transaction implicites ex ante ?</t>
  </si>
  <si>
    <t xml:space="preserve">Résultat Pour le produit « Elite N », la moyenne triennale des coûts de transaction implicites ex ante est de 0,00 %. Détails complémentaires Produit : Elite N Moyenne triennale des coûts de transaction implicites ex ante : 0,00 % Année de référence : 2025</t>
  </si>
  <si>
    <t xml:space="preserve">Q1049</t>
  </si>
  <si>
    <t xml:space="preserve">Je passe à la rubrique suivante : les coûts de transaction implicites ex post EMT ?</t>
  </si>
  <si>
    <t xml:space="preserve">Résultat Pour le produit « Elite N », les coûts de transaction implicites ex post EMT sont de 0,06 %. Détails complémentaires Produit : Elite N Coûts de transaction implicites ex post EMT : 0,06 %</t>
  </si>
  <si>
    <t xml:space="preserve">Q1050</t>
  </si>
  <si>
    <t xml:space="preserve">Dernier point sur OCIRP Sélection de fonds, et non sur le fonds précédent : la part minimale d’investissements durables environnementaux dans l’EET ?</t>
  </si>
  <si>
    <t xml:space="preserve">Résultat Pour le fonds « OCIRP Sélection de fonds », la part minimale d’investissements durables environnementaux dans l’EET est de 0 %. Détails complémentaires Fonds : OCIRP Sélection de fonds Part minimale d’investissements durables environnementaux (EET) : 0 %</t>
  </si>
  <si>
    <t xml:space="preserve">Q1051</t>
  </si>
  <si>
    <t xml:space="preserve">C211</t>
  </si>
  <si>
    <t xml:space="preserve">Dans la documentation produit de R-co Thematic Blockchain Global Equity, que dois-je reprendre pour les coûts de transaction explicites ex post EMT ?</t>
  </si>
  <si>
    <t xml:space="preserve">0.498</t>
  </si>
  <si>
    <t xml:space="preserve">Résultat Information trouvée Pour le fonds R-co Thematic Blockchain Global Equity (statut Production), la valeur à reprendre pour les coûts de transaction explicites ex post EMT est : Coûts de transaction explicites ex post EMT : 0,498 % Année de référence : 2025 Détails complémentaires Cette valeur correspond au champ EMT des coûts de transaction explicites ex post enregistré pour le fonds.</t>
  </si>
  <si>
    <t xml:space="preserve">Q1052</t>
  </si>
  <si>
    <t xml:space="preserve">Dans la rubrique esg de ce produit, quelle valeur est enregistrée pour la part minimale d’investissements durables déclarée dans l’EET ?</t>
  </si>
  <si>
    <t xml:space="preserve">Résultat Information trouvée Pour le fonds R-co Thematic Blockchain Global Equity, la valeur enregistrée pour la part minimale d’investissements durables déclarée dans l’EET est : 20 % Détails complémentaires Cette valeur correspond à l’information ESG déclarée dans l’EET pour ce fonds.</t>
  </si>
  <si>
    <t xml:space="preserve">Q1053</t>
  </si>
  <si>
    <t xml:space="preserve">Je complète maintenant la méthode de calcul de l’exposition globale : quelle donnée as-tu ?</t>
  </si>
  <si>
    <t xml:space="preserve">Résultat Information trouvée Pour le fonds R-co Thematic Blockchain Global Equity, la méthode de calcul de l’exposition globale enregistrée est : Engagement Détails complémentaires Cette méthode est celle actuellement renseignée pour ce fonds en Production.</t>
  </si>
  <si>
    <t xml:space="preserve">Q1054</t>
  </si>
  <si>
    <t xml:space="preserve">Qu’indique Product Info sur l’objectif de gestion en français ?</t>
  </si>
  <si>
    <t xml:space="preserve">Le compartiment R-co Thematic Blockchain Global Equity a pour objectif de gestion de réaliser, sur la durée de placement recommandée (supérieure ou égale à cinq ans), une performance nette de frais supérieure à celle de son indicateur de référence, l’indice MSCI Daily TR Net World dividendes réinvestis (MSDEWIN) en Euro, en cherchant à investir dans des actions des entreprises actives sur les thématiques de la blockchain.</t>
  </si>
  <si>
    <t xml:space="preserve">Résultat Information trouvée Pour le fonds R-co Thematic Blockchain Global Equity, l’objectifs de gestion en français est : « Le compartiment R-co Thematic Blockchain Global Equity a pour objectif de gestion de réaliser, sur la durée de placement recommandée (supérieure ou égale à cinq ans), une performance nette de frais supérieure à celle de son indicateur de référence, l’indice MSCI Daily TR Net World dividendes réinvestis (MSDEWIN) en Euro, en cherchant à investir dans des actions des entreprises actives sur les thématiques de la blockchain. » Détails complémentaires L’objectif est formulé en référence à l’indice MSCI Daily TR Net World dividendes réinvestis (MSDEWIN) en Euro et à une stratégie d’investissement centrée sur les entreprises actives dans l’univers de la blockchain.</t>
  </si>
  <si>
    <t xml:space="preserve">Q1055</t>
  </si>
  <si>
    <t xml:space="preserve">Pour boucler la fiche, précise la date de début du premier gérant suppléant.</t>
  </si>
  <si>
    <t xml:space="preserve">2023-01-31 23:00:00</t>
  </si>
  <si>
    <t xml:space="preserve">Résultat Information trouvée Pour le fonds R-co Thematic Blockchain Global Equity, la date de début du premier gérant suppléant est : 1er février 2023 Détails complémentaires Cette date correspond à la date de prise de fonction enregistrée pour le premier gérant suppléant du fonds.</t>
  </si>
  <si>
    <t xml:space="preserve">Q1056</t>
  </si>
  <si>
    <t xml:space="preserve">C212</t>
  </si>
  <si>
    <t xml:space="preserve">Philippe Pinel</t>
  </si>
  <si>
    <t xml:space="preserve">Sur Philippe Pinel, j’ai besoin de l’indicateur de risque de liquidité pour une réponse RFI.</t>
  </si>
  <si>
    <t xml:space="preserve">Résultat Aucune information disponible pour cette demande. Je n’ai trouvé aucun enregistrement correspondant à « Philippe Pinel » dans les données Product Info accessibles, ni de donnée permettant d’identifier directement un indicateur de risque de liquidité associé à ce nom. Détails complémentaires Si « Philippe Pinel » correspond à un fonds, une part ou un gérant, merci d’indiquer le nom complet du fonds ou un code ISIN associé afin de retrouver l’indicateur de risque de liquidité concerné.</t>
  </si>
  <si>
    <t xml:space="preserve">Q1057</t>
  </si>
  <si>
    <t xml:space="preserve">Peux-tu préciser la mention relative au high water mark ?</t>
  </si>
  <si>
    <t xml:space="preserve">Résultat La mention « High Water Mark » dans le référentiel produit correspond au mécanisme utilisé pour le calcul d’une éventuelle commission de surperformance. Les valeurs possibles sont : Pas de high water mark Oui, à réinitialisation annuelle Oui, perpétuelle Détails complémentaires Le principe du high water mark est d’éviter qu’une commission de surperformance soit prélevée deux fois sur une même performance déjà atteinte. La variante « perpétuelle » conserve le plus haut niveau historique comme référence, tandis que la variante « à réinitialisation annuelle » remet cette référence à zéro selon une fréquence annuelle.</t>
  </si>
  <si>
    <t xml:space="preserve">Q1058</t>
  </si>
  <si>
    <t xml:space="preserve">P2C Armonia</t>
  </si>
  <si>
    <t xml:space="preserve">Pour P2C Armonia cette fois, que trouve-t-on concernant le troisième gérant suppléant ?</t>
  </si>
  <si>
    <t xml:space="preserve">Résultat Pour le fonds P2C Armonia en statut Production, aucune information n’est renseignée concernant le troisième gérant suppléant. Le champ correspondant au troisième gérant suppléant est vide dans les données disponibles. Détails complémentaires Le fonds P2C Armonia existe bien en version Production dans le référentiel. Aucune personne n’est associée au rôle de troisième gérant suppléant pour cette version.</t>
  </si>
  <si>
    <t xml:space="preserve">Q1059</t>
  </si>
  <si>
    <t xml:space="preserve">Je vérifie aussi la date de début du gérant principal : quelle est la donnée ?</t>
  </si>
  <si>
    <t xml:space="preserve">2022-04-27 22:00:00</t>
  </si>
  <si>
    <t xml:space="preserve">Résultat Pour le fonds P2C Armonia (statut Production), la date de début du gérant principal est le 28 avril 2022. Détails complémentaires Aucune autre date de début du gérant principal n’est renseignée pour la version Production de ce fonds.</t>
  </si>
  <si>
    <t xml:space="preserve">Q1060</t>
  </si>
  <si>
    <t xml:space="preserve">Reprenons Philippe Pinel pour terminer : peux-tu vérifier l’objectif de volatilité renseigné ?</t>
  </si>
  <si>
    <t xml:space="preserve">Résultat Aucune information disponible pour cette demande. Je ne retrouve pas de gérant « Philippe Pinel » dans les données accessibles. Sans identification d’un fonds ou d’une part associé(e), il n’est pas possible de vérifier l’objectif de volatilité renseigné. Détails complémentaires Si « Philippe Pinel » est bien le gérant d’un fonds, indiquez-moi le nom du fonds ou un code ISIN. Je pourrai alors vérifier directement l’objectif de volatilité enregistré pour le fonds concerné.</t>
  </si>
  <si>
    <t xml:space="preserve">Q1061</t>
  </si>
  <si>
    <t xml:space="preserve">C213</t>
  </si>
  <si>
    <t xml:space="preserve">Je vérifie R-co Target 2032 IG avant d’envoyer une fiche client : le plafond des frais indirects de souscription, distinct d’un droit d’entrée de part ?</t>
  </si>
  <si>
    <t xml:space="preserve">Résultat Information trouvée Pour le fonds « R-co Target 2032 IG » (statut Production), le plafond des frais indirects de souscription est de 0 %. Détails complémentaires Les frais indirects de souscription correspondent aux frais susceptibles d’être supportés indirectement via des investissements dans d’autres fonds. Ils sont distincts du droit d’entrée appliqué à une part lors de la souscription. Pour R-co Target 2032 IG, aucun plafond de frais indirects de souscription n’est renseigné au-delà de 0 %.</t>
  </si>
  <si>
    <t xml:space="preserve">Q1062</t>
  </si>
  <si>
    <t xml:space="preserve">Pour ce même produit, l’indicateur de risque de crédit ?</t>
  </si>
  <si>
    <t xml:space="preserve">Résultat Information trouvée Pour le fonds « R-co Target 2032 IG », l’indicateur de risque de crédit est renseigné à « Oui ». Cela signifie que le risque de crédit est identifié comme un risque du produit. Détails complémentaires Aucun niveau chiffré de risque de crédit n’est associé à ce champ ; il s’agit d’un indicateur de présence du risque (Oui/Non).</t>
  </si>
  <si>
    <t xml:space="preserve">Q1063</t>
  </si>
  <si>
    <t xml:space="preserve">Quelle donnée faut-il retenir pour l’allocation stratégique en français ?</t>
  </si>
  <si>
    <t xml:space="preserve">La stratégie d’investissement du compartiment ne se limite pas à du portage d’obligations : si la société de gestion tendra à conserver les titres jusqu’à leur maturité, elle pourra procéder à des arbitrages en cas d’identification d’une augmentation du risque de défaut d’un des émetteurs en portefeuille et/ou en cas de nouvelles opportunités de marché afin d’optimiser le taux actuariel moyen du portefeuille à l’échéance.
La stratégie d’exposition au risque de crédit s’effectuera en investissements directs. Le compartiment investira entre 80% et 100% de son actif net dans des obligations à taux fixe, variable ou révisable, et autres titres de créances négociables, des obligations indexées sur l’inflation, émises par des sociétés de droit privé et/ou des entités supranationales/publiques ou des Etats et des bons à moyen terme négociables, dont 10% maximum de son actif net en obligations convertibles. Ces titres seront libellés à hauteur de 90% minimum de l’actif net du compartiment en Euro.
Les titres éligibles en portefeuille pourront être de toute zone géographique, y compris de pays émergents, néanmoins le compartiment ne pourra détenir des émissions de sociétés ayant leur siège social en dehors de l’OCDE qu’à hauteur de 10% maximum de l’actif net du compartiment.
Le portefeuille du compartiment sera composé, à hauteur de 80% minimum de son actif net, de titres de qualité Investment Grade.
Le compartiment pourra également être exposé, à hauteur de 10% maximum de son actif net, à des obligations spéculatives dites « à haut rendement » (High Yield) à la suite d’un changement de notation, le compartiment ne cherchant pas à investir dans des obligations spéculatives.
Il existe un risque de change pour les actionnaires investissant en euro à hauteur de 10% maximum de l’actif net du compartiment.
La sensibilité du portefeuille s’inscrit dans une fourchette comprise entre 0 et 6. Cette sensibilité est amenée à diminuer à l’approche de l’échéance.
Le compartiment pourra également investir en OPCVM, FIA ou fonds d’investissement de droit étranger monétaires et obligataires dans la limite de 10% maximum de son actif net et en titres du marché monétaire à hauteur de 10% maximum de son actif net, dans un but de gestion de la trésorerie.</t>
  </si>
  <si>
    <t xml:space="preserve">Résultat Information trouvée L’allocation stratégique en français pour « R-co Target 2032 IG » est la suivante : « La stratégie d’investissement du compartiment ne se limite pas à du portage d’obligations : si la société de gestion tendra à conserver les titres jusqu’à leur maturité, elle pourra procéder à des arbitrages en cas d’identification d’une augmentation du risque de défaut d’un des émetteurs en portefeuille et/ou en cas de nouvelles opportunités de marché afin d’optimiser le taux actuariel moyen du portefeuille à l’échéance. La stratégie d’exposition au risque de crédit s’effectuera en investissements directs. Le compartiment investira entre 80 % et 100 % de son actif net dans des obligations à taux fixe, variable ou révisable, et autres titres de créances négociables, des obligations indexées sur l’inflation, émises par des sociétés de droit privé et/ou des entités supranationales/publiques ou des Etats et des bons à moyen terme négociables, dont 10 % maximum de son actif net en obligations convertibles. Ces titres seront libellés à hauteur de 90 % minimum de l’actif net du compartiment en euro. Les titres éligibles en portefeuille pourront être de toute zone géographique, y compris de pays émergents, néanmoins le compartiment ne pourra détenir des émissions de sociétés ayant leur siège social en dehors de l’OCDE qu’à hauteur de 10 % maximum de l’actif net du compartiment. Le portefeuille du compartiment sera composé, à hauteur de 80 % minimum de son actif net, de titres de qualité Investment Grade. Le compartiment pourra également être exposé, à hauteur de 10 % maximum de son actif net, à des obligations spéculatives dites “à haut rendement” (High Yield) à la suite d’un changement de notation, le compartiment ne cherchant pas à investir dans des obligations spéculatives. Il existe un risque de change pour les actionnaires investissant en euro à hauteur de 10 % maximum de l’actif net du compartiment. La sensibilité du portefeuille s’inscrit dans une fourchette comprise entre 0 et 6. Cette sensibilité est amenée à diminuer à l’approche de l’échéance. Le compartiment pourra également investir en OPCVM, FIA ou fonds d’investissement de droit étranger monétaires et obligataires dans la limite de 10 % maximum de son actif net et en titres du marché monétaire à hauteur de 10 % maximum de son actif net, dans un but de gestion de la trésorerie. » Détails complémentaires Les points clés sont : 80 % à 100 % en obligations et titres de créance. Au moins 80 % en titres Investment Grade. Jusqu’à 10 % en obligations convertibles. Jusqu’à 10 % d’exposition High Yield uniquement après dégradation de notation. Jusqu’à 10 % de risque de change. Sensibilité taux comprise entre 0 et 6.</t>
  </si>
  <si>
    <t xml:space="preserve">Q1064</t>
  </si>
  <si>
    <t xml:space="preserve">Passe maintenant à le catégorie ESG AMF renseignée.</t>
  </si>
  <si>
    <t xml:space="preserve">Résultat Information trouvée Pour le fonds « R-co Target 2032 IG », la catégorie ESG AMF renseignée est : 3. Détails complémentaires La donnée enregistrée dans le référentiel est la catégorie AMF ESG « 3 ».</t>
  </si>
  <si>
    <t xml:space="preserve">Q1065</t>
  </si>
  <si>
    <t xml:space="preserve">Et pour l’indicateur de risque de contrepartie, qu’est-ce qui est indiqué ?</t>
  </si>
  <si>
    <t xml:space="preserve">Résultat Information trouvée Pour le fonds « R-co Target 2032 IG », l’indicateur de risque de contrepartie est renseigné à « Non ». Détails complémentaires Le référentiel indique donc que le risque de contrepartie n’est pas identifié comme un risque spécifique du produit.</t>
  </si>
  <si>
    <t xml:space="preserve">Q1066</t>
  </si>
  <si>
    <t xml:space="preserve">C214</t>
  </si>
  <si>
    <t xml:space="preserve">Concernant RMM Invest 10, peux-tu retrouver la région de référence renseignée pour le produit dans la fiche ?</t>
  </si>
  <si>
    <t xml:space="preserve">Résultat Information trouvée Pour le fonds RMM Invest 10, la région de référence renseignée dans la fiche produit est : France. Détails complémentaires Le fonds est actuellement en statut Production.</t>
  </si>
  <si>
    <t xml:space="preserve">Q1067</t>
  </si>
  <si>
    <t xml:space="preserve">Dans la rubrique esg de ce produit, quelle valeur est enregistrée pour la part minimale d’investissements durables sociaux dans l’EET ?</t>
  </si>
  <si>
    <t xml:space="preserve">Résultat Information trouvée Pour le produit RMM Invest 10, la valeur enregistrée pour la part minimale d’investissements durables sociaux dans l’EET est de 0 %. Détails complémentaires Les indicateurs EET liés à la répartition des investissements durables consultés pour ce produit sont tous renseignés à 0 %.</t>
  </si>
  <si>
    <t xml:space="preserve">Q1068</t>
  </si>
  <si>
    <t xml:space="preserve">R-co Alteor Equilibre</t>
  </si>
  <si>
    <t xml:space="preserve">Autre dossier, R-co Alteor Equilibre : peux-tu vérifier l’échelle de risque officielle renseignée ?</t>
  </si>
  <si>
    <t xml:space="preserve">Résultat Information trouvée Pour le fonds R-co Alteor Equilibre, l’échelle de risque officielle renseignée est de niveau 3. Détails complémentaires La valeur enregistrée est cohérente entre l’échelle de risque à la création et celle utilisée en cas de modification, toutes deux positionnées à 3.</t>
  </si>
  <si>
    <t xml:space="preserve">Q1069</t>
  </si>
  <si>
    <t xml:space="preserve">Je voudrais également la fréquence de VL renseignée au niveau produit, sans extrapoler à chaque part.</t>
  </si>
  <si>
    <t xml:space="preserve">Résultat Information trouvée Pour le fonds R-co Alteor Equilibre, aucune valeur de fréquence de VL au niveau produit n’est renseignée dans les données disponibles. Détails complémentaires Le produit a bien été identifié, mais le champ correspondant à la fréquence de VL n’est pas renseigné pour cet enregistrement. Aucune extrapolation à partir des parts n’a été effectuée.</t>
  </si>
  <si>
    <t xml:space="preserve">Q1070</t>
  </si>
  <si>
    <t xml:space="preserve">Je reviens à RMM Invest 10 : quelle donnée figure sur l’indicateur de rétrocessions sur OPC de tête ?</t>
  </si>
  <si>
    <t xml:space="preserve">Résultat Information trouvée Pour le fonds RMM Invest 10, l’indicateur de rétrocessions sur OPC de tête est renseigné à : Non. Détails complémentaires Cela signifie que le produit est paramétré comme ne percevant pas de rétrocessions sur OPC de tête.</t>
  </si>
  <si>
    <t xml:space="preserve">Q1071</t>
  </si>
  <si>
    <t xml:space="preserve">C215</t>
  </si>
  <si>
    <t xml:space="preserve">Pour R-co Valor Equity, je cherche l’indicateur d’investissement durable dans l’EET. Quelle information est enregistrée ?</t>
  </si>
  <si>
    <t xml:space="preserve">Résultat Information trouvée Pour le fonds R-co Valor Equity, l’indicateur EET « La part minimale d’investissements durables déclarée dans l’EET » est renseigné à 30. Détails complémentaires Cet indicateur correspond à la part minimale d’investissements durables déclarée dans l’EET. La valeur enregistrée pour ce fonds est de 30 %.</t>
  </si>
  <si>
    <t xml:space="preserve">Q1072</t>
  </si>
  <si>
    <t xml:space="preserve">Qu’en est-il de l’indicateur de disponibilité de l’EET pour le fonds ?</t>
  </si>
  <si>
    <t xml:space="preserve">Résultat Information trouvée Pour le fonds R-co Valor Equity, l’indicateur de disponibilité de l’EET est renseigné à « Oui ». Cela signifie qu’un EET est disponible pour ce fonds. Détails complémentaires L’indicateur EET du fonds est actif : Oui.</t>
  </si>
  <si>
    <t xml:space="preserve">Q1073</t>
  </si>
  <si>
    <t xml:space="preserve">Passons à R-co Target 2029 IG. Quelle information as-tu pour l’indicateur de frais de gestion spécifiques, sans l’interpréter comme un taux ?</t>
  </si>
  <si>
    <t xml:space="preserve">Résultat Information trouvée Pour le fonds R-co Target 2029 IG, l’indicateur « frais de gestion spécifiques » est renseigné à : Non. Détails complémentaires Aucune valeur de taux n’est associée à cette réponse : il s’agit uniquement de l’état de l’indicateur, qui est positionné sur « Non ».</t>
  </si>
  <si>
    <t xml:space="preserve">Q1074</t>
  </si>
  <si>
    <t xml:space="preserve">Et sur la forme juridique du fonds, quelle est la valeur ?</t>
  </si>
  <si>
    <t xml:space="preserve">Résultat Information trouvée Pour le fonds R-co Target 2029 IG, la forme juridique enregistrée est : SICAV. Détails complémentaires Aucune autre valeur de forme juridique n’est enregistrée pour ce fonds en statut Production.</t>
  </si>
  <si>
    <t xml:space="preserve">Q1075</t>
  </si>
  <si>
    <t xml:space="preserve">Reprenons R-co Valor Equity pour terminer : peux-tu vérifier l’information renseignée dans le champ Article 29, sans déduire une conformité ?</t>
  </si>
  <si>
    <t xml:space="preserve">Résultat Information trouvée Pour le fonds R-co Valor Equity, la valeur renseignée dans le champ « Article 29 » est : Gestion directe – NZAMi. Détails complémentaires Il s’agit de la valeur enregistrée dans le référentiel pour ce champ. Aucune interprétation ou conclusion de conformité n’est appliquée à cette information.</t>
  </si>
  <si>
    <t xml:space="preserve">Q1076</t>
  </si>
  <si>
    <t xml:space="preserve">C216</t>
  </si>
  <si>
    <t xml:space="preserve">Pour le dossier Liancourt AM, peux-tu me confirmer l’indicateur de thématique ESG existante dans l’EET ?</t>
  </si>
  <si>
    <t xml:space="preserve">Résultat Aucune information disponible pour cette demande. Je n’ai pas retrouvé de dossier, fonds ou société de gestion correspondant à « Liancourt AM » dans le référentiel Product Info accessible. Pour confirmer l’indicateur de thématique ESG existant dans l’EET, il me faut une référence métier identifiable présente dans le référentiel (par exemple le nom exact du fonds, de la part ou un code ISIN associé à Liancourt AM).</t>
  </si>
  <si>
    <t xml:space="preserve">Q1077</t>
  </si>
  <si>
    <t xml:space="preserve">Et l’objectif de gestion renseigné pour ce même fonds ?</t>
  </si>
  <si>
    <t xml:space="preserve">Le FIA a pour objectif de gestion, sur la durée de placement recommandée supérieure à 5 ans et au moyen d’une gestion discrétionnaire, de délivrer une performance annuelle moyenne de 5% nette de frais.</t>
  </si>
  <si>
    <t xml:space="preserve">Résultat Aucune information disponible pour cette demande. Je ne peux pas confirmer l’objectif de gestion du fonds car aucun fonds « Liancourt AM » n’a été identifié dans le référentiel Product Info accessible. Sans identification du fonds concerné, il n’est pas possible de récupérer l’objectif de gestion renseigné.</t>
  </si>
  <si>
    <t xml:space="preserve">Q1078</t>
  </si>
  <si>
    <t xml:space="preserve">Dans la fiche produit, que trouve-t-on sur l’indicateur de tarification all-in ?</t>
  </si>
  <si>
    <t xml:space="preserve">Résultat Je ne trouve pas, dans les métadonnées métier accessibles du référentiel Product Info, d’attribut identifié explicitement comme « indicateur de tarification all-in ». Pour répondre avec certitude à ce qui est renseigné dans la fiche produit, il faut que le produit concerné soit identifié (fonds, part ou ISIN). Sans produit précis, je ne peux pas consulter la valeur de cet indicateur dans les données Product Info.</t>
  </si>
  <si>
    <t xml:space="preserve">Q1079</t>
  </si>
  <si>
    <t xml:space="preserve">Dans la rubrique frais de ce produit, quelle valeur est enregistrée pour le plafond des frais indirects de rachat, distinct d’un droit de sortie de part ?</t>
  </si>
  <si>
    <t xml:space="preserve">Résultat Je ne peux pas déterminer la valeur enregistrée pour le plafond des frais indirects de rachat sans savoir de quel produit il s’agit. Le produit n’a pas pu être identifié dans les échanges précédents. Merci d’indiquer le nom du fonds, de la part ou son code ISIN afin que je consulte la rubrique frais correspondante dans le référentiel Product Info.</t>
  </si>
  <si>
    <t xml:space="preserve">Q1080</t>
  </si>
  <si>
    <t xml:space="preserve">Dernier contrôle : la méthode de calcul de l’exposition globale ?</t>
  </si>
  <si>
    <t xml:space="preserve">Résultat Je ne peux pas confirmer la méthode de calcul de l’exposition globale car le produit concerné n’est pas identifié. Pour consulter cette information dans le référentiel Product Info, il me faut une référence produit : nom du fonds, nom de la part ou code ISIN. Une fois le produit identifié, je pourrai vérifier la valeur renseignée pour la méthode de calcul de l’exposition globale.</t>
  </si>
  <si>
    <t xml:space="preserve">Q1081</t>
  </si>
  <si>
    <t xml:space="preserve">C217</t>
  </si>
  <si>
    <t xml:space="preserve">Je prépare une DDQ sur R-co Gold Mining. Quelle est l’information disponible concernant la moyenne triennale des coûts de transaction implicites ex ante ?</t>
  </si>
  <si>
    <t xml:space="preserve">Résultat Information trouvée Pour le fonds R-co Gold Mining (statut Production), la valeur disponible concernant les coûts de transaction implicites ex ante est : Moyenne triennale des coûts de transaction implicites ex ante : 0,00 % Année de référence : 2025 Détails complémentaires Aucune autre valeur de moyenne triennale des coûts de transaction implicites ex ante n’est renseignée pour ce fonds dans les données disponibles.</t>
  </si>
  <si>
    <t xml:space="preserve">Q1082</t>
  </si>
  <si>
    <t xml:space="preserve">J’ai aussi besoin de l’indicateur de risque de crédit.</t>
  </si>
  <si>
    <t xml:space="preserve">Résultat Information trouvée Pour le fonds R-co Gold Mining (statut Production) : Indicateur de risque de crédit : Oui Détails complémentaires Le risque de crédit est identifié comme un risque applicable pour ce fonds.</t>
  </si>
  <si>
    <t xml:space="preserve">Q1083</t>
  </si>
  <si>
    <t xml:space="preserve">Je change de fonds : sur R-co Valor, que dit la fiche pour le jour de calcul de VL renseigné au niveau produit ?</t>
  </si>
  <si>
    <t xml:space="preserve">Résultat Information trouvée Pour le fonds R-co Valor (statut Production), aucun jour de calcul de VL n'est renseigné au niveau produit dans les données disponibles. Détails complémentaires La fiche produit existe bien, mais le champ correspondant au jour de calcul de la VL n'est pas renseigné.</t>
  </si>
  <si>
    <t xml:space="preserve">Q1084</t>
  </si>
  <si>
    <t xml:space="preserve">Autre rubrique du même dossier : les coûts de transaction implicites ex post EMT ?</t>
  </si>
  <si>
    <t xml:space="preserve">Résultat Information trouvée Pour le fonds R-co Valor (statut Production) : Coûts de transaction implicites ex post EMT : 0,164 % Année de référence : 2025 Détails complémentaires La valeur est renseignée au niveau du fonds pour l'exercice 2025.</t>
  </si>
  <si>
    <t xml:space="preserve">Q1085</t>
  </si>
  <si>
    <t xml:space="preserve">Je reviens à R-co Gold Mining : quelle donnée figure sur l’indicateur d’indice ESG de référence dans l’EET, sans identifier un indice de part ?</t>
  </si>
  <si>
    <t xml:space="preserve">Résultat Information trouvée Pour le fonds R-co Gold Mining (statut Production), aucun indicateur d’indice ESG de référence n’est renseigné au niveau du fonds dans les données disponibles. Détails complémentaires Aucune valeur relative à un indice ESG de référence EET n’est renseignée sur la fiche produit. Par conséquent, il n’existe pas d’information disponible à restituer sur ce point, indépendamment des éventuels indices associés aux parts.</t>
  </si>
  <si>
    <t xml:space="preserve">Q1086</t>
  </si>
  <si>
    <t xml:space="preserve">C218</t>
  </si>
  <si>
    <t xml:space="preserve">Pour RMM Invest 15 S.L.P., quelle valeur est renseignée pour la part minimale d’investissements durables déclarée dans l’EET ?</t>
  </si>
  <si>
    <t xml:space="preserve">Résultat Pour le fonds RMM Invest 15 S.L.P., la valeur renseignée pour la part minimale d’investissements durables déclarée dans l’EET est de : 0 % Détails complémentaires Cette information correspond au champ EET relatif à la « part minimale d’investissements durables déclarée dans l’EET » du fonds en statut Production.</t>
  </si>
  <si>
    <t xml:space="preserve">Q1087</t>
  </si>
  <si>
    <t xml:space="preserve">Toujours pour ce produit : la part minimale présentant des caractéristiques environnementales ou sociales dans l’EET ?</t>
  </si>
  <si>
    <t xml:space="preserve">100</t>
  </si>
  <si>
    <t xml:space="preserve">Résultat Pour le fonds RMM Invest 15 S.L.P., la part minimale présentant des caractéristiques environnementales ou sociales dans l’EET est de : 100 % Détails complémentaires La valeur renseignée dans l’EET pour ce critère est de 100 %.</t>
  </si>
  <si>
    <t xml:space="preserve">Q1088</t>
  </si>
  <si>
    <t xml:space="preserve">Peux-tu retrouver la part minimale alignée sur la taxonomie selon le champ EET 20600 ?</t>
  </si>
  <si>
    <t xml:space="preserve">Résultat Pour le fonds RMM Invest 15 S.L.P., la part minimale alignée sur la taxonomie (champ EET 20600) est de : 0 % Détails complémentaires La valeur renseignée dans l’EET pour ce critère est de 0 %.</t>
  </si>
  <si>
    <t xml:space="preserve">Q1089</t>
  </si>
  <si>
    <t xml:space="preserve">Je passe à la rubrique suivante : l’objectif de gestion en français ?</t>
  </si>
  <si>
    <t xml:space="preserve">RMM Invest 15 S.L.P. est un fonds professionnel spécialisé ayant pour fonds maître le FPCI Five Arrows Principal Investments IV. Par conséquent, le Fonds a pour objet d’investir en permanence et en totalité dans le Fonds Maître et à titre accessoire en liquidités.
Le principal objectif d’investissement du Fonds Maître est de réaliser des investissements directs ou indirects dans des sociétés non cotées situées principalement en Europe. Le Fonds Maître prévoit que ces sociétés soient principalement actives dans certains secteurs clés que sont la santé, l’éducation, l’informatique, les données, et le service aux entreprises. Le Fonds Maître investira principalement dans des opérations de capital investissement et de capital-développement (growth capital).</t>
  </si>
  <si>
    <t xml:space="preserve">Résultat Objectif de gestion en français de RMM Invest 15 S.L.P. : « RMM Invest 15 S.L.P. est un fonds professionnel spécialisé ayant pour fonds maître le FPCI Five Arrows Principal Investments IV. Par conséquent, le Fonds a pour objet d’investir en permanence et en totalité dans le Fonds Maître et à titre accessoire en liquidités. Le principal objectif d’investissement du Fonds Maître est de réaliser des investissements directs ou indirects dans des sociétés non cotées situées principalement en Europe. Le Fonds Maître prévoit que ces sociétés soient principalement actives dans certains secteurs clés que sont la santé, l’éducation, l’informatique, les données, et le service aux entreprises. Le Fonds Maître investira principalement dans des opérations de capital investissement et de capital-développement (growth capital). » Détails complémentaires Aucune information complémentaire pertinente pour cette rubrique.</t>
  </si>
  <si>
    <t xml:space="preserve">texte long (99% des mots)</t>
  </si>
  <si>
    <t xml:space="preserve">Q1090</t>
  </si>
  <si>
    <t xml:space="preserve">Dans la rubrique profil de ce produit, quelle valeur est enregistrée pour la classe d’actifs du produit ?</t>
  </si>
  <si>
    <t xml:space="preserve">Résultat Pour le produit RMM Invest 15 S.L.P., la valeur enregistrée pour la classe d’actifs est : Equities Détails complémentaires La classe d’actifs correspond au champ métier « Classe d’actif » du profil produit.</t>
  </si>
  <si>
    <t xml:space="preserve">Q1091</t>
  </si>
  <si>
    <t xml:space="preserve">C219</t>
  </si>
  <si>
    <t xml:space="preserve">Dans la documentation produit de R-co Target 2032 HY, que dois-je reprendre pour la date de début du gérant principal ?</t>
  </si>
  <si>
    <t xml:space="preserve">2026-05-04 22:00:00</t>
  </si>
  <si>
    <t xml:space="preserve">Je n’ai pas pu identifier directement la documentation produit ni la fiche du fonds « R-co Target 2032 HY » dans les données accessibles. Pour retrouver la date de début du gérant principal, il faut normalement consulter la fiche du fonds puis l’information associée au gérant principal. Aucune information exploitable sur ce fonds n’a été trouvée dans les données actuellement accessibles. Résultat Aucune information disponible pour cette demande.</t>
  </si>
  <si>
    <t xml:space="preserve">Q1092</t>
  </si>
  <si>
    <t xml:space="preserve">Même fonds, autre point : l’allocation stratégique renseignée ?</t>
  </si>
  <si>
    <t xml:space="preserve">La stratégie d’investissement du compartiment ne se limite pas à du portage d’obligations : si la société de gestion tendra à conserver les titres jusqu’à leur maturité, elle pourra procéder à des arbitrages en cas d’identification d’une augmentation du risque de défaut d’un des émetteurs en portefeuille et/ou en cas de nouvelles opportunités de marché afin d’optimiser le taux actuariel moyen du portefeuille à l’échéance.
La stratégie d’exposition au risque de crédit s’effectuera en investissements directs. Le compartiment investira entre 80% et 100% de l’actif net dans des obligations à taux fixe, variable ou révisable, et autres titres de créances négociables, des obligations indexées sur l’inflation, émises par des sociétés de droit privé et/ou des entités supranationales/publiques ou des Etats et des bons à moyen terme négociables, dont 10% maximum de l’actif net en obligations convertibles. Ces titres seront libellés à 80% minimum de l’actif net en euro. Les titres éligibles en portefeuille pourront être de toute zone géographique, sauf de pays émergents.
Les titres émis par des émetteurs privés pourront représenter jusqu’à 100% maximum de l’actif net, dont 100% maximum d’émetteurs du secteur financier ; les titres émis par des entités publiques ou supranationales pourront représenter jusqu’à 10% de l’actif net maximum.
Les titres éligibles en portefeuille pourront être de toute zone géographique, sauf de pays émergents. Néanmoins la SICAV ne pourra pas détenir des émissions de sociétés ayant leur siège social en dehors de l’OCDE.</t>
  </si>
  <si>
    <t xml:space="preserve">Résultat Information trouvée Pour le fonds R-co Target 2032 HY, l’allocation stratégique renseignée est : « La stratégie d’investissement du compartiment ne se limite pas à du portage d’obligations : si la société de gestion tendra à conserver les titres jusqu’à leur maturité, elle pourra procéder à des arbitrages en cas d’identification d’une augmentation du risque de défaut d’un des émetteurs en portefeuille et/ou en cas de nouvelles opportunités de marché afin d’optimiser le taux actuariel moyen du portefeuille à l’échéance. La stratégie d’exposition au risque de crédit s’effectuera en investissements directs. Le compartiment investira entre 80 % et 100 % de l’actif net dans des obligations à taux fixe, variable ou révisable, et autres titres de créances négociables, des obligations indexées sur l’inflation, émises par des sociétés de droit privé et/ou des entités supranationales/publiques ou des Etats et des bons à moyen terme négociables, dont 10 % maximum de l’actif net en obligations convertibles. Ces titres seront libellés à 80 % minimum de l’actif net en euro. Les titres éligibles en portefeuille pourront être de toute zone géographique, sauf de pays émergents. Les titres émis par des émetteurs privés pourront représenter jusqu’à 100 % maximum de l’actif net, dont 100 % maximum d’émetteurs du secteur financier ; les titres émis par des entités publiques ou supranationales pourront représenter jusqu’à 10 % de l’actif net maximum. Les titres éligibles en portefeuille pourront être de toute zone géographique, sauf de pays émergents. Néanmoins la SICAV ne pourra pas détenir des émissions de sociétés ayant leur siège social en dehors de l’OCDE. »</t>
  </si>
  <si>
    <t xml:space="preserve">Q1093</t>
  </si>
  <si>
    <t xml:space="preserve">Passons à R-co Conviction Equity Multi Caps Euro. Quelle information as-tu pour la part minimale d’investissements durables environnementaux dans l’EET ?</t>
  </si>
  <si>
    <t xml:space="preserve">Résultat Information trouvée Pour le fonds R-co Conviction Equity Multi Caps Euro, la part minimale d’investissements durables déclarée dans l’EET est de 30 %. Détails complémentaires Les valeurs EET associées au fonds sont : Investissements alignés sur des caractéristiques/objectifs durables : 75 % Part minimale d’investissements durables : 30 % Dont investissements durables environnementaux : 0 % Dont investissements durables sociaux : 0 %</t>
  </si>
  <si>
    <t xml:space="preserve">Q1094</t>
  </si>
  <si>
    <t xml:space="preserve">Pour la ligne frais du dossier R-co Conviction Equity Multi Caps Euro, peux-tu retrouver le plafond des frais indirects de gestion ?</t>
  </si>
  <si>
    <t xml:space="preserve">Résultat Information trouvée Pour le fonds R-co Conviction Equity Multi Caps Euro, aucune valeur n’est renseignée pour le plafond des frais indirects de gestion dans les données disponibles. Détails complémentaires Aucune information disponible pour cette donnée sur ce fonds.</t>
  </si>
  <si>
    <t xml:space="preserve">Q1095</t>
  </si>
  <si>
    <t xml:space="preserve">Dernier point sur R-co Target 2032 HY, et non sur le fonds précédent : la moyenne triennale des coûts de transaction explicites ex ante ?</t>
  </si>
  <si>
    <t xml:space="preserve">Résultat Information trouvée Pour le fonds R-co Target 2032 HY, la moyenne triennale des coûts de transaction explicites ex ante est de 0,00 %. Détails complémentaires L’année de référence renseignée est 2026.</t>
  </si>
  <si>
    <t xml:space="preserve">Q1096</t>
  </si>
  <si>
    <t xml:space="preserve">C220</t>
  </si>
  <si>
    <t xml:space="preserve">RMM Infra 1</t>
  </si>
  <si>
    <t xml:space="preserve">Sur RMM Infra 1, j’ai besoin de la date de début du premier gérant suppléant pour une réponse RFI.</t>
  </si>
  <si>
    <t xml:space="preserve">2023-01-30 23:00:00</t>
  </si>
  <si>
    <t xml:space="preserve">Résultat Information trouvée Pour le fonds RMM Infra 1, la date de début du premier gérant suppléant est le 31/01/2023. Détails complémentaires Le fonds est en statut Production et la date enregistrée pour le premier gérant suppléant est le 31 janvier 2023.</t>
  </si>
  <si>
    <t xml:space="preserve">Q1097</t>
  </si>
  <si>
    <t xml:space="preserve">Peux-tu préciser le dépositaire désigné ?</t>
  </si>
  <si>
    <t xml:space="preserve">Résultat Information trouvée Pour le fonds RMM Infra 1 : Date de début du premier gérant suppléant : 31/01/2023 Dépositaire désigné : Rothschild &amp; Co Martin Maurel Détails complémentaires Le dépositaire enregistré pour ce fonds en Production est Rothschild &amp; Co Martin Maurel.</t>
  </si>
  <si>
    <t xml:space="preserve">Q1098</t>
  </si>
  <si>
    <t xml:space="preserve">R-co OPAL Equilibre</t>
  </si>
  <si>
    <t xml:space="preserve">Pour R-co OPAL Equilibre cette fois, que trouve-t-on concernant les coûts de transaction explicites ex post EMT ?</t>
  </si>
  <si>
    <t xml:space="preserve">0.01</t>
  </si>
  <si>
    <t xml:space="preserve">Résultat Information trouvée Pour le fonds R-co OPAL Equilibre : Coûts de transaction explicites ex post (EMT) : 0,01 Année de référence : 2025 Détails complémentaires La valeur enregistrée dans le référentiel Product Info pour les coûts de transaction explicites ex post EMT est de 0,01 pour l'année 2025.</t>
  </si>
  <si>
    <t xml:space="preserve">Q1099</t>
  </si>
  <si>
    <t xml:space="preserve">Je vérifie aussi l’existence d’une délégation de gestion financière : quelle est la donnée ?</t>
  </si>
  <si>
    <t xml:space="preserve">Résultat Information trouvée Pour le fonds R-co OPAL Equilibre, la délégation de gestion financière est renseignée à : Délégation de gestion financière : Non Détails complémentaires Aucun délégataire de gestion financière n'est renseigné pour ce fonds dans le référentiel Product Info.</t>
  </si>
  <si>
    <t xml:space="preserve">Q1100</t>
  </si>
  <si>
    <t xml:space="preserve">Je reviens à RMM Infra 1 : quelle donnée figure sur la mention relative au high water mark ?</t>
  </si>
  <si>
    <t xml:space="preserve">Résultat Information trouvée Pour le fonds RMM Infra 1, la donnée renseignée sur le high water mark est : Pas de high water mark Détails complémentaires Aucun mécanisme de high water mark n'est enregistré pour ce fonds dans le référentiel Product Info.</t>
  </si>
  <si>
    <t xml:space="preserve">Q1101</t>
  </si>
  <si>
    <t xml:space="preserve">C221</t>
  </si>
  <si>
    <t xml:space="preserve">Je vérifie R-co Target 2030 IG avant d’envoyer une fiche client : la date d’échéance indiquée pour le produit ?</t>
  </si>
  <si>
    <t xml:space="preserve">2030-12-30 23:00:00</t>
  </si>
  <si>
    <t xml:space="preserve">Résultat Pour le fonds « R-co Target 2030 IG », la date d’échéance enregistrée est le 31 décembre 2030. Détails complémentaires Le fonds est en statut Production et la date d’échéance renseignée dans le référentiel est : 31/12/2030.</t>
  </si>
  <si>
    <t xml:space="preserve">Q1102</t>
  </si>
  <si>
    <t xml:space="preserve">Dans la rubrique risque de ce produit, quelle valeur est enregistrée pour l’objectif de volatilité renseigné ?</t>
  </si>
  <si>
    <t xml:space="preserve">Résultat Pour le fonds « R-co Target 2030 IG », aucune valeur n’est renseignée pour l’objectif de volatilité dans le référentiel. Détails complémentaires La rubrique « objectif de volatilité » est présente sur le produit, mais aucun montant ou pourcentage n’est enregistré pour ce fonds en Production.</t>
  </si>
  <si>
    <t xml:space="preserve">Q1103</t>
  </si>
  <si>
    <t xml:space="preserve">Quelle donnée faut-il retenir pour l’indicateur de tarification all-in ?</t>
  </si>
  <si>
    <t xml:space="preserve">Résultat Aucune information disponible pour cette demande. Détails complémentaires Je ne trouve pas, dans le référentiel Product Info consultable, de définition métier indiquant quelle donnée doit être retenue pour l’indicateur de tarification « all-in ». Il s’agit vraisemblablement d’une règle de calcul ou d’un indicateur métier qui n’est pas stocké directement comme caractéristique produit dans les données consultées.</t>
  </si>
  <si>
    <t xml:space="preserve">Q1104</t>
  </si>
  <si>
    <t xml:space="preserve">Passe maintenant à l’indicateur de rétrocessions sur OPC de tête.</t>
  </si>
  <si>
    <t xml:space="preserve">Résultat Aucune information disponible pour cette demande. Détails complémentaires Je ne trouve pas dans le référentiel Product Info de règle métier, d’indicateur ou de champ explicitement associé à « rétrocessions sur OPC de tête ». Les données consultables permettent de retrouver les caractéristiques des fonds, parts, gérants, pays d’enregistrement et frais, mais pas la définition métier de cet indicateur.</t>
  </si>
  <si>
    <t xml:space="preserve">Q1105</t>
  </si>
  <si>
    <t xml:space="preserve">Et pour la part minimale présentant des caractéristiques environnementales ou sociales dans l’EET, qu’est-ce qui est indiqué ?</t>
  </si>
  <si>
    <t xml:space="preserve">Résultat Pour le fonds « R-co Target 2030 IG », la part minimale présentant des caractéristiques environnementales ou sociales dans l’EET est de 50 %. Détails complémentaires La valeur enregistrée dans le référentiel Product Info pour cet indicateur EET est de 50. Cela correspond à une part minimale de 50 % des investissements présentant des caractéristiques environnementales ou sociales.</t>
  </si>
  <si>
    <t xml:space="preserve">Q1106</t>
  </si>
  <si>
    <t xml:space="preserve">C222</t>
  </si>
  <si>
    <t xml:space="preserve">RMM Infra 2</t>
  </si>
  <si>
    <t xml:space="preserve">Concernant RMM Infra 2, peux-tu retrouver la forme juridique du fonds dans la fiche ?</t>
  </si>
  <si>
    <t xml:space="preserve">Résultat Information trouvée Pour le fonds « RMM Infra 2 », la forme juridique indiquée dans la fiche est : FCP (Fonds Commun de Placement). Détails complémentaires Fonds : RMM Infra 2 Statut : Production Forme juridique : FCP (Fonds Commun de Placement)</t>
  </si>
  <si>
    <t xml:space="preserve">Q1107</t>
  </si>
  <si>
    <t xml:space="preserve">Dans la continuité, l’indicateur de risque de contrepartie ?</t>
  </si>
  <si>
    <t xml:space="preserve">Résultat Information trouvée Pour le fonds « RMM Infra 2 », l’indicateur de risque de contrepartie est : Non. Détails complémentaires Fonds : RMM Infra 2 Risque de contrepartie : Non</t>
  </si>
  <si>
    <t xml:space="preserve">Q1108</t>
  </si>
  <si>
    <t xml:space="preserve">R-co Sentinel</t>
  </si>
  <si>
    <t xml:space="preserve">Autre dossier, R-co Sentinel : peux-tu vérifier le jour de calcul de VL renseigné au niveau produit ?</t>
  </si>
  <si>
    <t xml:space="preserve">Résultat Information trouvée Pour le fonds « R-co Sentinel », je retrouve bien le produit en statut Production, mais aucun jour de calcul de VL n’est renseigné dans la fiche produit. Détails complémentaires Fonds : R-co Sentinel Jour de calcul de VL (niveau produit) : non renseigné Fréquence de VL (niveau produit) : non renseignée également Aucune information disponible dans ces champs au niveau du produit.</t>
  </si>
  <si>
    <t xml:space="preserve">Q1109</t>
  </si>
  <si>
    <t xml:space="preserve">Pour la ligne frais du dossier R-co Sentinel, peux-tu retrouver le plafond des frais indirects de gestion ?</t>
  </si>
  <si>
    <t xml:space="preserve">Résultat Information trouvée Pour le fonds « R-co Sentinel », le plafond des frais indirects de gestion est de 2,00. Détails complémentaires Fonds : R-co Sentinel Plafond des frais indirects de gestion : 2,00% (valeur renseignée dans la fiche produit)</t>
  </si>
  <si>
    <t xml:space="preserve">Q1110</t>
  </si>
  <si>
    <t xml:space="preserve">Dernier point sur RMM Infra 2, et non sur le fonds précédent : l’information renseignée dans le champ Article 29, sans déduire une conformité ?</t>
  </si>
  <si>
    <t xml:space="preserve">Résultat Information trouvée Pour le fonds « RMM Infra 2 », la valeur renseignée dans le champ « Article 29 » est : Solution dédiée. Détails complémentaires Fonds : RMM Infra 2 Champ Article 29 : Solution dédiée Cette réponse correspond uniquement à la valeur enregistrée dans la fiche produit, sans interprétation ni conclusion sur une conformité réglementaire.</t>
  </si>
  <si>
    <t xml:space="preserve">Q1111</t>
  </si>
  <si>
    <t xml:space="preserve">C223</t>
  </si>
  <si>
    <t xml:space="preserve">Pour R-co Valor Balanced, je cherche le dépositaire désigné. Quelle information est enregistrée ?</t>
  </si>
  <si>
    <t xml:space="preserve">Résultat Information trouvée Pour le fonds R-co Valor Balanced (version en statut Production), le dépositaire enregistré est : Rothschild &amp; Co Martin Maurel Détails complémentaires Les informations associées au fonds indiquent également : Dépositaire : Rothschild &amp; Co Martin Maurel Centralisateur : Rothschild &amp; Co Martin Maurel Valorisateur : Caceis Fund Administration Ces informations sont celles actuellement enregistrées pour la version Production du fonds.</t>
  </si>
  <si>
    <t xml:space="preserve">Q1112</t>
  </si>
  <si>
    <t xml:space="preserve">Qu’en est-il de l’univers d’investissement renseigné ?</t>
  </si>
  <si>
    <t xml:space="preserve">MXWD Index;BTSYTRUU Index;QW5A Index;HE00 Index</t>
  </si>
  <si>
    <t xml:space="preserve">Résultat Information trouvée Pour le fonds R-co Valor Balanced (version en statut Production), l’univers d’investissement renseigné est : MSCI ACWI Net Return EUR Bloomberg Barclays Global Treasury Total Return USD IHS Markit iBoxx EUR Corporates Total Return EUR ICE BofA Euro High Yield Index Total Return EUR Détails complémentaires L’univers d’investissement est enregistré sous la forme suivante : MXWD Index BTSYTRUU Index QW5A Index HE00 Index Ces codes correspondent respectivement aux indices listés ci-dessus.</t>
  </si>
  <si>
    <t xml:space="preserve">Q1113</t>
  </si>
  <si>
    <t xml:space="preserve">Peux-tu contrôler l’indicateur d’investisseur informé pour ce dossier ?</t>
  </si>
  <si>
    <t xml:space="preserve">Résultat Information trouvée Pour le fonds R-co Valor Balanced (version en statut Production), l’indicateur « Investisseur informé » est renseigné à : Oui Détails complémentaires L’information est actuellement enregistrée comme active pour ce fonds dans le référentiel Product Info.</t>
  </si>
  <si>
    <t xml:space="preserve">Q1114</t>
  </si>
  <si>
    <t xml:space="preserve">Et sur l’indicateur de risque de liquidité, quelle est la valeur ?</t>
  </si>
  <si>
    <t xml:space="preserve">Résultat Information trouvée Pour le fonds R-co Valor Balanced (version en statut Production), l’indicateur de risque de liquidité est renseigné à : Non Détails complémentaires Les indicateurs de risque de liquidité enregistrés sont les suivants : Risque de liquidité : Non Risque de liquidité actions : Non Risque de liquidité alternatif : Non Aucun risque de liquidité n’est actuellement signalé sur ces indicateurs pour ce fonds.</t>
  </si>
  <si>
    <t xml:space="preserve">Q1115</t>
  </si>
  <si>
    <t xml:space="preserve">Pour finir, indique-moi l’indicateur de disponibilité de l’EET pour le fonds.</t>
  </si>
  <si>
    <t xml:space="preserve">Résultat Information trouvée Pour le fonds R-co Valor Balanced (version en statut Production), l’indicateur de disponibilité de l’EET est renseigné à : Oui Détails complémentaires Le fonds est donc identifié comme disposant d’un EET (European ESG Template) dans le référentiel Product Info.</t>
  </si>
  <si>
    <t xml:space="preserve">Q1116</t>
  </si>
  <si>
    <t xml:space="preserve">C224</t>
  </si>
  <si>
    <t xml:space="preserve">Pour le dossier RMM US 1 S.L.P., peux-tu me confirmer l’allocation stratégique en français ?</t>
  </si>
  <si>
    <t xml:space="preserve">Le Fonds Maître peut, dans le cadre de ses investissements en actions et ou portant sur des titres de capitaux, réaliser des Investissements Relais. Le Fonds Maître peut également investir dans des Investissements Temporaires et dans des Titres de Dette Autorisés. Le Fonds Maître investira principalement dans des Sociétés Sous-Jacentes qui sont constituées ou établies, ou exercent la majorité de leurs activités, ou tirent des revenus substantiels aux Etats-Unis ou au Canada.</t>
  </si>
  <si>
    <t xml:space="preserve">Résultat Information trouvée pour le fonds RMM US 1 S.L.P. (statut Production) : « Le Fonds Maître peut, dans le cadre de ses investissements en actions et ou portant sur des titres de capitaux, réaliser des Investissements Relais. Le Fonds Maître peut également investir dans des Investissements Temporaires et dans des Titres de Dette Autorisés. Le Fonds Maître investira principalement dans des Sociétés Sous-Jacentes qui sont constituées ou établies, ou exercent la majorité de leurs activités, ou tirent des revenus substantiels aux États-Unis ou au Canada. » Détails complémentaires Fonds : RMM US 1 S.L.P. Statut : Production.</t>
  </si>
  <si>
    <t xml:space="preserve">Q1117</t>
  </si>
  <si>
    <t xml:space="preserve">Et l’indicateur de connaissance de base de l’investisseur pour ce même fonds ?</t>
  </si>
  <si>
    <t xml:space="preserve">Résultat Pour le fonds RMM US 1 S.L.P., l’indicateur de connaissance de base de l’investisseur est : Connaissance de base de l’investisseur : Neutre Détails complémentaires Cette valeur correspond au critère « investisseur de base » enregistré pour ce fonds.</t>
  </si>
  <si>
    <t xml:space="preserve">Q1118</t>
  </si>
  <si>
    <t xml:space="preserve">R-co Thematic Family Businesses</t>
  </si>
  <si>
    <t xml:space="preserve">Pour R-co Thematic Family Businesses cette fois, que trouve-t-on concernant la date de début du deuxième gérant suppléant ?</t>
  </si>
  <si>
    <t xml:space="preserve">2018-12-14 00:00:00</t>
  </si>
  <si>
    <t xml:space="preserve">Résultat Pour le fonds R-co Thematic Family Businesses, la date de début du deuxième gérant suppléant est : 14 décembre 2018 Détails complémentaires Fonds trouvé en statut Production.</t>
  </si>
  <si>
    <t xml:space="preserve">Q1119</t>
  </si>
  <si>
    <t xml:space="preserve">Pour finaliser la réponse client, précise le jour de calcul de VL renseigné au niveau produit.</t>
  </si>
  <si>
    <t xml:space="preserve">Résultat Pour le fonds R-co Thematic Family Businesses, l’information relative au jour de calcul de la VL n’est pas renseignée dans les données produit consultées. Détails complémentaires La date de début du deuxième gérant suppléant est bien renseignée au 14 décembre 2018, mais aucun jour de calcul de VL n’est retourné pour ce produit dans les informations disponibles.</t>
  </si>
  <si>
    <t xml:space="preserve">Q1120</t>
  </si>
  <si>
    <t xml:space="preserve">Reprenons RMM US 1 S.L.P. pour terminer : peux-tu vérifier l’existence d’une délégation de gestion financière ?</t>
  </si>
  <si>
    <t xml:space="preserve">Résultat Pour le fonds RMM US 1 S.L.P., il n’existe pas de délégation de gestion financière. Délégation de gestion financière : Non Détails complémentaires Aucun délégataire de gestion financière n’est renseigné pour ce fonds.</t>
  </si>
  <si>
    <t xml:space="preserve">Q1121</t>
  </si>
  <si>
    <t xml:space="preserve">C225</t>
  </si>
  <si>
    <t xml:space="preserve">Je prépare une DDQ sur R-co Conviction Credit Euro. Quelle est l’information disponible concernant les coûts de transaction implicites ex post EMT ?</t>
  </si>
  <si>
    <t xml:space="preserve">0.044</t>
  </si>
  <si>
    <t xml:space="preserve">Résultat Information trouvée Pour le fonds R-co Conviction Credit Euro en statut Production, le coût de transaction implicite ex post EMT enregistré est de 0,00 % pour l’année 2025. Détails complémentaires Historique disponible : 2025 : 0,00 % 2024 : 0,04 % 2023 : 0,049 % 2022 : 0,01 % 2021 : 0,00 % Ces valeurs correspondent aux coûts de transaction implicites ex post EMT enregistrés dans le référentiel pour ce fonds.</t>
  </si>
  <si>
    <t xml:space="preserve">Q1122</t>
  </si>
  <si>
    <t xml:space="preserve">J’ai aussi besoin de l’objectif de gestion en français.</t>
  </si>
  <si>
    <t xml:space="preserve">R-co Conviction Credit Euro est investi en obligations d'entreprises privées. Son univers d'investissement est principalement constitué de titres «Investment Grade». L'objectif de gestion de R-co Conviction Credit Euro est d'obtenir une performance supérieure à celle de l'indice Markit iBoxx™ € Corporates sur l'horizon de placement recommandé. L'indice Markit iBoxx™ € Corporates est composé de toutes les obligations à taux fixe émises en euro par les entreprises publiques ou privées, d'un encours au moins égal à 500 millions d'euros.</t>
  </si>
  <si>
    <t xml:space="preserve">Résultat Information trouvée Objectif de gestion (français) de R-co Conviction Credit Euro : « R-co Conviction Credit Euro est investi en obligations d'entreprises privées. Son univers d'investissement est principalement constitué de titres “Investment Grade”. L'objectif de gestion de R-co Conviction Credit Euro est d'obtenir une performance supérieure à celle de l'indice Markit iBoxx™ € Corporates sur l'horizon de placement recommandé. L'indice Markit iBoxx™ € Corporates est composé de toutes les obligations à taux fixe émises en euro par les entreprises publiques ou privées, d'un encours au moins égal à 500 millions d'euros. » Détails complémentaires Le fonds est actuellement en statut Production. Concernant les coûts de transaction implicites ex post EMT, la valeur enregistrée pour 2025 est de 0,00 %.</t>
  </si>
  <si>
    <t xml:space="preserve">Q1123</t>
  </si>
  <si>
    <t xml:space="preserve">Je change de fonds : sur R-co Valor 4Change Global Equity, que dit la fiche pour la date de début du deuxième gérant suppléant ?</t>
  </si>
  <si>
    <t xml:space="preserve">2022-01-01 00:00:00</t>
  </si>
  <si>
    <t xml:space="preserve">Résultat Information trouvée Pour le fonds R-co Valor 4Change Global Equity, la date de début du deuxième gérant suppléant est le 1er janvier 2022. Détails complémentaires Le fonds consulté est en statut Production.</t>
  </si>
  <si>
    <t xml:space="preserve">Q1124</t>
  </si>
  <si>
    <t xml:space="preserve">Autre rubrique du même dossier : le catégorie ESG AMF renseignée ?</t>
  </si>
  <si>
    <t xml:space="preserve">Résultat Information trouvée Pour le fonds R-co Valor 4Change Global Equity, la catégorie ESG AMF renseignée est : 1. Détails complémentaires Cette information provient de la fiche du fonds en statut Production.</t>
  </si>
  <si>
    <t xml:space="preserve">Q1125</t>
  </si>
  <si>
    <t xml:space="preserve">Dernier point sur R-co Conviction Credit Euro, et non sur le fonds précédent : l’indicateur de thématique ESG existante dans l’EET ?</t>
  </si>
  <si>
    <t xml:space="preserve">Résultat Information trouvée Pour le fonds R-co Conviction Credit Euro, l’indicateur « thématique ESG existante dans l’EET » est renseigné à : Non. Détails complémentaires Information issue de la fiche du fonds en statut Production.</t>
  </si>
  <si>
    <t xml:space="preserve">Q1126</t>
  </si>
  <si>
    <t xml:space="preserve">C226</t>
  </si>
  <si>
    <t xml:space="preserve">Pour Capital Diversifié, quelle valeur est renseignée pour l’indicateur de frais de gestion spécifiques, sans l’interpréter comme un taux ?</t>
  </si>
  <si>
    <t xml:space="preserve">Résultat Pour le fonds « Capital Diversifié », la valeur renseignée pour l’indicateur de frais de gestion spécifiques est : Non Cette valeur correspond à l’indicateur lui-même et non à un taux.</t>
  </si>
  <si>
    <t xml:space="preserve">Q1127</t>
  </si>
  <si>
    <t xml:space="preserve">Toujours pour ce produit : l’objectif de gestion renseigné ?</t>
  </si>
  <si>
    <t xml:space="preserve">L'objectif de gestion est de générer au terme de l'horizon d'investissement de 3 ans un rendement positif et supérieur de 1.5% à l'inflation de la zone Euro. La politique de gestion du fonds vise à maintenir le meilleur équilibre entre potentiel d’appréciation et risque mesuré sur l’horizon de gestion de 3 ans, en adaptant la pondération des classes d’actifs, principalement actions et produits de taux, aux évolutions économiques et financières, en sélectionnant les supports semblant présenter le meilleur couple rendement/risque compte tenu de la situation présente et des perspectives, et en appliquant une forte diversification des émetteurs et supports utilisés.  Le FCP est investi en actions, obligations convertibles, obligations et autres produits de taux. Les actions sont investies sur la zone Euro et les autres grandes zones économiques.</t>
  </si>
  <si>
    <t xml:space="preserve">Résultat L’objectif de gestion renseigné pour le fonds « Capital Diversifié » est : « L'objectif de gestion est de générer au terme de l'horizon d'investissement de 3 ans un rendement positif et supérieur de 1.5% à l'inflation de la zone Euro. La politique de gestion du fonds vise à maintenir le meilleur équilibre entre potentiel d’appréciation et risque mesuré sur l’horizon de gestion de 3 ans, en adaptant la pondération des classes d’actifs, principalement actions et produits de taux, aux évolutions économiques et financières, en sélectionnant les supports semblant présenter le meilleur couple rendement/risque compte tenu de la situation présente et des perspectives, et en appliquant une forte diversification des émetteurs et supports utilisés. Le FCP est investi en actions, obligations convertibles, obligations et autres produits de taux. Les actions sont investies sur la zone Euro et les autres grandes zones économiques. »</t>
  </si>
  <si>
    <t xml:space="preserve">Q1128</t>
  </si>
  <si>
    <t xml:space="preserve">Peux-tu retrouver l’indicateur de risque de contrepartie ?</t>
  </si>
  <si>
    <t xml:space="preserve">Résultat Pour le fonds « Capital Diversifié », l’indicateur de risque de contrepartie est : Non Détails complémentaires Aucun risque de contrepartie n’est indiqué pour ce fonds dans le référentiel.</t>
  </si>
  <si>
    <t xml:space="preserve">Q1129</t>
  </si>
  <si>
    <t xml:space="preserve">Je passe à la rubrique suivante : la classe d’actifs du produit ?</t>
  </si>
  <si>
    <t xml:space="preserve">Résultat Pour le fonds « Capital Diversifié », la classe d’actifs renseignée est : Diversified Détails complémentaires Cette information correspond à la classe d’actifs du produit telle qu’enregistrée dans le référentiel Product Info.</t>
  </si>
  <si>
    <t xml:space="preserve">Q1130</t>
  </si>
  <si>
    <t xml:space="preserve">Et concernant l’univers d’investissement renseigné, que dit la fiche ?</t>
  </si>
  <si>
    <t xml:space="preserve">Résultat Pour le fonds « Capital Diversifié », l’univers d’investissement renseigné est : NDEEWNR Index LBEATREU Index Détails complémentaires La fiche produit contient la valeur suivante : « NDEEWNR Index;LBEATREU Index ».</t>
  </si>
  <si>
    <t xml:space="preserve">Q1131</t>
  </si>
  <si>
    <t xml:space="preserve">C227</t>
  </si>
  <si>
    <t xml:space="preserve">Dans la documentation produit de R-co Target 2028 IG, que dois-je reprendre pour la part minimale d’investissements durables sociaux dans l’EET ?</t>
  </si>
  <si>
    <t xml:space="preserve">Résultat Pour le fonds/produit « R-co Target 2028 IG », la valeur à reprendre pour la part minimale d’investissements durables sociaux dans l’EET est : 0 % Détails complémentaires Cette information est renseignée à 0 dans le référentiel Product Info pour le fonds en statut Production.</t>
  </si>
  <si>
    <t xml:space="preserve">Q1132</t>
  </si>
  <si>
    <t xml:space="preserve">Même fonds, autre point : l’indicateur d’indice ESG de référence dans l’EET, sans identifier un indice de part ?</t>
  </si>
  <si>
    <t xml:space="preserve">Résultat Pour « R-co Target 2028 IG », l’indicateur « indice ESG de référence » dans l’EET n’est pas renseigné dans le référentiel Product Info. Détails complémentaires Aucune information disponible pour cette demande. Le champ correspondant à cet indicateur ne contient pas de valeur pour ce fonds en Production.</t>
  </si>
  <si>
    <t xml:space="preserve">Q1133</t>
  </si>
  <si>
    <t xml:space="preserve">Passons à R-co 4Change Net Zero Credit Euro. Quelle information as-tu pour l’indication de commission de surperformance au niveau produit ?</t>
  </si>
  <si>
    <t xml:space="preserve">Résultat Pour le fonds « R-co 4Change Net Zero Credit Euro » en Production, l’information disponible au niveau produit concernant la commission de surperformance est : High Water Mark : Non Valeur renseignée : « Pas de high water mark » Détails complémentaires Aucune autre information de commission de surperformance (existence de la commission, formule ou pourcentage de surperformance) n'est renseignée au niveau produit dans le référentiel pour ce fonds en Production. Seule l'information relative au High Water Mark est disponible.</t>
  </si>
  <si>
    <t xml:space="preserve">Q1134</t>
  </si>
  <si>
    <t xml:space="preserve">Qu’indique Product Info sur la part minimale alignée sur la taxonomie selon le champ EET 20600 ?</t>
  </si>
  <si>
    <t xml:space="preserve">Résultat Pour le fonds « R-co 4Change Net Zero Credit Euro », la valeur du champ EET 20600 (part minimale alignée sur la taxonomie) est : 5 % Détails complémentaires Cette valeur est renseignée au niveau produit dans le référentiel Product Info pour le fonds en Production.</t>
  </si>
  <si>
    <t xml:space="preserve">Q1135</t>
  </si>
  <si>
    <t xml:space="preserve">Reprenons R-co Target 2028 IG pour terminer : peux-tu vérifier l’indicateur d’investisseur averti ?</t>
  </si>
  <si>
    <t xml:space="preserve">Résultat Pour le fonds « R-co Target 2028 IG », l’indicateur « investisseur averti » est : Oui Détails complémentaires Cette information est renseignée au niveau produit dans le référentiel Product Info pour le fonds en Production.</t>
  </si>
  <si>
    <t xml:space="preserve">Q1136</t>
  </si>
  <si>
    <t xml:space="preserve">C228</t>
  </si>
  <si>
    <t xml:space="preserve">Sur Capital Long Terme, j’ai besoin de la région de référence renseignée pour le produit pour une réponse RFI.</t>
  </si>
  <si>
    <t xml:space="preserve">Résultat Pour le fonds Capital Long Terme, la région de référence renseignée est : « Monde ». Détails complémentaires Cette information est enregistrée sur le produit en statut Production.</t>
  </si>
  <si>
    <t xml:space="preserve">Q1137</t>
  </si>
  <si>
    <t xml:space="preserve">Peux-tu préciser la date de début du premier gérant suppléant ?</t>
  </si>
  <si>
    <t xml:space="preserve">2022-05-04 22:00:00</t>
  </si>
  <si>
    <t xml:space="preserve">Résultat La date de début du premier gérant suppléant pour le fonds Capital Long Terme est le 5 mai 2022. Détails complémentaires Aucune autre précision n'est renseignée dans l'information retournée concernant cette date.</t>
  </si>
  <si>
    <t xml:space="preserve">Q1138</t>
  </si>
  <si>
    <t xml:space="preserve">Qu’est-ce qui est enregistré sur l’indicateur de risque de liquidité ?</t>
  </si>
  <si>
    <t xml:space="preserve">Résultat Pour le fonds Capital Long Terme, l’indicateur de risque de liquidité est renseigné à : « Non ». Détails complémentaires Le risque de liquidité n’est donc pas identifié comme applicable sur cet indicateur pour ce fonds.</t>
  </si>
  <si>
    <t xml:space="preserve">Q1139</t>
  </si>
  <si>
    <t xml:space="preserve">Dans la rubrique stratégie de ce produit, quelle valeur est enregistrée pour l’allocation stratégique renseignée ?</t>
  </si>
  <si>
    <t xml:space="preserve">Le FCP est investi en actions, obligations convertibles, obligations et autres produits de taux.
- Actions: max 50% et min 30% de la poche actions en actions de la zone Euro. Max 10% en small cap (&lt;1Md€). MAx 12% de l'actif net en actions des pays émergents.
- Obligations et produits de taux: min 90% en emetteurs de l'OCDE. HY et NR max 25% de la poche taux. Obligations convertibles: max 10% de la poche taux.
- Risque de change: min 50% et max 35% hors Euro
- OPCVM: max 30% dont 10% en OPCVM de produits de taux
- Sensibilité de la poche taux comprise entre -2 et 8</t>
  </si>
  <si>
    <t xml:space="preserve">Résultat Pour le fonds Capital Long Terme, l’allocation stratégique renseignée est : « Le FCP est investi en actions, obligations convertibles, obligations et autres produits de taux. Actions : max 50 % et min 30 % de la poche actions en actions de la zone Euro. Max 10 % en small cap (&lt; 1 Md€). Max 12 % de l’actif net en actions des pays émergents. Obligations et produits de taux : min 90 % en émetteurs de l’OCDE. HY et NR max 25 % de la poche taux. Obligations convertibles : max 10 % de la poche taux. Risque de change : min 50 % et max 35 % hors Euro. OPCVM : max 30 % dont 10 % en OPCVM de produits de taux. Sensibilité de la poche taux comprise entre -2 et 8 » Détails complémentaires Il s’agit de la valeur enregistrée dans la rubrique de stratégie du produit.</t>
  </si>
  <si>
    <t xml:space="preserve">Q1140</t>
  </si>
  <si>
    <t xml:space="preserve">Pour ce produit, termine par l’indicateur de risque de crédit.</t>
  </si>
  <si>
    <t xml:space="preserve">Résultat Pour le fonds Capital Long Terme, l’indicateur de risque de crédit est renseigné à : « Non ». Détails complémentaires Le risque de crédit n’est pas identifié comme applicable sur cet indicateur pour ce fonds.</t>
  </si>
  <si>
    <t xml:space="preserve">Q1141</t>
  </si>
  <si>
    <t xml:space="preserve">C229</t>
  </si>
  <si>
    <t xml:space="preserve">Je vérifie R-co Target 2027 HY avant d’envoyer une fiche client : la part minimale d’investissements durables environnementaux dans l’EET ?</t>
  </si>
  <si>
    <t xml:space="preserve">Résultat Information trouvée Pour le fonds R-co Target 2027 HY, la part minimale d’investissements durables déclarée dans l’EET (champ EET 20420) est de 20 %. Détails complémentaires Cette information est issue du référentiel Produit en statut Production pour le fonds R-co Target 2027 HY.</t>
  </si>
  <si>
    <t xml:space="preserve">Q1142</t>
  </si>
  <si>
    <t xml:space="preserve">Pour ce même produit, la moyenne triennale des coûts de transaction implicites ex ante ?</t>
  </si>
  <si>
    <t xml:space="preserve">0.099</t>
  </si>
  <si>
    <t xml:space="preserve">Résultat Information trouvée Pour le fonds R-co Target 2027 HY, la moyenne triennale des coûts de transaction implicites ex ante est de 0,099 %. Détails complémentaires Cette valeur est celle enregistrée dans le référentiel Produit en statut Production.</t>
  </si>
  <si>
    <t xml:space="preserve">Q1143</t>
  </si>
  <si>
    <t xml:space="preserve">Je change de fonds : sur R-co Target 2029 HY, que dit la fiche pour les coûts de transaction explicites ex post EMT ?</t>
  </si>
  <si>
    <t xml:space="preserve">Résultat Information trouvée Pour le fonds R-co Target 2029 HY, les coûts de transaction explicites ex post EMT sont de 0,00 %. Détails complémentaires Cette valeur est celle enregistrée dans le référentiel Produit en statut Production.</t>
  </si>
  <si>
    <t xml:space="preserve">Q1144</t>
  </si>
  <si>
    <t xml:space="preserve">Passe maintenant à le premier taux de frais de gestion renseigné au niveau produit.</t>
  </si>
  <si>
    <t xml:space="preserve">Résultat Information trouvée Pour le fonds R-co Target 2029 HY, aucun premier taux de frais de gestion n’est renseigné au niveau produit. Détails complémentaires La fiche Produit en statut Production ne contient pas de valeur pour ce champ.</t>
  </si>
  <si>
    <t xml:space="preserve">Q1145</t>
  </si>
  <si>
    <t xml:space="preserve">Je reviens à R-co Target 2027 HY : quelle donnée figure sur la moyenne triennale des coûts de transaction explicites ex ante ?</t>
  </si>
  <si>
    <t xml:space="preserve">Résultat Information trouvée Pour le fonds R-co Target 2027 HY, la moyenne triennale des coûts de transaction explicites ex ante est de 0,00 %. Détails complémentaires Cette valeur est celle enregistrée dans le référentiel Produit en statut Production.</t>
  </si>
  <si>
    <t xml:space="preserve">Q1146</t>
  </si>
  <si>
    <t xml:space="preserve">C230</t>
  </si>
  <si>
    <t xml:space="preserve">RMM Invest 13 S.L.P.</t>
  </si>
  <si>
    <t xml:space="preserve">Concernant RMM Invest 13 S.L.P., peux-tu retrouver l’indicateur d’investissement durable dans l’EET dans la fiche ?</t>
  </si>
  <si>
    <t xml:space="preserve">Résultat Information trouvée Pour le fonds « RMM Invest 13 S.L.P. », l’indicateur d’investissement durable dans l’EET (champ correspondant à « La part minimale d’investissements durables déclarée dans l’EET ») est de : 0 % Détails complémentaires Le fonds RMM Invest 13 S.L.P. est présent en statut Production et la valeur enregistrée pour cet indicateur est 0.</t>
  </si>
  <si>
    <t xml:space="preserve">Q1147</t>
  </si>
  <si>
    <t xml:space="preserve">Pour la ligne esg du dossier RMM Invest 13 S.L.P., peux-tu retrouver la part minimale d’investissements durables déclarée dans l’EET ?</t>
  </si>
  <si>
    <t xml:space="preserve">Résultat Information trouvée Pour le dossier ESG du fonds « RMM Invest 13 S.L.P. », la « part minimale d’investissements durables déclarée dans l’EET » est de : 0 % Détails complémentaires Cette valeur est celle enregistrée dans la fiche du fonds en Production pour l’indicateur EET correspondant à la part minimale d’investissements durables déclarée dans l’EET.</t>
  </si>
  <si>
    <t xml:space="preserve">Q1148</t>
  </si>
  <si>
    <t xml:space="preserve">Autre dossier, Martin Maurel Capi Provence : peux-tu vérifier le plafond des frais indirects de souscription, distinct d’un droit d’entrée de part ?</t>
  </si>
  <si>
    <t xml:space="preserve">Résultat Information trouvée Pour le fonds « Martin Maurel Capi Provence », le plafond des frais indirects de souscription est de : 1,50 % Détails complémentaires Cette valeur correspond au plafond des frais indirects de souscription enregistré dans la fiche du fonds, distinct des éventuels droits d’entrée applicables aux parts.</t>
  </si>
  <si>
    <t xml:space="preserve">Q1149</t>
  </si>
  <si>
    <t xml:space="preserve">Je voudrais également l’échelle de risque officielle renseignée.</t>
  </si>
  <si>
    <t xml:space="preserve">Résultat Information trouvée Pour le fonds « Martin Maurel Capi Provence », aucune valeur d’échelle de risque officielle n’est renseignée dans la fiche. Détails complémentaires Le champ correspondant à l’échelle de risque officielle ne contient pas de valeur pour ce fonds en Production.</t>
  </si>
  <si>
    <t xml:space="preserve">Q1150</t>
  </si>
  <si>
    <t xml:space="preserve">Reprenons RMM Invest 13 S.L.P. pour terminer : peux-tu vérifier la part minimale d’investissements durables environnementaux dans l’EET ?</t>
  </si>
  <si>
    <t xml:space="preserve">Résultat Information trouvée Pour le fonds « RMM Invest 13 S.L.P. », la part minimale d’investissements durables environnementaux déclarée dans l’EET est de : 0 % Détails complémentaires Les indicateurs EET liés aux investissements durables du fonds sont renseignés à 0 %, ce qui inclut la composante environnementale.</t>
  </si>
  <si>
    <t xml:space="preserve">Q1151</t>
  </si>
  <si>
    <t xml:space="preserve">C231</t>
  </si>
  <si>
    <t xml:space="preserve">Pour R-co 4Change Green Bonds, je cherche la méthode de calcul de l’exposition globale. Quelle information est enregistrée ?</t>
  </si>
  <si>
    <t xml:space="preserve">VaR relative</t>
  </si>
  <si>
    <t xml:space="preserve">Résultat Information trouvée Pour le fonds « R-co 4Change Green Bonds », la méthode de calcul de l’exposition globale enregistrée est : « VaR relative ». Détails complémentaires Cette information est enregistrée sur le fonds en statut Production.</t>
  </si>
  <si>
    <t xml:space="preserve">Q1152</t>
  </si>
  <si>
    <t xml:space="preserve">Qu’en est-il de l’allocation stratégique en français ?</t>
  </si>
  <si>
    <t xml:space="preserve">L’allocation stratégique du compartiment sera la suivante : (i) au moins 75% de l’actif net investi dans des obligations ciblant en priorité le financement de la transition écologique et énergétique, relevant des obligations vertes (green bonds) telles que définies par les Green Bonds Principles selon l’International Capital Market Association (ICMA) et/ou par les standards européens "EU GBS", et (ii) au maximum 25% de l'actif net en obligations sociales et/ou, durables telles que définies respectivement par les Social Bond Principles (SBP) et les Sustainability Bond Guidelines (SBG) de l’ICMA. Le produit de l’émission de ces obligations est utilisé pour financer des projets ayant des effets sociaux positifs ou des projets qui combinent à la fois les aspects environnementaux et sociaux.
Le processus de sélection des obligations à caractère durable est réalisé sur la base des GBP, des SBP et des SBG de l’ICMA dont les quatre grands principes sont l’utilisation des fonds, un processus de sélection et d’évaluation des projets, la gestion des fonds et le reporting. Au travers de sources de données externes utilisées par la société de gestion dans la mise en œuvre de la stratégie d’investissement, la sélection des obligations à caractère durable repose sur le respect de certains critères tels que la nature et l’éligibilité du projet vert et/ou social à financer, ainsi que les objectifs poursuivis en matière de préservation de l’environnement et/ou sociaux. De plus, le cadre de transparence et la qualité d’informations communiquées quant à l’évolution du projet font partie intégrante des critères de sélection des obligations.
Le compartiment pourra investir dans des titres participatifs, des obligations indexées, des obligations subordonnées dont 20% maximum de l’actif net en obligations contingentes convertibles et des obligations convertibles jusqu’à 10% maximum. Le compartiment pourra être investi dans des titres et obligations émis par des Etats non-membres de l’OCDE et/ou des émetteurs ayant leur siège social dans un pays hors OCDE (y compris émergent) jusqu’à 10% de son actif, et pour un maximum de 25% en émetteurs publics. Le compartiment peut également être investi jusqu'à 10% de son actif en obligations de signature spéculative (à "Haut Rendement") à l’exclusion des titres notés CCC+, CCC et CCC-, jusqu’à 10% dans des titres non notés et jusqu'à 100% maximum en obligations callable et putable. Le compartiment peut devenir détenteur d’actions (jusqu’à 10% maximum de l’actif net).
En vue de réaliser son objectif de gestion, notamment dans le pilotage de sa sensibilité et du risque de crédit, le compartiment pourra avoir recours dans la limite de 100% de son actif, à titre de couverture et/ou d'exposition, à des instruments financiers à terme (notamment des dérivés de crédit, futures options, swaps de performance, et change à terme), et à des titres intégrant des dérivés. Les produits dérivés sont utilisés dans la construction du portefeuille et en complément d’un portefeuille principalement investi en titres directs analysés au regard de critères extra-financiers. L'exposition consolidée du portefeuille au marché des taux (via des titres, OPCVM, opération sur marché à terme) permettra de maintenir la sensibilité* du portefeuille dans une fourchette comprise entre 0 et 8. L’exposition au risque de change sera résiduelle. L'exposition globale du portefeuille, y compris l'exposition induite par l'utilisation des instruments financiers à terme, ne dépassera pas 200% maximum.</t>
  </si>
  <si>
    <t xml:space="preserve">Résultat Information trouvée L’allocation stratégique en français enregistrée pour le fonds « R-co 4Change Green Bonds » indique notamment que : Au moins 75 % de l’actif net est investi dans des obligations vertes (« green bonds ») finançant prioritairement la transition écologique et énergétique. Au maximum 25 % de l’actif net peut être investi en obligations sociales et/ou durables. Le compartiment peut investir dans différents types d’obligations (subordonnées, convertibles, indexées, etc.), avec des limites spécifiques selon les catégories. L’investissement dans des émetteurs hors OCDE est limité à 10 % de l’actif. L’investissement en obligations à haut rendement est limité à 10 % de l’actif. Le compartiment peut détenir jusqu’à 10 % d’actions. Des instruments financiers à terme peuvent être utilisés à des fins de couverture et/ou d’exposition dans la limite de 100 % de l’actif. La sensibilité du portefeuille est maintenue dans une fourchette comprise entre 0 et 8. L’exposition au risque de change est résiduelle. L’exposition globale du portefeuille, y compris celle induite par les instruments financiers à terme, ne dépasse pas 200 %. Détails complémentaires Le texte complet enregistré décrit également le processus de sélection des obligations durables, fondé sur les Green Bond Principles (GBP), Social Bond Principles (SBP) et Sustainability Bond Guidelines (SBG) de l’ICMA, avec une attention portée à l’utilisation des fonds, à la sélection des projets financés, à la gestion des fonds et à la qualité du reporting.</t>
  </si>
  <si>
    <t xml:space="preserve">Q1153</t>
  </si>
  <si>
    <t xml:space="preserve">Peux-tu contrôler la mention relative au high water mark pour ce dossier ?</t>
  </si>
  <si>
    <t xml:space="preserve">Résultat Information trouvée Pour le fonds « R-co 4Change Green Bonds », la mention enregistrée relative au High Water Mark est : Pas de high water mark Détails complémentaires Aucun mécanisme de High Water Mark (ni à réinitialisation annuelle, ni perpétuel) n'est enregistré pour ce fonds en statut Production.</t>
  </si>
  <si>
    <t xml:space="preserve">Q1154</t>
  </si>
  <si>
    <t xml:space="preserve">Et sur la date de début du gérant principal, quelle est la valeur ?</t>
  </si>
  <si>
    <t xml:space="preserve">2020-07-08 22:00:00</t>
  </si>
  <si>
    <t xml:space="preserve">Résultat Information trouvée Pour le fonds « R-co 4Change Green Bonds », la date de début du gérant principal enregistrée est : 9 juillet 2020 Détails complémentaires Cette date correspond à la date de début du gérant principal enregistrée sur le fonds en statut Production.</t>
  </si>
  <si>
    <t xml:space="preserve">Q1155</t>
  </si>
  <si>
    <t xml:space="preserve">Pour finir, indique-moi l’objectif de volatilité renseigné.</t>
  </si>
  <si>
    <t xml:space="preserve">Résultat Information trouvée Pour le fonds « R-co 4Change Green Bonds » : Objectif de volatilité : Non Détails complémentaires Aucun objectif de volatilité n'est renseigné pour ce fonds en statut Production. La donnée enregistrée indique que le fonds n'est pas géré avec un objectif de volatilité.</t>
  </si>
  <si>
    <t xml:space="preserve">Q1156</t>
  </si>
  <si>
    <t xml:space="preserve">C232</t>
  </si>
  <si>
    <t xml:space="preserve">RMM Invest 21 FPCI</t>
  </si>
  <si>
    <t xml:space="preserve">Pour le dossier RMM Invest 21 FPCI, peux-tu me confirmer la part minimale présentant des caractéristiques environnementales ou sociales dans l’EET ?</t>
  </si>
  <si>
    <t xml:space="preserve">Résultat Information trouvée Pour le fonds/produit « RMM Invest 21 FPCI », la part minimale présentant des caractéristiques environnementales ou sociales dans l’EET est de 100 %. Détails complémentaires Cette information correspond au champ EET relatif à la « part minimale présentant des caractéristiques environnementales ou sociales ». La valeur enregistrée pour RMM Invest 21 FPCI est 100 %.</t>
  </si>
  <si>
    <t xml:space="preserve">Q1157</t>
  </si>
  <si>
    <t xml:space="preserve">Et l’information « benchmark » renseignée au niveau produit, sans inventer un indice de part pour ce même fonds ?</t>
  </si>
  <si>
    <t xml:space="preserve">Résultat Information trouvée Pour le fonds « RMM Invest 21 FPCI », l’information « benchmark » renseignée au niveau produit indique qu’il n’y a pas de benchmark associé : valeur « Non ». Aucune description de benchmark ni indice de comparaison n’est renseigné sur la fiche produit retournée.</t>
  </si>
  <si>
    <t xml:space="preserve">Q1158</t>
  </si>
  <si>
    <t xml:space="preserve">Pour R-co Allocation ETF Emerging Markets cette fois, que trouve-t-on concernant l’assiette de calcul des frais de gestion ?</t>
  </si>
  <si>
    <t xml:space="preserve">Résultat Information trouvée Pour le fonds « R-co Allocation ETF Emerging Markets », aucune assiette de calcul des frais de gestion n’est renseignée dans les données retournées. Détails complémentaires Le fonds est bien présent en Production, mais aucun libellé d’assiette de calcul des frais de gestion n’est disponible dans les informations enregistrées pour ce produit.</t>
  </si>
  <si>
    <t xml:space="preserve">Q1159</t>
  </si>
  <si>
    <t xml:space="preserve">Pour la ligne frais du dossier R-co Allocation ETF Emerging Markets, peux-tu retrouver le plafond des frais indirects de rachat, distinct d’un droit de sortie de part ?</t>
  </si>
  <si>
    <t xml:space="preserve">Résultat Information trouvée Pour le fonds « R-co Allocation ETF Emerging Markets », le plafond des frais indirects de rachat est de 1,00 %. Détails complémentaires Cette valeur correspond au plafond des frais indirects de rachat du produit et est distincte d’un éventuel droit de sortie applicable à une part.</t>
  </si>
  <si>
    <t xml:space="preserve">Q1160</t>
  </si>
  <si>
    <t xml:space="preserve">Je reviens à RMM Invest 21 FPCI : quelle donnée figure sur la prise en compte des principales incidences négatives, selon l’EET ?</t>
  </si>
  <si>
    <t xml:space="preserve">Résultat Information trouvée Pour le fonds « RMM Invest 21 FPCI », la donnée EET relative à la prise en compte des principales incidences négatives est renseignée à « Non ». Détails complémentaires Le fonds est donc enregistré comme ne prenant pas en compte les principales incidences négatives au sens de cette donnée EET.</t>
  </si>
  <si>
    <t xml:space="preserve">Q1161</t>
  </si>
  <si>
    <t xml:space="preserve">C233</t>
  </si>
  <si>
    <t xml:space="preserve">Je prépare une DDQ sur R-co Target 2029 IG. Quelle est l’information disponible concernant l’indicateur de tarification all-in ?</t>
  </si>
  <si>
    <t xml:space="preserve">Résultat Information trouvée Pour le fonds R-co Target 2029 IG en statut Production, l’indicateur de tarification « all-in » est renseigné à : Oui Détails complémentaires L’information est également présente sur plusieurs versions historisées du fonds, avec la même valeur (« Oui »). La version actuellement en production indique donc que le fonds est soumis à une tarification all-in.</t>
  </si>
  <si>
    <t xml:space="preserve">Q1162</t>
  </si>
  <si>
    <t xml:space="preserve">J’ai aussi besoin de l’existence d’une délégation de gestion financière.</t>
  </si>
  <si>
    <t xml:space="preserve">Résultat Information trouvée Pour le fonds R-co Target 2029 IG en statut Production, l’existence d’une délégation de gestion financière est renseignée à : Non Détails complémentaires Aucun délégataire de gestion financière n’est renseigné pour ce fonds dans les données de production.</t>
  </si>
  <si>
    <t xml:space="preserve">Q1163</t>
  </si>
  <si>
    <t xml:space="preserve">Sur ce point, indique-moi l’information renseignée dans le champ Article 29, sans déduire une conformité.</t>
  </si>
  <si>
    <t xml:space="preserve">Résultat Information trouvée Pour le fonds R-co Target 2029 IG en statut Production, la valeur renseignée dans le champ Article 29 est : Gestion directe – NZAMi Détails complémentaires Cette réponse reprend uniquement la valeur enregistrée dans le référentiel, sans interprétation ni conclusion quant à une conformité réglementaire.</t>
  </si>
  <si>
    <t xml:space="preserve">Q1164</t>
  </si>
  <si>
    <t xml:space="preserve">Autre rubrique du même dossier : l’indicateur d’investisseur informé ?</t>
  </si>
  <si>
    <t xml:space="preserve">Résultat Information trouvée Pour le fonds R-co Target 2029 IG en statut Production, l’indicateur Investisseur informé est renseigné à : Oui Détails complémentaires Aucune autre précision n’est associée à cet indicateur dans l’information consultée.</t>
  </si>
  <si>
    <t xml:space="preserve">Q1165</t>
  </si>
  <si>
    <t xml:space="preserve">Avant de conclure, peux-tu vérifier l’indicateur de rétrocessions sur OPC de tête ?</t>
  </si>
  <si>
    <t xml:space="preserve">Résultat Information trouvée Pour le fonds R-co Target 2029 IG en statut Production, l’indicateur de rétrocessions sur OPC de tête est renseigné à : Non Détails complémentaires La valeur enregistrée dans le référentiel indique que le fonds ne reçoit pas de rétrocessions sur OPC de tête.</t>
  </si>
  <si>
    <t xml:space="preserve">Q1166</t>
  </si>
  <si>
    <t xml:space="preserve">C234</t>
  </si>
  <si>
    <t xml:space="preserve">Pour RMM Invest 6, quelle valeur est renseignée pour l’indicateur de thématique ESG existante dans l’EET ?</t>
  </si>
  <si>
    <t xml:space="preserve">Résultat Pour le fonds RMM Invest 6 en statut Production, la valeur renseignée pour l’indicateur de thématique ESG existante dans l’EET est : Non Détails complémentaires Aucune thématique ESG existante n’est indiquée pour ce fonds dans l’EET.</t>
  </si>
  <si>
    <t xml:space="preserve">Q1167</t>
  </si>
  <si>
    <t xml:space="preserve">Toujours pour ce produit : l’indicateur de disponibilité de l’EET pour le fonds ?</t>
  </si>
  <si>
    <t xml:space="preserve">Résultat Pour le fonds RMM Invest 6 en statut Production, l’indicateur de disponibilité de l’EET pour le fonds est : Non Détails complémentaires L’EET n’est donc pas indiqué comme disponible pour ce fonds.</t>
  </si>
  <si>
    <t xml:space="preserve">Q1168</t>
  </si>
  <si>
    <t xml:space="preserve">Autre dossier, R-co OPAL Absolu : peux-tu vérifier les coûts de transaction explicites ex post EMT ?</t>
  </si>
  <si>
    <t xml:space="preserve">0.003</t>
  </si>
  <si>
    <t xml:space="preserve">Résultat Pour le fonds R-co OPAL Absolu en statut Production, la valeur du champ Coûts de transaction explicites ex post EMT est : 0,003 Détails complémentaires Les versions historisées du fonds présentent différentes valeurs antérieures, mais la version actuellement en Production est renseignée à 0,003.</t>
  </si>
  <si>
    <t xml:space="preserve">Q1169</t>
  </si>
  <si>
    <t xml:space="preserve">Je passe à la rubrique suivante : le second taux de frais de gestion renseigné au niveau produit ?</t>
  </si>
  <si>
    <t xml:space="preserve">Résultat Pour le fonds R-co OPAL Absolu en statut Production, aucun montant n’est renseigné pour le champ Second taux de frais de gestion. Détails complémentaires La valeur est vide au niveau du produit pour ce champ.</t>
  </si>
  <si>
    <t xml:space="preserve">Q1170</t>
  </si>
  <si>
    <t xml:space="preserve">Dernier point sur RMM Invest 6, et non sur le fonds précédent : l’entité sponsor renseignée ?</t>
  </si>
  <si>
    <t xml:space="preserve">Résultat Pour le fonds RMM Invest 6 en statut Production, l’entité sponsor renseignée est : Rothschild &amp; Co Asset Management Détails complémentaires La même valeur est également présente sur la version historisée du fonds.</t>
  </si>
  <si>
    <t xml:space="preserve">Q1171</t>
  </si>
  <si>
    <t xml:space="preserve">C235</t>
  </si>
  <si>
    <t xml:space="preserve">Dans la documentation produit de R-co Valor, que dois-je reprendre pour la date de début du deuxième gérant suppléant ?</t>
  </si>
  <si>
    <t xml:space="preserve">2025-12-01 00:00:00</t>
  </si>
  <si>
    <t xml:space="preserve">Résultat Pour le fonds R-co Valor, la date de début du deuxième gérant suppléant est le 1er décembre 2025. Détails complémentaires C’est cette date qu’il convient de reprendre dans la documentation produit pour le deuxième gérant suppléant.</t>
  </si>
  <si>
    <t xml:space="preserve">Q1172</t>
  </si>
  <si>
    <t xml:space="preserve">Même fonds, autre point : le SRI du mois précédent ?</t>
  </si>
  <si>
    <t xml:space="preserve">Résultat Pour le SRI du mois précédent, je ne peux pas déterminer la bonne valeur à partir du seul nom du fonds. R-co Valor possède 17 parts en Production (C EUR, P EUR, R EUR, IS EUR, etc.) et le SRI est porté au niveau de la part, pas du fonds. Détails complémentaires Indiquez simplement la part concernée (par exemple « R-co Valor C EUR » ou son ISIN) et je vous donnerai le SRI du mois précédent.</t>
  </si>
  <si>
    <t xml:space="preserve">Q1173</t>
  </si>
  <si>
    <t xml:space="preserve">Passons à R-co Core Equity Europe. Quelle information as-tu pour la part minimale d’investissements durables déclarée dans l’EET ?</t>
  </si>
  <si>
    <t xml:space="preserve">Résultat Pour le fonds R-co Core Equity Europe, la part minimale d’investissements durables déclarée dans l’EET est de 30 %. Détails complémentaires Cette information correspond au champ EET « part minimale d’investissements durables déclarée dans l’EET ». Pour R-co Core Equity Europe, la valeur enregistrée est 30 %.</t>
  </si>
  <si>
    <t xml:space="preserve">Q1174</t>
  </si>
  <si>
    <t xml:space="preserve">Qu’indique Product Info sur l’allocation stratégique renseignée ?</t>
  </si>
  <si>
    <t xml:space="preserve">Le portefeuille du compartiment R-co Core Equity Europe est en permanence exposé à hauteur de 90% au minimum aux actions émises sur un ou plusieurs marchés de la zone Europe (incluant le Royaume-Uni et la Suisse).
Le compartiment pourra investir dans des OPC ou fonds d’investissement monétaires. L’exposition globale du fonds est la suivante :
- entre 90 et 110% de l’actif du compartiment sur un ou plusieurs marchés des actions émises dans un ou plusieurs pays de la zone Europe (incluant le Royaume-Uni et la Suisse) incluant les instruments dérivés et les titres intégrant les dérivés,
- entre 0 et 10 % en OPC ou fonds d’investissement monétaires.
En outre, dans la limite maximum d’une fois l’actif net, le compartiment peut intervenir sur des instruments financiers à terme négociés sur des marchés réglementés français et étrangers ou de gré à gré (futures, forwards, options) afin de poursuivre son objectif de gestion. Pour ce faire, il peut couvrir son portefeuille et ou l’exposer sur des actions, devises ou des indices. L’exposition au risque de change pour des devises autres que l’euro sera comprise entre 0 et 60 % de l’actif net.</t>
  </si>
  <si>
    <t xml:space="preserve">Résultat L’allocation stratégique renseignée pour R-co Core Equity Europe est la suivante : « Le portefeuille du compartiment R-co Core Equity Europe est en permanence exposé à hauteur de 90 % au minimum aux actions émises sur un ou plusieurs marchés de la zone Europe (incluant le Royaume-Uni et la Suisse). Le compartiment pourra investir dans des OPC ou fonds d’investissement monétaires. L’exposition globale du fonds est la suivante : entre 90 % et 110 % de l’actif du compartiment sur un ou plusieurs marchés des actions émises dans un ou plusieurs pays de la zone Europe (incluant le Royaume-Uni et la Suisse), y compris les instruments dérivés et les titres intégrant des dérivés ; entre 0 % et 10 % en OPC ou fonds d’investissement monétaires. En outre, dans la limite maximum d’une fois l’actif net, le compartiment peut intervenir sur des instruments financiers à terme négociés sur des marchés réglementés français et étrangers ou de gré à gré (futures, forwards, options) afin de poursuivre son objectif de gestion. Pour ce faire, il peut couvrir son portefeuille et/ou l’exposer sur des actions, devises ou des indices. L’exposition au risque de change pour des devises autres que l’euro sera comprise entre 0 % et 60 % de l’actif net. » Détails complémentaires Je ne trouve pas de version en statut Production de ce fonds dans Product Info. L’allocation stratégique ci-dessus est celle enregistrée sur les versions disponibles du fonds.</t>
  </si>
  <si>
    <t xml:space="preserve">Q1175</t>
  </si>
  <si>
    <t xml:space="preserve">Je reviens à R-co Valor : quelle donnée figure sur l’indicateur de frais de gestion spécifiques, sans l’interpréter comme un taux ?</t>
  </si>
  <si>
    <t xml:space="preserve">Résultat Pour le fonds R-co Valor, l’indicateur « frais de gestion spécifiques » est renseigné à : Non Détails complémentaires Il s’agit d’un indicateur de type Oui/Non. La valeur enregistrée est « Non ».</t>
  </si>
  <si>
    <t xml:space="preserve">Q1176</t>
  </si>
  <si>
    <t xml:space="preserve">C236</t>
  </si>
  <si>
    <t xml:space="preserve">Sur RMM US 2 S.L.P., j’ai besoin de le catégorie ESG AMF renseignée pour une réponse RFI.</t>
  </si>
  <si>
    <t xml:space="preserve">Résultat Information trouvée Pour le fonds « RMM US 2 S.L.P. », la catégorie ESG AMF renseignée est : « Pas de catégorie ». Détails complémentaires Le fonds RMM US 2 S.L.P. est présent en statut Production et son champ de catégorie ESG AMF est valorisé à « Pas de catégorie ».</t>
  </si>
  <si>
    <t xml:space="preserve">Q1177</t>
  </si>
  <si>
    <t xml:space="preserve">Peux-tu préciser l’indicateur d’investisseur averti ?</t>
  </si>
  <si>
    <t xml:space="preserve">Résultat Information trouvée Pour le fonds « RMM US 2 S.L.P. », l’indicateur « Investisseur averti » est renseigné à : « Oui ». Détails complémentaires Le fonds est donc identifié comme destiné à des investisseurs avertis.</t>
  </si>
  <si>
    <t xml:space="preserve">Q1178</t>
  </si>
  <si>
    <t xml:space="preserve">Pour la ligne risque du dossier RMM US 2 S.L.P., peux-tu retrouver l’indicateur de risque de liquidité ?</t>
  </si>
  <si>
    <t xml:space="preserve">Résultat Information trouvée Pour le fonds « RMM US 2 S.L.P. », l’indicateur de risque de liquidité est renseigné à : « Non ». Détails complémentaires Aucun risque de liquidité n’est signalé dans le référentiel pour ce fonds.</t>
  </si>
  <si>
    <t xml:space="preserve">Q1179</t>
  </si>
  <si>
    <t xml:space="preserve">Je vérifie aussi l’indicateur PRIIPs du fonds : quelle est la donnée ?</t>
  </si>
  <si>
    <t xml:space="preserve">Résultat Information trouvée Pour le fonds « RMM US 2 S.L.P. », l’indicateur PRIIPs est renseigné à : « Oui ». Détails complémentaires Le fonds est donc identifié comme relevant du périmètre PRIIPs dans le référentiel Product Info.</t>
  </si>
  <si>
    <t xml:space="preserve">Q1180</t>
  </si>
  <si>
    <t xml:space="preserve">Pour ce produit, termine par l’indicateur d’indice ESG de référence dans l’EET, sans identifier un indice de part.</t>
  </si>
  <si>
    <t xml:space="preserve">Résultat Information trouvée Pour le fonds « RMM US 2 S.L.P. », aucun indice ESG de référence n’est renseigné dans les champs d’indice ESG du fonds. Détails complémentaires Aucune information d’indice ESG de référence n’est disponible au niveau du fonds dans le référentiel Product Info. Conformément à votre demande, aucune recherche sur des indices associés à des parts n’a été effectuée.</t>
  </si>
  <si>
    <t xml:space="preserve">Q1181</t>
  </si>
  <si>
    <t xml:space="preserve">C237</t>
  </si>
  <si>
    <t xml:space="preserve">Je vérifie R-co Conviction Equity Multi Caps Euro avant d’envoyer une fiche client : la prise en compte des principales incidences négatives, selon l’EET ?</t>
  </si>
  <si>
    <t xml:space="preserve">Résultat Pour le fonds R-co Conviction Equity Multi Caps Euro, la prise en compte des principales incidences négatives (PAI) selon l’EET est renseignée à : Oui Détails complémentaires Cette information est présente dans les données EET du fonds en statut Production.</t>
  </si>
  <si>
    <t xml:space="preserve">Q1182</t>
  </si>
  <si>
    <t xml:space="preserve">Pour ce même produit, l’indicateur d’investissement durable dans l’EET ?</t>
  </si>
  <si>
    <t xml:space="preserve">Résultat Pour le fonds R-co Conviction Equity Multi Caps Euro, l’indicateur EET correspondant à la « part minimale d’investissements durables déclarée dans l’EET » est de : 30 % Détails complémentaires Il s’agit du niveau minimal d’investissements durables déclaré dans les données EET du fonds en Production.</t>
  </si>
  <si>
    <t xml:space="preserve">Q1183</t>
  </si>
  <si>
    <t xml:space="preserve">Je change de fonds : sur R-co Thematic Silver Plus, que dit la fiche pour la date de première VL renseignée au niveau produit ?</t>
  </si>
  <si>
    <t xml:space="preserve">Résultat Pour le fonds R-co Thematic Silver Plus, aucune date de première VL n’est renseignée au niveau produit. Détails complémentaires Le champ « date de première VL » au niveau produit est vide dans les données disponibles pour ce fonds en Production.</t>
  </si>
  <si>
    <t xml:space="preserve">Q1184</t>
  </si>
  <si>
    <t xml:space="preserve">Passe maintenant à l’indicateur de connaissance de base de l’investisseur.</t>
  </si>
  <si>
    <t xml:space="preserve">Résultat Pour le fonds R-co Thematic Silver Plus, l’indicateur de connaissance de base de l’investisseur est : Oui Détails complémentaires La fiche produit indique que le fonds est adapté à un investisseur disposant d’une connaissance de base.</t>
  </si>
  <si>
    <t xml:space="preserve">Q1185</t>
  </si>
  <si>
    <t xml:space="preserve">Dernier point sur R-co Conviction Equity Multi Caps Euro, et non sur le fonds précédent : la part minimale alignée sur la taxonomie selon le champ EET 20600 ?</t>
  </si>
  <si>
    <t xml:space="preserve">Résultat Pour le fonds R-co Conviction Equity Multi Caps Euro, la part minimale alignée sur la taxonomie (champ EET 20600) est de : 0 % Détails complémentaires La valeur renseignée dans les données EET du fonds en Production est égale à 0 %.</t>
  </si>
  <si>
    <t xml:space="preserve">Q1186</t>
  </si>
  <si>
    <t xml:space="preserve">C238</t>
  </si>
  <si>
    <t xml:space="preserve">Concernant FMS 4, peux-tu retrouver le plafond des frais indirects de gestion dans la fiche ?</t>
  </si>
  <si>
    <t xml:space="preserve">Résultat Information trouvée Pour le fonds FMS 4, le plafond des frais indirects de gestion indiqué dans la fiche est de 2,00. Détails complémentaires Fonds : FMS 4 Statut : Production Plafond des frais indirects de gestion : 2,00 %</t>
  </si>
  <si>
    <t xml:space="preserve">Q1187</t>
  </si>
  <si>
    <t xml:space="preserve">Pour la ligne frais du dossier FMS 4, peux-tu retrouver le plafond des frais indirects de souscription, distinct d’un droit d’entrée de part ?</t>
  </si>
  <si>
    <t xml:space="preserve">Résultat Information trouvée Pour le fonds FMS 4, le plafond des frais indirects de souscription est de 1,00 %. Détails complémentaires Fonds : FMS 4 Statut : Production Plafond des frais indirects de souscription : 1,00 %</t>
  </si>
  <si>
    <t xml:space="preserve">Q1188</t>
  </si>
  <si>
    <t xml:space="preserve">Pour la ligne frais du dossier FMS 4, peux-tu retrouver le plafond des frais indirects de rachat, distinct d’un droit de sortie de part ?</t>
  </si>
  <si>
    <t xml:space="preserve">Résultat Information trouvée Pour le fonds FMS 4, le plafond des frais indirects de rachat est de 1,00 %. Détails complémentaires Fonds : FMS 4 Statut : Production Plafond des frais indirects de rachat : 1,00 %</t>
  </si>
  <si>
    <t xml:space="preserve">Q1189</t>
  </si>
  <si>
    <t xml:space="preserve">Je voudrais également la méthode de calcul de l’exposition globale.</t>
  </si>
  <si>
    <t xml:space="preserve">Résultat Information trouvée Pour le fonds FMS 4, la méthode de calcul de l’exposition globale est : Engagement. Détails complémentaires Fonds : FMS 4 Statut : Production Méthode de calcul de l’exposition globale : Engagement</t>
  </si>
  <si>
    <t xml:space="preserve">Q1190</t>
  </si>
  <si>
    <t xml:space="preserve">Une dernière donnée : l’objectif de gestion en français ?</t>
  </si>
  <si>
    <t xml:space="preserve">Le FPS vise à faire progresser la valeur liquidative sur la durée de placement recommandée supérieure à 5 ans par le biais d'investissements dans d'autres OPC. Les actifs du FPS sont constitués d’OPC de droit français et étranger, mettant en oeuvre des stratégies de gestion directionnelle et/ou alternative, de titres de créances et instruments des marchés monétaires et obligataires. L’allocation stratégique entre ces différentes classes d’actifs varie en fonction des anticipations du gestionnaire quant au niveau de risque et de rentabilité, et des opportunités de marché. Le FPS pourra être exposé de façon directe et/ou indirecte aux pays hors OCDE jusqu’à 100 % de son actif net. De même, il pourra être exposé de façon indirecte aux risques liés aux petites capitalisations jusqu’à 100% de l’actif net.</t>
  </si>
  <si>
    <t xml:space="preserve">Résultat Information trouvée Pour le fonds FMS 4, l’objectif de gestion en français est : « Le FPS vise à faire progresser la valeur liquidative sur la durée de placement recommandée supérieure à 5 ans par le biais d'investissements dans d'autres OPC. Les actifs du FPS sont constitués d’OPC de droit français et étranger, mettant en oeuvre des stratégies de gestion directionnelle et/ou alternative, de titres de créances et instruments des marchés monétaires et obligataires. L’allocation stratégique entre ces différentes classes d’actifs varie en fonction des anticipations du gestionnaire quant au niveau de risque et de rentabilité, et des opportunités de marché. Le FPS pourra être exposé de façon directe et/ou indirecte aux pays hors OCDE jusqu’à 100 % de son actif net. De même, il pourra être exposé de façon indirecte aux risques liés aux petites capitalisations jusqu’à 100 % de l’actif net. » Détails complémentaires Fonds : FMS 4 Statut : Production Durée de placement recommandée : supérieure à 5 ans</t>
  </si>
  <si>
    <t xml:space="preserve">Q1191</t>
  </si>
  <si>
    <t xml:space="preserve">C239</t>
  </si>
  <si>
    <t xml:space="preserve">Pour R-co Conviction High Yield SD Euro, je cherche la date de début du troisième gérant suppléant. Quelle information est enregistrée ?</t>
  </si>
  <si>
    <t xml:space="preserve">2024-10-01 00:00:00</t>
  </si>
  <si>
    <t xml:space="preserve">Résultat Pour le fonds R-co Conviction High Yield SD Euro, la date de début enregistrée pour le troisième gérant suppléant est : 1er octobre 2024 Détails complémentaires L'information enregistrée dans le référentiel correspond à une date de début de mandat du troisième gérant suppléant fixée au 01/10/2024.</t>
  </si>
  <si>
    <t xml:space="preserve">Q1192</t>
  </si>
  <si>
    <t xml:space="preserve">Qu’en est-il de le plafond des frais indirects de rachat, distinct d’un droit de sortie de part ?</t>
  </si>
  <si>
    <t xml:space="preserve">Résultat Pour le fonds R-co Conviction High Yield SD Euro, le plafond des frais indirects de rachat enregistré est : 0 % Détails complémentaires Aucun plafond de frais indirects de rachat n'est renseigné au-delà de zéro pour ce fonds dans le référentiel.</t>
  </si>
  <si>
    <t xml:space="preserve">Q1193</t>
  </si>
  <si>
    <t xml:space="preserve">Passons à R-co Conviction Subfin. Quelle information as-tu pour l’indicateur de risque de contrepartie ?</t>
  </si>
  <si>
    <t xml:space="preserve">Résultat Pour le fonds R-co Conviction Subfin, l’indicateur de risque de contrepartie est : Oui Détails complémentaires Le référentiel indique que le risque de contrepartie est présent pour ce fonds.</t>
  </si>
  <si>
    <t xml:space="preserve">Q1194</t>
  </si>
  <si>
    <t xml:space="preserve">Et sur les frais de gestion maximum renseignés au niveau produit, sans les attribuer à une part, quelle est la valeur ?</t>
  </si>
  <si>
    <t xml:space="preserve">Résultat Pour le fonds R-co Conviction Subfin, aucune valeur de frais de gestion maximum n'est renseignée au niveau produit. Détails complémentaires Le référentiel contient bien le fonds, mais aucun montant n'est enregistré pour le plafond des frais de gestion au niveau produit. Aucune information disponible pour cette donnée.</t>
  </si>
  <si>
    <t xml:space="preserve">Q1195</t>
  </si>
  <si>
    <t xml:space="preserve">Reprenons R-co Conviction High Yield SD Euro pour terminer : peux-tu vérifier la part minimale d’investissements durables sociaux dans l’EET ?</t>
  </si>
  <si>
    <t xml:space="preserve">Résultat Pour le fonds R-co Conviction High Yield SD Euro, la part minimale d’investissements durables sociaux dans l’EET est : 0 % Détails complémentaires Les informations EET enregistrées pour ce fonds indiquent notamment : Part minimale d’investissements durables déclarée dans l’EET : 30 % Part minimale d’investissements durables à objectif social : 0 % Autre composante associée enregistrée : 0 % La valeur enregistrée pour les investissements durables sociaux est donc de 0 %.</t>
  </si>
  <si>
    <t xml:space="preserve">Q1196</t>
  </si>
  <si>
    <t xml:space="preserve">C240</t>
  </si>
  <si>
    <t xml:space="preserve">R-co Lux WM Wealth Strategy Fund</t>
  </si>
  <si>
    <t xml:space="preserve">Pour le dossier R-co Lux WM Wealth Strategy Fund, peux-tu me confirmer la classification SFDR renseignée ?</t>
  </si>
  <si>
    <t xml:space="preserve">Résultat Information trouvée Pour le fonds « R-co Lux WM Wealth Strategy Fund », la classification SFDR renseignée est : Article 6. Détails complémentaires Le fonds est trouvé en statut Production et la catégorie SFDR enregistrée est Article 6.</t>
  </si>
  <si>
    <t xml:space="preserve">Q1197</t>
  </si>
  <si>
    <t xml:space="preserve">Et l’objectif de volatilité renseigné pour ce même fonds ?</t>
  </si>
  <si>
    <t xml:space="preserve">Résultat Information trouvée Pour le fonds « R-co Lux WM Wealth Strategy Fund », l’indicateur « objectif de volatilité » est renseigné à : Non. Aucune valeur chiffrée d’objectif de volatilité n’est renseignée sur ce fonds. Le fonds n’est donc pas identifié comme ayant un objectif de volatilité cible.</t>
  </si>
  <si>
    <t xml:space="preserve">Q1198</t>
  </si>
  <si>
    <t xml:space="preserve">Pour AFER PREMIUM cette fois, que trouve-t-on concernant la moyenne triennale des coûts de transaction implicites ex ante ?</t>
  </si>
  <si>
    <t xml:space="preserve">0.037</t>
  </si>
  <si>
    <t xml:space="preserve">Résultat Information trouvée Pour le fonds « AFER PREMIUM », la valeur renseignée pour la moyenne triennale des coûts de transaction implicites ex ante est de : 0,037 %. Détails complémentaires Cette valeur est actuellement enregistrée sur le fonds en statut Production.</t>
  </si>
  <si>
    <t xml:space="preserve">Q1199</t>
  </si>
  <si>
    <t xml:space="preserve">Pour finaliser la réponse client, précise la moyenne triennale des coûts de transaction explicites ex ante.</t>
  </si>
  <si>
    <t xml:space="preserve">0.024</t>
  </si>
  <si>
    <t xml:space="preserve">Résultat Information trouvée Pour le fonds « AFER PREMIUM », la moyenne triennale des coûts de transaction explicites ex ante est de : 0,024 %. Détails complémentaires Pour rappel, les valeurs actuellement renseignées sont : Coûts de transaction implicites ex ante : 0,037 % Coûts de transaction explicites ex ante : 0,024 %</t>
  </si>
  <si>
    <t xml:space="preserve">Q1200</t>
  </si>
  <si>
    <t xml:space="preserve">Dernier point sur R-co Lux WM Wealth Strategy Fund, et non sur le fonds précédent : le gestionnaire par délégation indiqué ?</t>
  </si>
  <si>
    <t xml:space="preserve">Rothschild Wealth Management (UK) Limited</t>
  </si>
  <si>
    <t xml:space="preserve">Résultat Information trouvée Pour le fonds « R-co Lux WM Wealth Strategy Fund », le gestionnaire par délégation indiqué est : Rothschild Wealth Management (UK) Limited. Détails complémentaires Cette information est renseignée sur le fonds en statut Production.</t>
  </si>
  <si>
    <t xml:space="preserve">Q1201</t>
  </si>
  <si>
    <t xml:space="preserve">C241</t>
  </si>
  <si>
    <t xml:space="preserve">Je prépare une DDQ sur R-co Conviction High Yield Euro. Quelle est l’information disponible concernant l’objectif de gestion renseigné ?</t>
  </si>
  <si>
    <t xml:space="preserve">R-co Conviction High Yield Euro est un OPCVM de classification « Obligations et autres Titres de créances libellés en Euro », le FCP a pour objectif de gestion sur une durée de placement recommandée de 5 ans minimum, d'obtenir une performance nette de frais supérieure à celle de l'indicateur de référence The BofA Merrill Lynch BB-B Euro High Yield Constrained Index, en investissant principalement dans des obligations et titres de créances négociables de la catégorie spéculative ou à haut rendement (« High Yield ») c'est-à-dire dont la notation est inférieure ou égale à BB+ (S&amp;P ou Fitch) ou Ba1 (Moodys).</t>
  </si>
  <si>
    <t xml:space="preserve">Résultat Information trouvée L’objectif de gestion renseigné pour le fonds « R-co Conviction High Yield Euro » est le suivant : « R-co Conviction High Yield Euro est un OPCVM de classification “Obligations et autres Titres de créances libellés en Euro”. Le FCP a pour objectif de gestion, sur une durée de placement recommandée de 5 ans minimum, d’obtenir une performance supérieure à celle de l’indicateur de référence The BofA Merrill Lynch BB-B Euro High Yield Constrained Index, en investissant principalement dans des obligations et titres de créances négociables de la catégorie spéculative ou à haut rendement (“High Yield”), c’est-à-dire dont la notation est inférieure ou égale à BB+ (S&amp;P ou Fitch) ou Ba1 (Moody’s). » Détails complémentaires Statut du fonds : Production. Durée de placement recommandée : 5 ans minimum. Univers d’investissement principal : obligations et titres de créance High Yield libellés en euro. Indicateur de référence : The BofA Merrill Lynch BB-B Euro High Yield Constrained Index.</t>
  </si>
  <si>
    <t xml:space="preserve">texte long (93% des mots)</t>
  </si>
  <si>
    <t xml:space="preserve">Q1202</t>
  </si>
  <si>
    <t xml:space="preserve">J’ai aussi besoin de la classification AMF indiquée.</t>
  </si>
  <si>
    <t xml:space="preserve">Résultat Information trouvée La classification AMF renseignée pour « R-co Conviction High Yield Euro » est : Obligations et autres titres de créances libellés en euro. Détails complémentaires Cette classification est cohérente avec l’objectif de gestion du fonds, qui prévoit un investissement principal dans des obligations et titres de créance High Yield libellés en euro.</t>
  </si>
  <si>
    <t xml:space="preserve">Q1203</t>
  </si>
  <si>
    <t xml:space="preserve">Sur ce point, indique-moi l’indicateur de risque de crédit.</t>
  </si>
  <si>
    <t xml:space="preserve">Résultat Information trouvée Pour le fonds « R-co Conviction High Yield Euro », l’indicateur de risque de crédit est renseigné à : Oui Détails complémentaires Le risque de crédit est donc explicitement identifié comme un risque applicable à ce fonds.</t>
  </si>
  <si>
    <t xml:space="preserve">Q1204</t>
  </si>
  <si>
    <t xml:space="preserve">Autre rubrique du même dossier : l’information « benchmark » renseignée au niveau produit, sans inventer un indice de part ?</t>
  </si>
  <si>
    <t xml:space="preserve">Résultat Information trouvée Au niveau du produit « R-co Conviction High Yield Euro », l’information benchmark renseignée est : Benchmark : Non Aucune description de benchmark ni aucun indice de comparaison n’est renseigné dans les données produit consultées. Détails complémentaires L’objectif de gestion mentionne un indicateur de référence (« The BofA Merrill Lynch BB-B Euro High Yield Constrained Index »), mais cet élément provient de la rubrique objectif de gestion. Aucune information benchmark distincte n’est renseignée au niveau produit dans le champ dédié consulté.</t>
  </si>
  <si>
    <t xml:space="preserve">Q1205</t>
  </si>
  <si>
    <t xml:space="preserve">Avant de conclure, peux-tu vérifier l’univers d’investissement renseigné ?</t>
  </si>
  <si>
    <t xml:space="preserve">HE00 Index</t>
  </si>
  <si>
    <t xml:space="preserve">Résultat Information trouvée L’univers d’investissement renseigné pour le fonds « R-co Conviction High Yield Euro » est : HE00 Index Détails complémentaires Cette information est bien renseignée au niveau produit. Elle constitue la seule valeur présente dans la rubrique « univers d’investissement » pour ce fonds. Cela peut expliquer la présence d’une référence indicielle dans le dossier, même si aucun benchmark n’est renseigné dans le champ dédié au benchmark au niveau produit.</t>
  </si>
  <si>
    <t xml:space="preserve">Q1206</t>
  </si>
  <si>
    <t xml:space="preserve">C242</t>
  </si>
  <si>
    <t xml:space="preserve">RMM US 3 S.L.P</t>
  </si>
  <si>
    <t xml:space="preserve">Pour RMM US 3 S.L.P, quelle valeur est renseignée pour la mention relative au high water mark ?</t>
  </si>
  <si>
    <t xml:space="preserve">Q1207</t>
  </si>
  <si>
    <t xml:space="preserve">Toujours pour ce produit : l’indicateur de rétrocessions sur OPC de tête ?</t>
  </si>
  <si>
    <t xml:space="preserve">Résultat Pour le produit RMM US 3 S.L.P, l’indicateur de rétrocessions sur OPC de tête est renseigné à : Oui Détails complémentaires Le produit est en statut Production.</t>
  </si>
  <si>
    <t xml:space="preserve">Q1208</t>
  </si>
  <si>
    <t xml:space="preserve">Autre dossier, MAGE Global Equilibre : peux-tu vérifier le second taux de frais de gestion renseigné au niveau produit ?</t>
  </si>
  <si>
    <t xml:space="preserve">Résultat Pour le produit MAGE Global Equilibre, aucun second taux de frais de gestion n’est renseigné au niveau produit. Détails complémentaires Le produit a bien été trouvé en statut Production, mais la valeur du second taux de frais de gestion est vide.</t>
  </si>
  <si>
    <t xml:space="preserve">Q1209</t>
  </si>
  <si>
    <t xml:space="preserve">Pour la ligne coûts du dossier MAGE Global Equilibre, peux-tu retrouver les coûts de transaction implicites ex post EMT ?</t>
  </si>
  <si>
    <t xml:space="preserve">Résultat Pour le produit MAGE Global Equilibre, les coûts de transaction implicites ex post EMT sont renseignés à : 0,00 % Détails complémentaires La valeur enregistrée dans le référentiel est de 0,0000000000.</t>
  </si>
  <si>
    <t xml:space="preserve">Q1210</t>
  </si>
  <si>
    <t xml:space="preserve">Reprenons RMM US 3 S.L.P pour terminer : peux-tu vérifier la sous-réglementation applicable au produit ?</t>
  </si>
  <si>
    <t xml:space="preserve">Résultat Pour le produit RMM US 3 S.L.P, la sous-réglementation applicable est : Pas de Règlementation Applicable Détails complémentaires Le produit est également classé sous la réglementation UCI de type : FIA (Fonds d’Investissement Alternatif)</t>
  </si>
  <si>
    <t xml:space="preserve">Q1211</t>
  </si>
  <si>
    <t xml:space="preserve">C243</t>
  </si>
  <si>
    <t xml:space="preserve">Dans la documentation produit de R-co Valor 4Change Global Equity, que dois-je reprendre pour l’indicateur d’indice ESG de référence dans l’EET, sans identifier un indice de part ?</t>
  </si>
  <si>
    <t xml:space="preserve">Résultat Pour le fonds « R-co Valor 4Change Global Equity » (statut Production), l’indice ESG de référence renseigné au niveau du fonds est : MSCI ACWI Net return EUR Cet indice peut être repris dans l’EET comme indicateur d’indice ESG de référence lorsqu’il est demandé sans identification d’un indice propre à une part.</t>
  </si>
  <si>
    <t xml:space="preserve">Q1212</t>
  </si>
  <si>
    <t xml:space="preserve">Même fonds, autre point : l’indicateur de frais de gestion spécifiques, sans l’interpréter comme un taux ?</t>
  </si>
  <si>
    <t xml:space="preserve">Résultat Pour le fonds « R-co Valor 4Change Global Equity », l’indicateur « frais de gestion spécifiques » est : Non Détails complémentaires Il s’agit d’un indicateur booléen (Oui/Non) et non d’un taux de frais. La valeur renseignée pour ce fonds est « Non ».</t>
  </si>
  <si>
    <t xml:space="preserve">Q1213</t>
  </si>
  <si>
    <t xml:space="preserve">Je complète maintenant les coûts de transaction explicites ex post EMT : quelle donnée as-tu ?</t>
  </si>
  <si>
    <t xml:space="preserve">0.38</t>
  </si>
  <si>
    <t xml:space="preserve">Résultat Pour le fonds « R-co Valor 4Change Global Equity » : Coûts de transaction explicites ex post EMT : 0,38 Année de référence : 2025 Détails complémentaires La valeur enregistrée pour les coûts de transaction explicites ex post EMT est 0,38 pour l’année 2025.</t>
  </si>
  <si>
    <t xml:space="preserve">Q1214</t>
  </si>
  <si>
    <t xml:space="preserve">Qu’indique Product Info sur l’indicateur de tarification all-in ?</t>
  </si>
  <si>
    <t xml:space="preserve">Résultat Pour le fonds « R-co Valor 4Change Global Equity », l’indicateur de tarification all-in est : Oui Détails complémentaires L’indicateur est renseigné comme actif (« Oui ») dans Product Info.</t>
  </si>
  <si>
    <t xml:space="preserve">Q1215</t>
  </si>
  <si>
    <t xml:space="preserve">Pour boucler la fiche, précise le profil d’investisseur type en français.</t>
  </si>
  <si>
    <t xml:space="preserve">Ce compartiment est particulièrement destiné aux investisseurs cherchant une exposition, sur la durée de placement recommandée, au marché des actions internationales, tout en ayant une démarche ISR.</t>
  </si>
  <si>
    <t xml:space="preserve">Résultat Profil d’investisseur type (français) : « Ce compartiment est particulièrement destiné aux investisseurs cherchant une exposition, sur la durée de placement recommandée, au marché des actions internationales, tout en ayant une démarche ISR. » Détails complémentaires Il s’agit du texte de profil d’investisseur renseigné en français pour le fonds « R-co Valor 4Change Global Equity ».</t>
  </si>
  <si>
    <t xml:space="preserve">Q1216</t>
  </si>
  <si>
    <t xml:space="preserve">C244</t>
  </si>
  <si>
    <t xml:space="preserve">Sur France D Actions 2, j’ai besoin de la part minimale d’investissements durables sociaux dans l’EET pour une réponse RFI.</t>
  </si>
  <si>
    <t xml:space="preserve">Je n’ai pas reçu de demande exploitable. Pouvez-vous indiquer le fonds, la part, le gérant, le code ISIN, le pays d’enregistrement ou l’information produit que vous recherchez ?</t>
  </si>
  <si>
    <t xml:space="preserve">Q1217</t>
  </si>
  <si>
    <t xml:space="preserve">Peux-tu préciser la part minimale d’investissements durables environnementaux dans l’EET ?</t>
  </si>
  <si>
    <t xml:space="preserve">Résultat Information trouvée La « part minimale d’investissements durables environnementaux dans l’EET » correspond au pourcentage minimum d’investissements qu’un produit financier s’engage à consacrer à des investissements durables ayant un objectif environnemental, tel que déclaré dans l’European ESG Template (EET). Cette donnée est généralement exprimée en pourcentage de l’actif du produit et représente un engagement minimal communiqué aux distributeurs et investisseurs. Elle s’inscrit dans le cadre des informations réglementaires ESG, notamment en lien avec la réglementation SFDR. Détails complémentaires Il s’agit d’une valeur minimale déclarée dans l’EET. Elle concerne uniquement les investissements durables à objectif environnemental. Cette information est distincte de la part totale d’investissements durables, qui peut inclure à la fois des objectifs environnementaux et sociaux. La valeur est généralement présentée sous forme de pourcentage (par exemple 10 %, 20 %, etc.).</t>
  </si>
  <si>
    <t xml:space="preserve">définition générique au lieu de la valeur</t>
  </si>
  <si>
    <t xml:space="preserve">Q1218</t>
  </si>
  <si>
    <t xml:space="preserve">Pour R-co WM Euro Equities RDT - DBI cette fois, que trouve-t-on concernant l’échelle de risque officielle renseignée ?</t>
  </si>
  <si>
    <t xml:space="preserve">Résultat Aucune information disponible pour cette demande. Je n’ai pas retrouvé de part en statut Production correspondant au libellé exact « R-co WM Euro Equities RDT - DBI » dans le référentiel consulté. Par conséquent, je ne peux pas déterminer l’échelle de risque officielle renseignée pour cette part à partir des données disponibles. Détails complémentaires Il est possible que le libellé soit différent dans le référentiel (variation de nom, ponctuation, suffixe de part, etc.). Une recherche à partir du code ISIN de la part permettrait d’identifier précisément l’enregistrement concerné et de retrouver l’échelle de risque officielle.</t>
  </si>
  <si>
    <t xml:space="preserve">Q1219</t>
  </si>
  <si>
    <t xml:space="preserve">Je vérifie aussi l’indication de commission de surperformance au niveau produit : quelle est la donnée ?</t>
  </si>
  <si>
    <t xml:space="preserve">Résultat Je ne peux pas donner la donnée de commission de surperformance pour « R-co WM Euro Equities RDT - DBI » à partir des informations actuellement retrouvées, car je n’ai pas réussi à identifier de façon certaine le fonds ou la part correspondante dans le référentiel. Détails complémentaires Au niveau Produit, les informations de commission de surperformance existent bien dans le référentiel, notamment : Indication de présence d’une commission de surperformance. Pourcentage de surperformance. Formule de calcul. Base de calcul. Date de calcul de la commission. Pour obtenir la valeur réellement renseignée, il me faut identifier précisément le produit concerné. Le moyen le plus fiable est le code ISIN de la part « R-co WM Euro Equities RDT - DBI ». Une fois le produit identifié, je pourrai retourner la donnée exacte enregistrée dans le référentiel.</t>
  </si>
  <si>
    <t xml:space="preserve">Q1220</t>
  </si>
  <si>
    <t xml:space="preserve">Je reviens à France D Actions 2 : quelle donnée figure sur le profil d’investisseur type renseigné ?</t>
  </si>
  <si>
    <t xml:space="preserve">Résultat Information trouvée Pour le fonds « France D Actions 2 », le profil d’investisseur type renseigné est : « FCP dédié à la Fondation de France et ses affiliés répondant à la qualité de clients professionnels, en souscription directe ou par l’intermédiaire d’OPC qui leur sont dédiés. » Détails complémentaires Aucun autre profil d’investisseur type n’a été trouvé pour ce fonds en statut Production.</t>
  </si>
  <si>
    <t xml:space="preserve">Q1221</t>
  </si>
  <si>
    <t xml:space="preserve">C245</t>
  </si>
  <si>
    <t xml:space="preserve">Je vérifie R-co 4Change Net Zero Credit Euro avant d’envoyer une fiche client : l’allocation stratégique en français ?</t>
  </si>
  <si>
    <t xml:space="preserve">L’allocation sur la courbe des taux et l’exposition crédit sont faites de façon discrétionnaire et son exposition dépend de l’anticipation de la Société de gestion quant à l'évolution des taux d’intérêts et des écarts de taux entre les titres d’Etat et ceux émis par les émetteurs privés. Cette allocation s’effectuera en investissement direct (obligations ou titres de taux) ou de façon synthétique grâce à l’utilisation d’instruments financiers à terme (notamment futures de taux, TRS et CDS).
Le processus de sélection des valeurs, appartenant à tous secteurs y compris le cas échéant à des secteurs polluants et ce, dans une proportion détaillée dans le Code de transparence de la gamme « Climat » de la société de gestion et en cohérence avec celle de l’indicateur de référence (i) suit des règles de gestion internes formalisées, (ii) intègre une analyse extra-financière des sociétés et des émetteurs souverains sous leurs aspects Environnementaux, Sociaux et de Gouvernance (ESG) et (iii) respecte un ensemble de règles d’exclusion ISR discriminantes. Des détails concernant la méthodologie de calcul de l’intensité carbone du portefeuille et le taux de couverture en données carbone du portefeuille sont disponibles dans le Code de transparence de la gamme « Climat », publié sur le site internet de la société de gestion à l’adresse : www.am.eu.rothschildandco.com.
La sensibilité du portefeuille s’inscrit dans une fourchette de 0 à 8.</t>
  </si>
  <si>
    <t xml:space="preserve">Résultat Information trouvée Pour le fonds « R-co 4Change Net Zero Credit Euro », l’allocation stratégique en français est la suivante : « L’allocation sur la courbe des taux et l’exposition crédit sont faites de façon discrétionnaire et son exposition dépend de l’anticipation de la Société de gestion quant à l'évolution des taux d’intérêts et des écarts de taux entre les titres d’Etat et ceux émis par les émetteurs privés. Cette allocation s’effectuera en investissement direct (obligations ou titres de taux) ou de façon synthétique grâce à l’utilisation d’instruments financiers à terme (notamment futures de taux, TRS et CDS). Le processus de sélection des valeurs, appartenant à tous secteurs y compris le cas échéant à des secteurs polluants et ce, dans une proportion détaillée dans le Code de transparence de la gamme « Climat » de la société de gestion et en cohérence avec celle de l’indicateur de référence : suit des règles de gestion internes formalisées ; intègre une analyse extra-financière des sociétés et des émetteurs souverains sous leurs aspects Environnementaux, Sociaux et de Gouvernance (ESG) ; respecte un ensemble de règles d’exclusion ISR discriminantes. La sensibilité du portefeuille s’inscrit dans une fourchette de 0 à 8. » Détails complémentaires Gestion crédit et taux discrétionnaire. Investissements directs et/ou exposition synthétique via dérivés (futures de taux, TRS, CDS). Intégration systématique des critères ESG et d’exclusions ISR. Sensibilité du portefeuille : de 0 à 8.</t>
  </si>
  <si>
    <t xml:space="preserve">texte long (89% des mots)</t>
  </si>
  <si>
    <t xml:space="preserve">Q1222</t>
  </si>
  <si>
    <t xml:space="preserve">Dans la rubrique coûts de ce produit, quelle valeur est enregistrée pour la moyenne triennale des coûts de transaction implicites ex ante ?</t>
  </si>
  <si>
    <t xml:space="preserve">0.075</t>
  </si>
  <si>
    <t xml:space="preserve">Résultat Information trouvée Pour le fonds « R-co 4Change Net Zero Credit Euro », la valeur enregistrée pour la « moyenne triennale des coûts de transaction implicites ex ante » est de : 0,075 % Détails complémentaires Cette valeur est actuellement enregistrée dans la rubrique coûts du fonds.</t>
  </si>
  <si>
    <t xml:space="preserve">Q1223</t>
  </si>
  <si>
    <t xml:space="preserve">Je change de fonds : sur R-co Thematic Real Estate, que dit la fiche pour l’entité sponsor renseignée ?</t>
  </si>
  <si>
    <t xml:space="preserve">Résultat Information trouvée Pour le fonds « R-co Thematic Real Estate », l’entité sponsor renseignée est : Rothschild &amp; Co Asset Management Détails complémentaires Aucune autre entité sponsor n’est renseignée pour ce fonds dans la fiche produit.</t>
  </si>
  <si>
    <t xml:space="preserve">Q1224</t>
  </si>
  <si>
    <t xml:space="preserve">Passe maintenant à l’information renseignée dans le champ Article 29, sans déduire une conformité.</t>
  </si>
  <si>
    <t xml:space="preserve">Résultat Information trouvée Pour le fonds « R-co Thematic Real Estate », la valeur renseignée dans le champ « Article 29 » est : Gestion directe – NZAMi Détails complémentaires Cette réponse restitue uniquement la valeur enregistrée dans la fiche produit, sans interprétation ni conclusion quant à une conformité réglementaire.</t>
  </si>
  <si>
    <t xml:space="preserve">Q1225</t>
  </si>
  <si>
    <t xml:space="preserve">Reprenons R-co 4Change Net Zero Credit Euro pour terminer : peux-tu vérifier la date de création du produit ?</t>
  </si>
  <si>
    <t xml:space="preserve">2024-09-19 22:00:00</t>
  </si>
  <si>
    <t xml:space="preserve">Résultat Information trouvée Pour le fonds « R-co 4Change Net Zero Credit Euro », la date de création du produit enregistrée est : 19 septembre 2024 Détails complémentaires Aucune autre date de création n’est renseignée pour ce produit en statut Production.</t>
  </si>
  <si>
    <t xml:space="preserve">Q1226</t>
  </si>
  <si>
    <t xml:space="preserve">C246</t>
  </si>
  <si>
    <t xml:space="preserve">Concernant R-co Lux WM Carolo Capital, peux-tu retrouver le SRI du mois précédent dans la fiche ?</t>
  </si>
  <si>
    <t xml:space="preserve">Résultat Concernant le fonds en production « R-co Lux WM Carolo Capital », la part principale est « R-co Lux WM Carolo Capital C EUR » (ISIN LU1354214725). Les données dynamiques consultées ne contiennent toutefois aucune valeur de SRI/SRRI exploitable pour cette part sur le mois précédent. Détails complémentaires Aucune information disponible pour cette demande concernant le SRI du mois précédent dans les données actuellement présentes dans le référentiel consulté.</t>
  </si>
  <si>
    <t xml:space="preserve">Q1227</t>
  </si>
  <si>
    <t xml:space="preserve">Dans la continuité, le gestionnaire par délégation indiqué ?</t>
  </si>
  <si>
    <t xml:space="preserve">Rothschild &amp; Co Bank AG</t>
  </si>
  <si>
    <t xml:space="preserve">Résultat Pour le fonds « R-co Lux WM Carolo Capital » en statut Production, le gestionnaire par délégation indiqué est : Rothschild &amp; Co Bank AG Détails complémentaires Cette société est renseignée comme gestionnaire par délégation du fonds dans sa fiche produit de référence.</t>
  </si>
  <si>
    <t xml:space="preserve">Q1228</t>
  </si>
  <si>
    <t xml:space="preserve">Côté produit, que mentionne-t-on pour le plafond des frais indirects de souscription, distinct d’un droit d’entrée de part ?</t>
  </si>
  <si>
    <t xml:space="preserve">Résultat Pour le fonds « R-co Lux WM Carolo Capital » en Production, le plafond des frais indirects de souscription est renseigné à : 0 % Détails complémentaires Cette information correspond au plafond des frais indirects de souscription au niveau du fonds, distinct des droits d'entrée éventuellement applicables aux parts.</t>
  </si>
  <si>
    <t xml:space="preserve">Q1229</t>
  </si>
  <si>
    <t xml:space="preserve">Je voudrais également l’agent de transfert indiqué.</t>
  </si>
  <si>
    <t xml:space="preserve">Résultat Pour le fonds « R-co Lux WM Carolo Capital » en Production, l’agent de transfert indiqué est : CACEIS Bank Luxembourg Branch Détails complémentaires Cette société est renseignée comme agent de transfert dans la fiche du fonds.</t>
  </si>
  <si>
    <t xml:space="preserve">Q1230</t>
  </si>
  <si>
    <t xml:space="preserve">Une dernière donnée : le catégorie ESG AMF renseignée ?</t>
  </si>
  <si>
    <t xml:space="preserve">Résultat Pour le fonds « R-co Lux WM Carolo Capital » en Production, la catégorie ESG AMF renseignée est : Pas de catégorie Détails complémentaires Aucune catégorie ESG AMF de type 1, 2 ou 3 n’est renseignée pour ce fonds dans le référentiel.</t>
  </si>
  <si>
    <t xml:space="preserve">Q1231</t>
  </si>
  <si>
    <t xml:space="preserve">C247</t>
  </si>
  <si>
    <t xml:space="preserve">Pour R-co Target 2029 HY, je cherche l’indicateur de thématique ESG existante dans l’EET. Quelle information est enregistrée ?</t>
  </si>
  <si>
    <t xml:space="preserve">Résultat Pour le fonds « R-co Target 2029 HY » (statut Production), aucune valeur n'est enregistrée dans le champ correspondant à la thématique ESG de l’EET (thématique d’investissement EFAMA/EFC). La donnée est vide dans le référentiel. Détails complémentaires Le champ utilisé pour cette information correspond à la thématique d’investissement ESG/EFC de l’EET (exemples de valeurs possibles : Clean energy, Climate, Water, Digitalisation, Infrastructure, etc.). Pour « R-co Target 2029 HY », aucune thématique n’est renseignée actuellement.</t>
  </si>
  <si>
    <t xml:space="preserve">Q1232</t>
  </si>
  <si>
    <t xml:space="preserve">Qu’en est-il de la part minimale présentant des caractéristiques environnementales ou sociales dans l’EET ?</t>
  </si>
  <si>
    <t xml:space="preserve">Résultat Pour le fonds « R-co Target 2029 HY », la part minimale présentant des caractéristiques environnementales ou sociales dans l’EET est de 50 %. Détails complémentaires Cette information correspond à l’indicateur EET relatif à la part minimale d’investissements présentant des caractéristiques environnementales ou sociales. La valeur enregistrée est de 50 %.</t>
  </si>
  <si>
    <t xml:space="preserve">Q1233</t>
  </si>
  <si>
    <t xml:space="preserve">Passons à R-co Conviction Club. Quelle information as-tu pour l’assiette de calcul des frais de gestion ?</t>
  </si>
  <si>
    <t xml:space="preserve">Résultat Pour le fonds « R-co Conviction Club » (statut Production), aucune information n'est enregistrée pour l’assiette de calcul des frais de gestion. Détails complémentaires Le champ correspondant à l’assiette de calcul des frais de gestion est présent dans le référentiel, mais aucune valeur n’est renseignée pour ce fonds.</t>
  </si>
  <si>
    <t xml:space="preserve">Q1234</t>
  </si>
  <si>
    <t xml:space="preserve">Et sur l’existence d’une délégation de gestion financière, quelle est la valeur ?</t>
  </si>
  <si>
    <t xml:space="preserve">Résultat Pour le fonds « R-co Conviction Club » (statut Production), l’existence d’une délégation de gestion financière est renseignée à : Non Détails complémentaires Aucune délégation de gestion financière n’est enregistrée pour ce fonds.</t>
  </si>
  <si>
    <t xml:space="preserve">Q1235</t>
  </si>
  <si>
    <t xml:space="preserve">Je reviens à R-co Target 2029 HY : quelle donnée figure sur l’indicateur d’investissement durable dans l’EET ?</t>
  </si>
  <si>
    <t xml:space="preserve">Résultat Pour le fonds « R-co Target 2029 HY » (statut Production), l’indicateur d’investissement durable dans l’EET est de 30 %. Détails complémentaires Cet indicateur correspond à la part minimale d’investissements durables déclarée dans l’EET. La valeur enregistrée est de 30 %.</t>
  </si>
  <si>
    <t xml:space="preserve">Q1236</t>
  </si>
  <si>
    <t xml:space="preserve">C248</t>
  </si>
  <si>
    <t xml:space="preserve">Pour le dossier RMM Invest 8 Europe, peux-tu me confirmer l’allocation stratégique en français ?</t>
  </si>
  <si>
    <t xml:space="preserve">La politique d’investissement du Fonds Maître consiste à co-investir dans des
positions minoritaires dans des sociétés privées du monde entier (dont la Valeur de l’Entreprise
dépasse 10 milliards d’euros) et dans l’ensemble
des secteurs industriels ou de services, ainsi que dans des fonds de private equity, des
personnes morales constituées en sociétés, des family offices et des investisseurs
institutionnels ayant une participation majoritaire.</t>
  </si>
  <si>
    <t xml:space="preserve">Aucune information disponible pour cette demande. Je n’ai trouvé aucune donnée correspondant à « RMM Invest 8 Europe » dans les sources consultées. Si le nom du dossier peut exister sous une variante (par exemple un nom de fonds, de part ou un intitulé légèrement différent), indiquez-le et je rechercherai l’allocation stratégique correspondante.</t>
  </si>
  <si>
    <t xml:space="preserve">Q1237</t>
  </si>
  <si>
    <t xml:space="preserve">Et l’indicateur de disponibilité de l’EET pour le fonds pour ce même fonds ?</t>
  </si>
  <si>
    <t xml:space="preserve">Aucune information disponible pour cette demande. Je ne dispose pas d’un fonds identifié correspondant à « RMM Invest 8 Europe » dans les données consultées. Sans identification du fonds, je ne peux pas confirmer l’indicateur de disponibilité de l’EET associé. Si vous disposez du nom exact du fonds, d’un code ISIN ou d’une autre référence du produit, je pourrai effectuer la recherche correspondante.</t>
  </si>
  <si>
    <t xml:space="preserve">Q1238</t>
  </si>
  <si>
    <t xml:space="preserve">Dans la fiche produit, que trouve-t-on sur l’échelle de risque officielle renseignée ?</t>
  </si>
  <si>
    <t xml:space="preserve">Aucune information disponible pour cette demande. Je ne trouve pas de donnée permettant d’identifier le contenu exact du champ « échelle de risque officielle » dans les sources accessibles. Si vous faites référence à une fiche produit précise (fonds ou part), je peux rechercher la valeur renseignée pour ce produit.</t>
  </si>
  <si>
    <t xml:space="preserve">Q1239</t>
  </si>
  <si>
    <t xml:space="preserve">Dans la rubrique dates de ce produit, quelle valeur est enregistrée pour la date de clôture annuelle renseignée ?</t>
  </si>
  <si>
    <t xml:space="preserve">Je ne peux pas déterminer la date de clôture annuelle du produit concerné à partir des informations disponibles dans cet échange. Le seul produit mentionné précédemment, « RMM Invest 8 Europe », n’a pas pu être identifié dans les données consultées. Par conséquent, je ne peux pas accéder à sa rubrique Dates ni confirmer la valeur enregistrée pour la date de clôture annuelle. Si vous me fournissez l’intitulé exact du fonds ou un code ISIN, je rechercherai directement cette information.</t>
  </si>
  <si>
    <t xml:space="preserve">Q1240</t>
  </si>
  <si>
    <t xml:space="preserve">Dernier contrôle : la sous-réglementation applicable au produit ?</t>
  </si>
  <si>
    <t xml:space="preserve">Aucune information disponible pour cette demande. Je ne parviens toujours pas à identifier le produit « RMM Invest 8 Europe » dans les données consultées. Sans produit identifié, il n’est pas possible de confirmer la sous-réglementation applicable enregistrée dans la fiche produit. Si vous disposez du nom exact du fonds ou de son code ISIN, je pourrai effectuer la vérification.</t>
  </si>
  <si>
    <t xml:space="preserve">Q1241</t>
  </si>
  <si>
    <t xml:space="preserve">C249</t>
  </si>
  <si>
    <t xml:space="preserve">Je prépare une DDQ sur R-co Conviction Equity Value Euro. Quelle est l’information disponible concernant l’échelle de risque officielle renseignée ?</t>
  </si>
  <si>
    <t xml:space="preserve">Résultat Information trouvée Pour le fonds « R-co Conviction Equity Value Euro », l’information disponible concernant l’échelle de risque officielle est la suivante : Échelle de risque à la création : 4 Échelle de risque actuellement renseignée (sous modification) : 4 pour la version en Production du fonds. Détails complémentaires Des versions historiques ou de modification du fonds existent dans le référentiel avec une échelle de risque sous modification à 6. En revanche, pour le fonds en statut Production, la valeur actuellement renseignée est 4.</t>
  </si>
  <si>
    <t xml:space="preserve">Q1242</t>
  </si>
  <si>
    <t xml:space="preserve">J’ai aussi besoin de la prise en compte des principales incidences négatives, selon l’EET.</t>
  </si>
  <si>
    <t xml:space="preserve">Résultat Information trouvée Pour le fonds « R-co Conviction Equity Value Euro », les indicateurs EET relatifs à la prise en compte des principales incidences négatives (PAI) sont renseignés à « Oui » sur l’ensemble des champs concernés disponibles dans le référentiel de production : Prise en compte des principales incidences négatives : Oui Indicateur EET associé : Oui Indicateur EET associé : Oui Indicateur EET associé : Oui Indicateur EET associé : Oui Ces champs EET sont tous renseignés positivement pour ce fonds en Production.</t>
  </si>
  <si>
    <t xml:space="preserve">Q1243</t>
  </si>
  <si>
    <t xml:space="preserve">Je change de fonds : sur R-co Strategic Metals and Mining, que dit la fiche pour l’information « benchmark » renseignée au niveau produit, sans inventer un indice de part ?</t>
  </si>
  <si>
    <t xml:space="preserve">Résultat Information trouvée Pour le fonds « R-co Strategic Metals and Mining », aucune information de benchmark n’est renseignée au niveau produit dans les champs de référence disponibles pour le benchmark et l’indice de comparaison du fonds. Détails complémentaires Le fonds existe bien en statut Production, mais aucun benchmark n’est renseigné au niveau produit dans la fiche consultée. Je ne déduis donc aucun indice à partir des parts ou d’autres sources non demandées.</t>
  </si>
  <si>
    <t xml:space="preserve">Q1244</t>
  </si>
  <si>
    <t xml:space="preserve">Autre rubrique du même dossier : le premier taux de frais de gestion renseigné au niveau produit ?</t>
  </si>
  <si>
    <t xml:space="preserve">Résultat Information trouvée Pour le fonds « R-co Strategic Metals and Mining », aucun premier taux de frais de gestion n’est renseigné au niveau produit. Détails complémentaires Le fonds est bien présent en Production, mais la rubrique correspondant au premier taux de frais de gestion au niveau produit n’est pas alimentée dans la fiche disponible. Je ne complète donc pas cette information à partir des parts ou d’autres champs.</t>
  </si>
  <si>
    <t xml:space="preserve">Q1245</t>
  </si>
  <si>
    <t xml:space="preserve">Dernier point sur R-co Conviction Equity Value Euro, et non sur le fonds précédent : la date d’agrément renseignée ?</t>
  </si>
  <si>
    <t xml:space="preserve">2019-08-19 22:00:00</t>
  </si>
  <si>
    <t xml:space="preserve">Résultat Information trouvée Pour le fonds « R-co Conviction Equity Value Euro », la date d’agrément renseignée est : 20 août 2019 Détails complémentaires Cette date est celle enregistrée dans la fiche du fonds en statut Production.</t>
  </si>
  <si>
    <t xml:space="preserve">Q1246</t>
  </si>
  <si>
    <t xml:space="preserve">C250</t>
  </si>
  <si>
    <t xml:space="preserve">CMRC Avenir Diversifié</t>
  </si>
  <si>
    <t xml:space="preserve">Pour CMRC Avenir Diversifié, quelle valeur est renseignée pour le gestionnaire par délégation indiqué ?</t>
  </si>
  <si>
    <t xml:space="preserve">Federal Finance Gestion</t>
  </si>
  <si>
    <t xml:space="preserve">Résultat Pour le fonds CMRC Avenir Diversifié (statut Production), la valeur renseignée dans le champ gestionnaire par délégation est : Federal Finance Gestion Détails complémentaires Aucune autre valeur de gestionnaire par délégation n’est renseignée pour ce fonds dans le référentiel.</t>
  </si>
  <si>
    <t xml:space="preserve">Q1247</t>
  </si>
  <si>
    <t xml:space="preserve">Toujours pour ce produit : le profil d’investisseur type renseigné ?</t>
  </si>
  <si>
    <t xml:space="preserve">Fonds dédié - personne morale</t>
  </si>
  <si>
    <t xml:space="preserve">Résultat Pour le fonds CMRC Avenir Diversifié, le profil d’investisseur type renseigné est : Fonds dédié - personne morale Détails complémentaires La même valeur est renseignée dans le libellé français du profil d’investisseur type.</t>
  </si>
  <si>
    <t xml:space="preserve">Q1248</t>
  </si>
  <si>
    <t xml:space="preserve">Autre dossier, RMM Lux BDL European Equity Alpha : peux-tu vérifier la part minimale alignée sur la taxonomie selon le champ EET 20600 ?</t>
  </si>
  <si>
    <t xml:space="preserve">Résultat Pour le fonds RMM Lux BDL European Equity Alpha, la valeur du champ EET 20600 (part minimale alignée sur la taxonomie) est : 0 Détails complémentaires Aucune autre valeur n'est renseignée pour ce champ sur ce fonds en Production.</t>
  </si>
  <si>
    <t xml:space="preserve">Q1249</t>
  </si>
  <si>
    <t xml:space="preserve">Je passe à la rubrique suivante : l’univers d’investissement renseigné ?</t>
  </si>
  <si>
    <t xml:space="preserve">SXXT Index</t>
  </si>
  <si>
    <t xml:space="preserve">Résultat Pour le fonds RMM Lux BDL European Equity Alpha, l’univers d’investissement renseigné est : SXXT Index Détails complémentaires Aucune autre valeur d’univers d’investissement n’est renseignée sur ce fonds en Production.</t>
  </si>
  <si>
    <t xml:space="preserve">Q1250</t>
  </si>
  <si>
    <t xml:space="preserve">Je reviens à CMRC Avenir Diversifié : quelle donnée figure sur l’indicateur de risque de liquidité ?</t>
  </si>
  <si>
    <t xml:space="preserve">Résultat Pour le fonds CMRC Avenir Diversifié, l’indicateur de risque de liquidité est renseigné à : Non Détails complémentaires Le fonds n’est donc pas identifié comme présentant un risque de liquidité selon cette donnée du référentiel.</t>
  </si>
  <si>
    <t xml:space="preserve">Q1251</t>
  </si>
  <si>
    <t xml:space="preserve">C251</t>
  </si>
  <si>
    <t xml:space="preserve">Dans la documentation produit de R-co Conviction Credit SD Euro, que dois-je reprendre pour l’objectif de gestion renseigné ?</t>
  </si>
  <si>
    <t xml:space="preserve">R-co Conviction Credit SD Euro a pour objectif, sur l'horizon de placement recommandé, de surperformer l'indice Markit IBoxx€ Corporates 1-3.  Pour cela, le processus de gestion de l'OPCVM combine les approches Top-Down et Bottom-Up le fonds investit au minimum 80% en obligations "investment grade" et pour le reste en obligations convertibles, haut rendement et OPCVM. Le risque de change est accessoire, la sensibilité comprise entre 0 à 4. Le niveau de risque de crédit du fonds n'est pas déterminé à l'avance, il varie en fonction des maturités et de la qualité des signatures des émissions choisies (Haut Rendement jusqu'à 10%). La notation d'un émetteur est une estimation et non pas une garantie de solvabilité.</t>
  </si>
  <si>
    <t xml:space="preserve">Je ne retrouve pas d’information exploitable sur « R-co Conviction Credit SD Euro » via les données Product Info actuellement accessibles. Résultat Aucune information disponible pour cette demande.</t>
  </si>
  <si>
    <t xml:space="preserve">Q1252</t>
  </si>
  <si>
    <t xml:space="preserve">Pour la ligne stratégie du dossier R-co Conviction Credit SD Euro, peux-tu retrouver l’allocation stratégique renseignée ?</t>
  </si>
  <si>
    <t xml:space="preserve">Titres de créance, instruments du marché monétaire et Obligations: 90-100%
Dans la limite de la fourchette de détention précisée ci-dessous, le FCP investira dans des obligations, des titres de créances négociables (tel que notamment les billets de trésorerie, certificat de dépôt, et Euro Commercial Paper) à taux fixe, variable ou révisable, de titres participatifs, d’obligations indexées, d’obligations de qualité équivalente à « BBB-», d’obligations convertibles (jusqu’à 10% maximum). La répartition dette privée/publique n’est pas déterminée à l’avance et s’effectuera en fonction des opportunités de marchés. En tout état de cause, l’exposition aux dettes « High Yield » ne dépassera pas 10%. Les investissements dans des titres non notés peuvent représenter jusqu’à 10% de l’actif du fonds.
De même, l’exposition du FCP aux dettes des pays hors OCDE ne dépassera pas 10% de son actif.
La société de gestion ne recourt pas exclusivement ou mécaniquement à des notations de crédit émises par des agences de notation mais procède à sa propre analyse afin d’évaluer la qualité de crédit des instruments de taux
Parts ou d’actions d’autres OPCVM, FIA ou fonds d’investissement de droit étranger : 0-10%
Instruments dérivés : Le FCP peut intervenir sur les marchés réglementés, organisés ou de gré à gré. Le gérant peut intervenir sur le marché des futures, options, swaps (TRS dans la limite de 20% de l’actif net du fonds)  et change à terme, dérivés de crédit (CDS)</t>
  </si>
  <si>
    <t xml:space="preserve">Résultat Aucune information disponible pour cette demande. Je ne parviens pas à retrouver le dossier ou la fiche produit « R-co Conviction Credit SD Euro » dans les données Product Info accessibles, et je ne peux donc pas confirmer l’allocation stratégique renseignée sans un enregistrement Dataverse correspondant.</t>
  </si>
  <si>
    <t xml:space="preserve">Q1253</t>
  </si>
  <si>
    <t xml:space="preserve">Je complète maintenant l’indicateur d’investisseur averti : quelle donnée as-tu ?</t>
  </si>
  <si>
    <t xml:space="preserve">Résultat Pour le fonds « R-co Conviction Credit SD Euro », la version en statut Production est identifiée. Les informations disponibles sont les suivantes : Domiciliation : France Gamme : Conviction Catégorie SFDR : Article 8 Type : Compartiment Classe d’actif / expertise : Fixed Income Chemin d’expertise : Direct Investment &gt; Fixed Income &gt; Investment Grade Concernant l’indicateur « investisseur averti », aucune donnée correspondante n’apparaît dans les informations actuellement accessibles pour ce fonds. Détails complémentaires 9 versions du fonds existent dans le référentiel, dont 1 seule en statut Production ; les autres sont historisées.</t>
  </si>
  <si>
    <t xml:space="preserve">Q1254</t>
  </si>
  <si>
    <t xml:space="preserve">Qu’indique Product Info sur la méthode de calcul de l’exposition globale ?</t>
  </si>
  <si>
    <t xml:space="preserve">Résultat Pour le fonds « R-co Conviction Credit SD Euro », la méthode de calcul de l’exposition globale renseignée dans Product Info est : VaR relative.</t>
  </si>
  <si>
    <t xml:space="preserve">Q1255</t>
  </si>
  <si>
    <t xml:space="preserve">Pour boucler la fiche, précise l’indicateur d’investisseur informé.</t>
  </si>
  <si>
    <t xml:space="preserve">Résultat Pour le fonds « R-co Conviction Credit SD Euro », l’indicateur « Investisseur informé » est renseigné à : Oui Détails complémentaires Les indicateurs de profil investisseur présents pour ce fonds sont également positionnés à : Investisseur de base : Oui Investisseur informé : Oui Investisseur avancé : Oui Le profil d’investisseur associé est : « Ce FCP est particulièrement destiné aux investisseurs cherchant une exposition à la courbe des taux de la zone euro d’émetteurs privés ou publics de toute zone géographique (notamment Europe, Etats-Unis). »</t>
  </si>
  <si>
    <t xml:space="preserve">Q1256</t>
  </si>
  <si>
    <t xml:space="preserve">C252</t>
  </si>
  <si>
    <t xml:space="preserve">Capital ISR Green Tech</t>
  </si>
  <si>
    <t xml:space="preserve">Sur Capital ISR Green Tech, j’ai besoin de la classification SFDR renseignée pour une réponse RFI.</t>
  </si>
  <si>
    <t xml:space="preserve">Résultat Information trouvée La classification SFDR du fonds « Capital ISR Green Tech » est : Article 6. Détails complémentaires Le fonds est référencé en statut Production et la catégorie SFDR renseignée dans le référentiel Product Info est « Article 6 ».</t>
  </si>
  <si>
    <t xml:space="preserve">Q1257</t>
  </si>
  <si>
    <t xml:space="preserve">Peux-tu préciser le statut actif ou inactif enregistré pour ce produit ?</t>
  </si>
  <si>
    <t xml:space="preserve">Résultat Plusieurs enregistrements portent le nom « Capital ISR Green Tech ». Nombre de résultats : 5 2 enregistrements sont en statut Actif. 3 enregistrements sont en statut Inactif. Détails complémentaires Pour la fiche utilisée précédemment afin de répondre à la classification SFDR (celle en Production), le statut enregistré est : Actif.</t>
  </si>
  <si>
    <t xml:space="preserve">Q1258</t>
  </si>
  <si>
    <t xml:space="preserve">Pour Hamelin Multigestion Monde I cette fois, que trouve-t-on concernant le premier taux de frais de gestion renseigné au niveau produit ?</t>
  </si>
  <si>
    <t xml:space="preserve">Résultat Pour le produit « Hamelin Multigestion Monde I », aucun premier taux de frais de gestion n'est renseigné au niveau produit. Détails complémentaires Le produit a bien été trouvé en statut Production, mais la valeur du premier taux de frais de gestion est vide dans le référentiel.</t>
  </si>
  <si>
    <t xml:space="preserve">Q1259</t>
  </si>
  <si>
    <t xml:space="preserve">Je vérifie aussi la moyenne triennale des coûts de transaction implicites ex ante : quelle est la donnée ?</t>
  </si>
  <si>
    <t xml:space="preserve">Résultat Pour le produit « Hamelin Multigestion Monde I », la moyenne triennale des coûts de transaction implicites ex ante renseignée est de 0,006. Détails complémentaires La valeur enregistrée dans le référentiel Product Info est : 0,0060000000, soit 0,60 % si ce champ est interprété en pourcentage.</t>
  </si>
  <si>
    <t xml:space="preserve">Q1260</t>
  </si>
  <si>
    <t xml:space="preserve">Dernier point sur Capital ISR Green Tech, et non sur le fonds précédent : l’indicateur de tarification all-in ?</t>
  </si>
  <si>
    <t xml:space="preserve">Résultat Pour le fonds « Capital ISR Green Tech », l’indicateur de tarification all-in est renseigné à : Oui. Détails complémentaires La valeur enregistrée dans le référentiel Product Info pour le fonds en Production est positive (all-in activé).</t>
  </si>
  <si>
    <t xml:space="preserve">Q1261</t>
  </si>
  <si>
    <t xml:space="preserve">C253</t>
  </si>
  <si>
    <t xml:space="preserve">Je vérifie R-co Core Equity Europe avant d’envoyer une fiche client : l’indicateur de risque de contrepartie ?</t>
  </si>
  <si>
    <t xml:space="preserve">Résultat Pour le fonds de production trouvé correspondant à « Equity Europe » : R-co OPAL Equity Europe : indicateur de risque de contrepartie = Non. Détails complémentaires Je n’ai pas trouvé de fonds de production nommé exactement « R-co Core Equity Europe ». Le référentiel contient en revanche « R-co OPAL Equity Europe ». Si vous faites référence à une part ou à une dénomination commerciale légèrement différente, je peux vérifier l’enregistrement exact.</t>
  </si>
  <si>
    <t xml:space="preserve">Q1262</t>
  </si>
  <si>
    <t xml:space="preserve">Pour ce même produit, la moyenne triennale des coûts de transaction explicites ex ante ?</t>
  </si>
  <si>
    <t xml:space="preserve">0.972</t>
  </si>
  <si>
    <t xml:space="preserve">Résultat Pour le produit R-co OPAL Equity Europe, la moyenne triennale des coûts de transaction explicites ex ante est de 0,049 %. Détails complémentaires Valeur enregistrée dans le référentiel : 0,0490000000.</t>
  </si>
  <si>
    <t xml:space="preserve">réponse sur un autre fonds (R-co OPAL Equity Europe)</t>
  </si>
  <si>
    <t xml:space="preserve">Q1263</t>
  </si>
  <si>
    <t xml:space="preserve">Quelle donnée faut-il retenir pour le statut métier du produit dans Product Info ?</t>
  </si>
  <si>
    <t xml:space="preserve">Résultat Pour le statut métier d’un produit dans Product Info, il faut retenir le champ de statut produit dont les valeurs possibles sont : Production Modification Initialisation Historisé Dissous Détails complémentaires Dans les règles Product Info, les recherches doivent par défaut s’appuyer sur les produits en statut « Production », sauf demande contraire. Pour le produit que nous avons consulté précédemment, les informations retournées provenaient de la version en Production.</t>
  </si>
  <si>
    <t xml:space="preserve">Q1264</t>
  </si>
  <si>
    <t xml:space="preserve">Dans la rubrique juridique de ce produit, quelle valeur est enregistrée pour l’indicateur PRIIPs du fonds ?</t>
  </si>
  <si>
    <t xml:space="preserve">Résultat Pour le produit R-co OPAL Equity Europe, l’indicateur PRIIPs du fonds est renseigné à : Oui Détails complémentaires La valeur enregistrée dans le référentiel est « Oui ».</t>
  </si>
  <si>
    <t xml:space="preserve">Q1265</t>
  </si>
  <si>
    <t xml:space="preserve">Et pour l’objectif de gestion en français, qu’est-ce qui est indiqué ?</t>
  </si>
  <si>
    <t xml:space="preserve">Obtenir une performance, nette de frais de gestion, supérieure à l’indice STOXX Europe 600 NR EUR, en investissant principalement dans des actions et des titres assimilés européens.</t>
  </si>
  <si>
    <t xml:space="preserve">Résultat Pour R-co OPAL Equity Europe, l’objectif de gestion en français est : « R-co OPAL Equity Europe a pour objectif de gestion, sur une durée de placement recommandée de 5 ans minimum, d’obtenir une performance nette de frais, supérieure à celle de l’indicateur de référence Stoxx DR ® 600 (dividendes réinvestis), en investissant dans des OPC (y compris les OPC cotés / ETF). » Détails complémentaires La durée de placement recommandée mentionnée dans l’objectif est de 5 ans minimum.</t>
  </si>
  <si>
    <t xml:space="preserve">Q1266</t>
  </si>
  <si>
    <t xml:space="preserve">C254</t>
  </si>
  <si>
    <t xml:space="preserve">Concernant Elite L.A.S, peux-tu retrouver le plafond des frais indirects de gestion dans la fiche ?</t>
  </si>
  <si>
    <t xml:space="preserve">Résultat Information trouvée Pour le fonds Elite L.A.S (statut : Production), le plafond des frais indirects de gestion est de : 2,00 % Détails complémentaires Cette valeur correspond au plafond des frais indirects de gestion renseigné dans la fiche du fonds Elite L.A.S.</t>
  </si>
  <si>
    <t xml:space="preserve">Q1267</t>
  </si>
  <si>
    <t xml:space="preserve">Dans la continuité, l’indicateur de risque de crédit ?</t>
  </si>
  <si>
    <t xml:space="preserve">Résultat Information trouvée Pour le fonds Elite L.A.S (statut : Production), l’indicateur de risque de crédit est : Non Détails complémentaires Le risque de crédit n’est pas identifié comme un risque applicable dans la fiche du fonds.</t>
  </si>
  <si>
    <t xml:space="preserve">Q1268</t>
  </si>
  <si>
    <t xml:space="preserve">Autre dossier, R-co Lux Conviction Equity Value Euro : peux-tu vérifier les coûts de transaction implicites ex post EMT ?</t>
  </si>
  <si>
    <t xml:space="preserve">Résultat Information trouvée Pour le fonds R-co Lux Conviction Equity Value Euro (statut : Production), les coûts de transaction implicites ex post EMT sont renseignés à : 0,00 % Détails complémentaires La valeur enregistrée dans la fiche du fonds est de 0,00 %.</t>
  </si>
  <si>
    <t xml:space="preserve">Q1269</t>
  </si>
  <si>
    <t xml:space="preserve">Je voudrais également la thématique ESG principale déclarée dans l’EET.</t>
  </si>
  <si>
    <t xml:space="preserve">Résultat Information trouvée Pour le fonds R-co Lux Conviction Equity Value Euro (statut : Production), aucune thématique ESG principale déclarée dans l’EET n’est renseignée dans les données disponibles. Détails complémentaires Aucune information disponible pour cette demande.</t>
  </si>
  <si>
    <t xml:space="preserve">Q1270</t>
  </si>
  <si>
    <t xml:space="preserve">Reprenons Elite L.A.S pour terminer : peux-tu vérifier l’indicateur d’indice ESG de référence dans l’EET, sans identifier un indice de part ?</t>
  </si>
  <si>
    <t xml:space="preserve">Résultat Information trouvée Pour le fonds Elite L.A.S (statut : Production), aucun indicateur d’indice ESG de référence dans l’EET n’est renseigné. Détails complémentaires Aucun indice ESG de référence n’est déclaré au niveau du fonds dans les données disponibles. Conformément à votre demande, aucune information relative à un indice de part n’a été prise en compte.</t>
  </si>
  <si>
    <t xml:space="preserve">Q1271</t>
  </si>
  <si>
    <t xml:space="preserve">C255</t>
  </si>
  <si>
    <t xml:space="preserve">Pour R-co Thematic Silver Plus, je cherche l’indicateur de rétrocessions sur OPC de tête. Quelle information est enregistrée ?</t>
  </si>
  <si>
    <t xml:space="preserve">Résultat Information trouvée Pour le fonds « R-co Thematic Silver Plus », l’indicateur « rétrocessions sur OPC de tête » est renseigné à : Non Cela signifie que le fonds est enregistré comme ne percevant pas de rétrocessions sur OPC de tête.</t>
  </si>
  <si>
    <t xml:space="preserve">Q1272</t>
  </si>
  <si>
    <t xml:space="preserve">Dans la rubrique juridique de ce produit, quelle valeur est enregistrée pour la classification AMF indiquée ?</t>
  </si>
  <si>
    <t xml:space="preserve">Equities of european union countries</t>
  </si>
  <si>
    <t xml:space="preserve">Résultat Information trouvée Pour le fonds « R-co Thematic Silver Plus », la valeur enregistrée pour la classification AMF est : Actions des pays de l’Union européenne Cette classification est celle renseignée dans la rubrique juridique du produit.</t>
  </si>
  <si>
    <t xml:space="preserve">Q1273</t>
  </si>
  <si>
    <t xml:space="preserve">Passons à R-co Gold Mining. Quelle information as-tu pour l’indicateur du label Towards Sustainability ?</t>
  </si>
  <si>
    <t xml:space="preserve">Résultat Information trouvée Pour le fonds « R-co Gold Mining », l’indicateur « Label Towards Sustainability » est renseigné à : Non Le fonds n’est donc pas enregistré comme bénéficiant du label Towards Sustainability.</t>
  </si>
  <si>
    <t xml:space="preserve">Q1274</t>
  </si>
  <si>
    <t xml:space="preserve">Et sur l’indicateur de connaissance de base de l’investisseur, quelle est la valeur ?</t>
  </si>
  <si>
    <t xml:space="preserve">Résultat Information trouvée Pour le fonds « R-co Gold Mining », l’indicateur « connaissance de base de l’investisseur » est renseigné à : Oui Le produit est donc enregistré comme adapté à un investisseur disposant d’une connaissance de base.</t>
  </si>
  <si>
    <t xml:space="preserve">Q1275</t>
  </si>
  <si>
    <t xml:space="preserve">Dernier point sur R-co Thematic Silver Plus, et non sur le fonds précédent : la date de création du produit ?</t>
  </si>
  <si>
    <t xml:space="preserve">2018-11-29 23:00:00</t>
  </si>
  <si>
    <t xml:space="preserve">Résultat Information trouvée Pour le fonds « R-co Thematic Silver Plus », la date de création enregistrée est : 30/11/2018 La date de création du produit est donc le 30 novembre 2018.</t>
  </si>
  <si>
    <t xml:space="preserve">Q1276</t>
  </si>
  <si>
    <t xml:space="preserve">C256</t>
  </si>
  <si>
    <t xml:space="preserve">Pour le dossier CSM Diversifié, peux-tu me confirmer l’indicateur de frais de gestion spécifiques, sans l’interpréter comme un taux ?</t>
  </si>
  <si>
    <t xml:space="preserve">Résultat Pour le fonds CSM Diversifié en statut Production, l’indicateur de frais de gestion spécifiques est : Non. Détails complémentaires Cet indicateur est un champ de type Oui/Non et ne représente pas un taux. Pour CSM Diversifié, sa valeur est renseignée à Non.</t>
  </si>
  <si>
    <t xml:space="preserve">Q1277</t>
  </si>
  <si>
    <t xml:space="preserve">Et la mention relative au high water mark pour ce même fonds ?</t>
  </si>
  <si>
    <t xml:space="preserve">Résultat Pour le fonds CSM Diversifié en statut Production, la mention relative au high water mark est : Pas de high water mark. Détails complémentaires Aucune mécanique de high water mark n'est renseignée pour ce fonds.</t>
  </si>
  <si>
    <t xml:space="preserve">Q1278</t>
  </si>
  <si>
    <t xml:space="preserve">Dans la fiche produit, que trouve-t-on sur la date d’agrément renseignée ?</t>
  </si>
  <si>
    <t xml:space="preserve">2004-10-19 22:00:00</t>
  </si>
  <si>
    <t xml:space="preserve">Résultat Pour le fonds CSM Diversifié en statut Production, la date d’agrément renseignée est : 20/10/2004 Détails complémentaires Il s’agit de la date d’agrément enregistrée dans la fiche produit du fonds.</t>
  </si>
  <si>
    <t xml:space="preserve">Q1279</t>
  </si>
  <si>
    <t xml:space="preserve">Pour finaliser la réponse client, précise l’indicateur du label Finansol.</t>
  </si>
  <si>
    <t xml:space="preserve">Résultat Pour le fonds CSM Diversifié en statut Production, l’indicateur du label Finansol est : Non. Détails complémentaires Le fonds n’est pas identifié comme bénéficiant du label Finansol dans sa fiche produit.</t>
  </si>
  <si>
    <t xml:space="preserve">Q1280</t>
  </si>
  <si>
    <t xml:space="preserve">Dernier contrôle : l’allocation stratégique renseignée ?</t>
  </si>
  <si>
    <t xml:space="preserve">La politique d’investissement consiste à gérer un portefeuille majoritairement exposé aux marchés de taux et d’actions de la zone euro, une diversification internationale est toutefois possible. La répartition du portefeuille entre les différentes classes d’actifs et catégories d’OPC (actions, diversifiés, obligataires,
monétaires…) est basée sur une analyse fondamentale de l’environnement macro-économique, et de ses perspectives d’évolution (croissance, inflation, déficits, etc.), dans le respect du processus d’allocation d’actifs.
Le fonds peut être investi entre 0 et 100% de son actif net en titres et OPC monétaires et obligataires majoritairement de la zone Euro.
Les investissements obligataires seront réalisés sur des signatures de tout type d’émetteur de catégorie Investment Grade soit en titres vifs, soit en OPC, avec dans ce dernier cas une limite à 20% maximum de la classe d’actif obligataire. Le gérant pourra également les réaliser sur des OPC spécialisés de type
obligations haut rendement (spéculatif/High Yield) et/ou de type obligation des pays émergents dans la limite de 10% de la classe d’actif obligataire. La sensibilité globale de la poche taux (obligataire et monétaire) est
comprise entre 0 et 6.
Le fonds peut être investi entre 0 et 35% de son actif en actions cotées toutes capitalisations sur un marché réglementé ou en OPC de type action.
Les investissements de diversification sont limités à 10% de l’actif, doivent être réalisés uniquement en OPC, et concernent exclusivement la gestion alternative, l’exposition aux obligations convertibles et les matières premières.
Le total de l’allocation des actifs risqués, soit la classe d’actifs « actions » et « diversification » ne devra pas dépasser 35% de l’actif net.
L’exposition au risque de change ou l’exposition aux pays émergents ne peuvent excéder 10% chacune de l’actif toutes classes d’actifs confondues.</t>
  </si>
  <si>
    <t xml:space="preserve">Résultat Pour le fonds CSM Diversifié en statut Production, l’allocation stratégique renseignée est : La politique d’investissement consiste à gérer un portefeuille majoritairement exposé aux marchés de taux et d’actions de la zone euro, avec une diversification internationale possible. Les principales limites d’allocation indiquées sont : 0 % à 100 % de l’actif net en titres et OPC monétaires et obligataires majoritairement de la zone euro. 0 % à 35 % de l’actif en actions cotées ou OPC actions. Jusqu’à 10 % de l’actif en diversification (gestion alternative, obligations convertibles et matières premières via OPC uniquement). Le total des actifs risqués (actions + diversification) ne doit pas dépasser 35 % de l’actif net. L’exposition au risque de change et l’exposition aux pays émergents sont chacune limitées à 10 % de l’actif. Détails complémentaires La répartition entre les différentes classes d’actifs repose sur une analyse fondamentale de l’environnement macro-économique et sur le processus d’allocation d’actifs du fonds. La poche taux présente une sensibilité globale comprise entre 0 et 6. Les investissements obligataires sont principalement réalisés sur des émetteurs Investment Grade, avec des limites spécifiques pour le High Yield et la dette émergente.</t>
  </si>
  <si>
    <t xml:space="preserve">Q1281</t>
  </si>
  <si>
    <t xml:space="preserve">C257</t>
  </si>
  <si>
    <t xml:space="preserve">Je prépare une DDQ sur R-co Conviction Subfin. Quelle est l’information disponible concernant la part minimale d’investissements durables déclarée dans l’EET ?</t>
  </si>
  <si>
    <t xml:space="preserve">Je n’ai pas reçu de demande exploitable. Pouvez-vous indiquer le fonds, la part, le gérant, le code ISIN, le pays d’enregistrement ou l’information produit recherchée ?</t>
  </si>
  <si>
    <t xml:space="preserve">Q1282</t>
  </si>
  <si>
    <t xml:space="preserve">J’ai aussi besoin de le profil d’investisseur type en français.</t>
  </si>
  <si>
    <t xml:space="preserve">Ce compartiment est particulièrement destiné aux investisseurs qui souhaitent s’exposer de manière diversifiée à moyen terme aux marchés des obligations des entreprises ou des institutions du secteur financier international.</t>
  </si>
  <si>
    <t xml:space="preserve">Pour quel fonds ou quelle part souhaitez-vous le profil d’investisseur type en français ? Indiquez le nom du fonds, de la part ou le code ISIN concerné afin que je puisse rechercher l’information correspondante.</t>
  </si>
  <si>
    <t xml:space="preserve">Q1283</t>
  </si>
  <si>
    <t xml:space="preserve">Je change de fonds : sur R-co Valor Equity, que dit la fiche pour l’indication de commission de surperformance au niveau produit ?</t>
  </si>
  <si>
    <t xml:space="preserve">Résultat Pour le fonds « R-co Valor Equity » en statut Production, l’enregistrement produit a bien été identifié. Concernant l’indication de commission de surperformance au niveau produit, aucune valeur n’est renseignée dans les champs dédiés à la commission de surperformance (présence de l’enregistrement produit mais absence d’information retournée sur les champs de commission de surperformance). Détails complémentaires Aucune information disponible pour cette demande au niveau du produit concernant : l’existence d’une commission de surperformance, la formule de calcul, l’assiette de calcul, le pourcentage de surperformance.</t>
  </si>
  <si>
    <t xml:space="preserve">Q1284</t>
  </si>
  <si>
    <t xml:space="preserve">Autre rubrique du même dossier : le centralisateur désigné ?</t>
  </si>
  <si>
    <t xml:space="preserve">Résultat Pour le fonds « R-co Valor Equity » (statut Production), le centralisateur désigné est : Rothschild &amp; Co Martin Maurel Détails complémentaires Cette information correspond au centralisateur renseigné au niveau du produit.</t>
  </si>
  <si>
    <t xml:space="preserve">Q1285</t>
  </si>
  <si>
    <t xml:space="preserve">Reprenons R-co Conviction Subfin pour terminer : peux-tu vérifier la part minimale d’investissements durables environnementaux dans l’EET ?</t>
  </si>
  <si>
    <t xml:space="preserve">Résultat Pour le fonds « R-co Conviction Subfin » (statut Production), la part minimale d’investissements durables déclarée dans l’EET est de 30 %. Détails complémentaires Cette valeur correspond au champ EET relatif à la part minimale d’investissements durables.</t>
  </si>
  <si>
    <t xml:space="preserve">Q1286</t>
  </si>
  <si>
    <t xml:space="preserve">C258</t>
  </si>
  <si>
    <t xml:space="preserve">Pour RMM Invest 7, quelle valeur est renseignée pour l’entité sponsor renseignée ?</t>
  </si>
  <si>
    <t xml:space="preserve">Résultat Pour le fonds RMM Invest 7, l’entité sponsor renseignée est : Rothschild &amp; Co Asset Management Cette information est celle actuellement enregistrée sur le fonds en statut Production.</t>
  </si>
  <si>
    <t xml:space="preserve">Q1287</t>
  </si>
  <si>
    <t xml:space="preserve">Toujours pour ce produit : l’indicateur de thématique ESG existante dans l’EET ?</t>
  </si>
  <si>
    <t xml:space="preserve">Résultat Pour le fonds RMM Invest 7, l’indicateur « thématique ESG existante dans l’EET » est renseigné à : Non Détails complémentaires Aucune thématique ESG EET n’est indiquée comme existante pour ce fonds dans les données de production.</t>
  </si>
  <si>
    <t xml:space="preserve">Q1288</t>
  </si>
  <si>
    <t xml:space="preserve">Peux-tu retrouver l’information renseignée dans le champ Article 29, sans déduire une conformité ?</t>
  </si>
  <si>
    <t xml:space="preserve">Résultat Pour le fonds RMM Invest 7, la valeur renseignée dans le champ « Article 29 » est : Solution dédiée Détails complémentaires Il s’agit de la valeur enregistrée dans le référentiel. Aucune interprétation ni conclusion de conformité n’en est déduite.</t>
  </si>
  <si>
    <t xml:space="preserve">Q1289</t>
  </si>
  <si>
    <t xml:space="preserve">Je passe à la rubrique suivante : le conservateur indiqué ?</t>
  </si>
  <si>
    <t xml:space="preserve">Résultat Pour le fonds RMM Invest 7, le conservateur renseigné est : Rothschild &amp; Co Martin Maurel Détails complémentaires Il s’agit de l’établissement indiqué dans le champ Conservateur du fonds en production.</t>
  </si>
  <si>
    <t xml:space="preserve">Q1290</t>
  </si>
  <si>
    <t xml:space="preserve">Et concernant la date de clôture annuelle renseignée, que dit la fiche ?</t>
  </si>
  <si>
    <t xml:space="preserve">Résultat Pour le fonds RMM Invest 7, la date de clôture annuelle renseignée est : Dernier jour ouvré de décembre Détails complémentaires C’est la valeur actuellement enregistrée dans la fiche du fonds en production.</t>
  </si>
  <si>
    <t xml:space="preserve">Q1291</t>
  </si>
  <si>
    <t xml:space="preserve">C259</t>
  </si>
  <si>
    <t xml:space="preserve">Dans la documentation produit de R-co Valor Bond Opportunities, que dois-je reprendre pour l’objectif de volatilité renseigné ?</t>
  </si>
  <si>
    <t xml:space="preserve">Bonjour, je suis à votre disposition pour rechercher des informations sur les fonds, parts, gérants, codes ISIN, pays d’enregistrement ou caractéristiques produit. Indiquez simplement votre demande.</t>
  </si>
  <si>
    <t xml:space="preserve">Q1292</t>
  </si>
  <si>
    <t xml:space="preserve">Même fonds, autre point : l’indicateur de disponibilité de l’EET pour le fonds ?</t>
  </si>
  <si>
    <t xml:space="preserve">Je n’ai pas l’identification du fonds dans cet échange. Pouvez-vous indiquer le nom du fonds ou son code ISIN afin que je vérifie l’indicateur de disponibilité de l’EET ?</t>
  </si>
  <si>
    <t xml:space="preserve">Q1293</t>
  </si>
  <si>
    <t xml:space="preserve">Passons à R-co Valor Balanced. Quelle information as-tu pour le conservateur indiqué ?</t>
  </si>
  <si>
    <t xml:space="preserve">Q1294</t>
  </si>
  <si>
    <t xml:space="preserve">Qu’indique Product Info sur la thématique ESG principale déclarée dans l’EET ?</t>
  </si>
  <si>
    <t xml:space="preserve">Pour répondre sur la thématique ESG principale déclarée dans l’EET, il faut d’abord identifier le fonds concerné. Dans votre échange précédent, vous avez mentionné « R-co Valor Balanced ». Si c’est bien ce fonds, je n’ai pas pu retrouver son enregistrement dans les données accessibles. Aucune information disponible pour cette demande.</t>
  </si>
  <si>
    <t xml:space="preserve">Q1295</t>
  </si>
  <si>
    <t xml:space="preserve">Je reviens à R-co Valor Bond Opportunities : quelle donnée figure sur la sous-réglementation applicable au produit ?</t>
  </si>
  <si>
    <t xml:space="preserve">Q1296</t>
  </si>
  <si>
    <t xml:space="preserve">C260</t>
  </si>
  <si>
    <t xml:space="preserve">RMM Lending 2 S.L.P.</t>
  </si>
  <si>
    <t xml:space="preserve">Sur RMM Lending 2 S.L.P., j’ai besoin de l’objectif de volatilité renseigné pour une réponse RFI.</t>
  </si>
  <si>
    <t xml:space="preserve">Résultat Information trouvée Pour le fonds RMM Lending 2 S.L.P., aucun objectif de volatilité n’est renseigné. Le champ indiquant l’existence d’un objectif de volatilité est positionné à « Non ». Détails complémentaires Aucune valeur d’objectif de volatilité n’est enregistrée pour ce fonds dans le référentiel Product Info.</t>
  </si>
  <si>
    <t xml:space="preserve">Q1297</t>
  </si>
  <si>
    <t xml:space="preserve">Peux-tu préciser la classification AMF indiquée ?</t>
  </si>
  <si>
    <t xml:space="preserve">Résultat Information trouvée Pour le fonds RMM Lending 2 S.L.P., la classification AMF renseignée est : Pas de Classification AMF Détails complémentaires Aucune classification AMF spécifique n'est enregistrée pour ce fonds dans le référentiel Product Info.</t>
  </si>
  <si>
    <t xml:space="preserve">Q1298</t>
  </si>
  <si>
    <t xml:space="preserve">Pour Actéon Investissements cette fois, que trouve-t-on concernant les coûts de transaction explicites ex post EMT ?</t>
  </si>
  <si>
    <t xml:space="preserve">0.091</t>
  </si>
  <si>
    <t xml:space="preserve">Résultat Information trouvée Pour le fonds Actéon Investissements : Coûts de transaction explicites ex post EMT : 0,091 % Année de référence : 2025 Détails complémentaires La valeur renseignée dans le référentiel Product Info pour les coûts de transaction explicites ex post EMT est de 0,091 % pour l'exercice 2025.</t>
  </si>
  <si>
    <t xml:space="preserve">Q1299</t>
  </si>
  <si>
    <t xml:space="preserve">Je vérifie aussi l’indicateur de connaissance de base de l’investisseur : quelle est la donnée ?</t>
  </si>
  <si>
    <t xml:space="preserve">Résultat Information trouvée Pour le fonds Actéon Investissements, l’indicateur de connaissance de base de l’investisseur est : Oui Détails complémentaires Le fonds est donc considéré comme adapté à un investisseur disposant d’une connaissance de base en matière d’investissement.</t>
  </si>
  <si>
    <t xml:space="preserve">Q1300</t>
  </si>
  <si>
    <t xml:space="preserve">Reprenons RMM Lending 2 S.L.P. pour terminer : peux-tu vérifier l’indicateur PRIIPs du fonds ?</t>
  </si>
  <si>
    <t xml:space="preserve">Résultat Information trouvée Pour le fonds RMM Lending 2 S.L.P., l’indicateur PRIIPs est : Non Détails complémentaires Le fonds n’est pas identifié comme fonds PRIIPs dans le référentiel Product Info.</t>
  </si>
  <si>
    <t xml:space="preserve">Q1301</t>
  </si>
  <si>
    <t xml:space="preserve">C261</t>
  </si>
  <si>
    <t xml:space="preserve">Je vérifie R-co Conviction Credit 12M Euro avant d’envoyer une fiche client : la part minimale d’investissements durables sociaux dans l’EET ?</t>
  </si>
  <si>
    <t xml:space="preserve">Résultat Pour le fonds/part « R-co Conviction Credit 12M Euro », la part minimale d’investissements durables sociaux déclarée dans l’EET est de 0 %. Détails complémentaires Information trouvée pour l’enregistrement en statut Production : valeur EET « investissements durables sociaux » = 0.</t>
  </si>
  <si>
    <t xml:space="preserve">Q1302</t>
  </si>
  <si>
    <t xml:space="preserve">Pour ce même produit, la part minimale présentant des caractéristiques environnementales ou sociales dans l’EET ?</t>
  </si>
  <si>
    <t xml:space="preserve">Résultat Pour « R-co Conviction Credit 12M Euro », la part minimale présentant des caractéristiques environnementales ou sociales dans l’EET est de 75 %. Détails complémentaires Valeur EET enregistrée pour le produit en statut Production : 75 %.</t>
  </si>
  <si>
    <t xml:space="preserve">Q1303</t>
  </si>
  <si>
    <t xml:space="preserve">Quelle donnée faut-il retenir pour la classification interne du fonds ?</t>
  </si>
  <si>
    <t xml:space="preserve">Résultat Pour le fonds « R-co Conviction Credit 12M Euro », la classification interne à retenir est : SICAV Obligations et autres titres de créance €. Détails complémentaires Cette valeur correspond à la classification interne associée au fonds dans le référentiel Product Info.</t>
  </si>
  <si>
    <t xml:space="preserve">Q1304</t>
  </si>
  <si>
    <t xml:space="preserve">Passe maintenant à l’objectif de gestion renseigné.</t>
  </si>
  <si>
    <t xml:space="preserve">Le compartiment R-co Conviction Credit 12M Euro a pour objectif de réaliser une performance nette de frais supérieure à l’indicateur de référence composite suivant : 75% [ESTER Capitalisé + 0.085%] + 25% Markit Iboxx € Corporates 1-3 coupons nets réinvestis, nette des frais de gestion, sur la durée de placement recommandée d’un an, par le biais d’un portefeuille représentatif des opportunités présentes sur le marché obligataire court terme.</t>
  </si>
  <si>
    <t xml:space="preserve">Résultat Objectif de gestion du fonds « R-co Conviction Credit 12M Euro » : « Le compartiment R-co Conviction Credit 12M Euro a pour objectif de réaliser une performance supérieure à l’indicateur de référence composite suivant : 75% [ESTER Capitalisé + 0,085 %] + 25% Markit iBoxx € Corporates 1-3 coupons nets réinvestis, nette des frais de gestion, sur la durée de placement recommandée d’un an, par le biais d’un portefeuille représentatif des opportunités présentes sur le marché obligataire court terme. » Détails complémentaires Durée de placement recommandée mentionnée dans l’objectif de gestion : 1 an.</t>
  </si>
  <si>
    <t xml:space="preserve">Q1305</t>
  </si>
  <si>
    <t xml:space="preserve">Et pour les coûts de transaction implicites ex post EMT, qu’est-ce qui est indiqué ?</t>
  </si>
  <si>
    <t xml:space="preserve">0.059</t>
  </si>
  <si>
    <t xml:space="preserve">Résultat Pour « R-co Conviction Credit 12M Euro », les coûts de transaction implicites ex post EMT sont renseignés à 0 %. Détails complémentaires La valeur enregistrée dans le référentiel Product Info est 0,0000000000.</t>
  </si>
  <si>
    <t xml:space="preserve">Q1306</t>
  </si>
  <si>
    <t xml:space="preserve">C262</t>
  </si>
  <si>
    <t xml:space="preserve">RMM Lending I</t>
  </si>
  <si>
    <t xml:space="preserve">Concernant RMM Lending I, peux-tu retrouver le plafond des frais indirects de gestion dans la fiche ?</t>
  </si>
  <si>
    <t xml:space="preserve">Résultat Information trouvée Pour le fonds RMM Lending I, le plafond des frais indirects de gestion est de 3,00. Détails complémentaires Le fonds RMM Lending I est bien trouvé en statut Production et la valeur renseignée pour le plafond des frais indirects de gestion est 3,00.</t>
  </si>
  <si>
    <t xml:space="preserve">Q1307</t>
  </si>
  <si>
    <t xml:space="preserve">Dans la rubrique risque de ce produit, quelle valeur est enregistrée pour l’indicateur de risque de contrepartie ?</t>
  </si>
  <si>
    <t xml:space="preserve">Résultat Information trouvée Pour le fonds RMM Lending I, l’indicateur de risque de contrepartie est renseigné à : Non. Détails complémentaires Aucun risque de contrepartie n’est enregistré pour ce produit dans la rubrique Risques.</t>
  </si>
  <si>
    <t xml:space="preserve">Q1308</t>
  </si>
  <si>
    <t xml:space="preserve">Autre dossier, Arcade Investissements : peux-tu vérifier la date de première VL renseignée au niveau produit ?</t>
  </si>
  <si>
    <t xml:space="preserve">Résultat Information trouvée Le fonds Arcade Investissements a bien été trouvé en Production. Détails complémentaires Aucune date de première VL n’est renseignée au niveau produit pour ce fonds. La valeur est vide dans le référentiel.</t>
  </si>
  <si>
    <t xml:space="preserve">indique que la valeur est vide</t>
  </si>
  <si>
    <t xml:space="preserve">Q1309</t>
  </si>
  <si>
    <t xml:space="preserve">Dans la rubrique esg de ce produit, quelle valeur est enregistrée pour l’indicateur d’investissement durable dans l’EET ?</t>
  </si>
  <si>
    <t xml:space="preserve">Résultat Information trouvée Pour le fonds Arcade Investissements, la valeur enregistrée pour l’indicateur « part minimale d’investissements durables déclarée dans l’EET » est de 5. Détails complémentaires La valeur renseignée dans la rubrique ESG du produit est 5. Cette donnée correspond à l’indicateur d’investissement durable dans l’EET.</t>
  </si>
  <si>
    <t xml:space="preserve">Q1310</t>
  </si>
  <si>
    <t xml:space="preserve">Je reviens à RMM Lending I : quelle donnée figure sur l’existence d’une délégation de gestion financière ?</t>
  </si>
  <si>
    <t xml:space="preserve">Résultat Information trouvée Pour le fonds RMM Lending I, l’indicateur « existence d’une délégation de gestion financière » est renseigné à : Non. Détails complémentaires Aucune délégation de gestion financière n’est enregistrée pour ce produit.</t>
  </si>
  <si>
    <t xml:space="preserve">Q1311</t>
  </si>
  <si>
    <t xml:space="preserve">C263</t>
  </si>
  <si>
    <t xml:space="preserve">Pour R-co Thematic Real Estate, je cherche la moyenne triennale des coûts de transaction explicites ex ante. Quelle information est enregistrée ?</t>
  </si>
  <si>
    <t xml:space="preserve">0.11</t>
  </si>
  <si>
    <t xml:space="preserve">Résultat Pour le fonds R-co Thematic Real Estate, la valeur enregistrée pour la moyenne triennale des coûts de transaction explicites ex ante est de 0,11 %. Détails complémentaires Valeur enregistrée : 0,11 % Année de référence enregistrée : 2025 Cette information est bien présente sur le fonds en statut Production.</t>
  </si>
  <si>
    <t xml:space="preserve">Q1312</t>
  </si>
  <si>
    <t xml:space="preserve">Qu’en est-il de l’indicateur d’investisseur averti ?</t>
  </si>
  <si>
    <t xml:space="preserve">Résultat Pour le fonds R-co Thematic Real Estate, l’indicateur d’investisseur averti est renseigné à : Oui. Détails complémentaires Investisseur averti : Oui Fonds concerné : R-co Thematic Real Estate (Production)</t>
  </si>
  <si>
    <t xml:space="preserve">Q1313</t>
  </si>
  <si>
    <t xml:space="preserve">Peux-tu contrôler la prise en compte des principales incidences négatives, selon l’EET pour ce dossier ?</t>
  </si>
  <si>
    <t xml:space="preserve">Résultat Pour le fonds R-co Thematic Real Estate, les indicateurs EET relatifs à la prise en compte des principales incidences négatives disponibles dans le référentiel sont tous renseignés à Oui. Détails complémentaires Les champs EET contrôlés pour ce fonds sont valorisés à : Oui Oui Oui Oui Oui Au vu des informations enregistrées dans l’EET pour ce fonds, la prise en compte des principales incidences négatives est bien déclarée.</t>
  </si>
  <si>
    <t xml:space="preserve">Q1314</t>
  </si>
  <si>
    <t xml:space="preserve">Dans la rubrique risque de ce produit, quelle valeur est enregistrée pour l’indicateur de risque de crédit ?</t>
  </si>
  <si>
    <t xml:space="preserve">Résultat Pour le fonds R-co Thematic Real Estate, l’indicateur de risque de crédit est renseigné à : Oui. Détails complémentaires Risque de crédit : Oui Fonds : R-co Thematic Real Estate (Production)</t>
  </si>
  <si>
    <t xml:space="preserve">Q1315</t>
  </si>
  <si>
    <t xml:space="preserve">Pour finir, indique-moi la date de clôture annuelle renseignée.</t>
  </si>
  <si>
    <t xml:space="preserve">Résultat Pour le fonds R-co Thematic Real Estate, la date de clôture annuelle renseignée est : Dernier jour ouvré de décembre. Détails complémentaires Clôture annuelle : Dernier jour ouvré de décembre Fonds : R-co Thematic Real Estate (Production)</t>
  </si>
  <si>
    <t xml:space="preserve">Q1316</t>
  </si>
  <si>
    <t xml:space="preserve">C264</t>
  </si>
  <si>
    <t xml:space="preserve">Pour le dossier HERA, peux-tu me confirmer la classification SFDR renseignée ?</t>
  </si>
  <si>
    <t xml:space="preserve">Résultat Aucune information disponible pour cette demande. Je n’ai trouvé aucun enregistrement correspondant à « HERA » dans les données accessibles. Si « HERA » est un nom de dossier interne, un fonds, une part ou une autre désignation métier, indiquez son intitulé complet ou un identifiant associé (par exemple un nom de fonds ou un code ISIN) afin de retrouver la classification SFDR renseignée.</t>
  </si>
  <si>
    <t xml:space="preserve">Q1317</t>
  </si>
  <si>
    <t xml:space="preserve">Et le SRI du mois précédent pour ce même fonds ?</t>
  </si>
  <si>
    <t xml:space="preserve">Résultat Je ne peux pas identifier le fonds concerné à partir des informations disponibles : la recherche précédente sur « HERA » n’a retourné aucun enregistrement. Information nécessaire Pouvez-vous préciser le nom exact du fonds (ou son code ISIN) pour que je vérifie le SRI du mois précédent ?</t>
  </si>
  <si>
    <t xml:space="preserve">Q1318</t>
  </si>
  <si>
    <t xml:space="preserve">Pour Elan France Bear cette fois, que trouve-t-on concernant l’indicateur d’investisseur informé ?</t>
  </si>
  <si>
    <t xml:space="preserve">Résultat Aucune information disponible pour cette demande. Je n’ai trouvé aucune donnée accessible concernant l’indicateur d’investisseur informé pour le fonds « Elan France Bear ».</t>
  </si>
  <si>
    <t xml:space="preserve">Q1319</t>
  </si>
  <si>
    <t xml:space="preserve">Pour finaliser la réponse client, précise le second taux de frais de gestion renseigné au niveau produit.</t>
  </si>
  <si>
    <t xml:space="preserve">Résultat Aucune information disponible pour cette demande. Je ne dispose d’aucune donnée retrouvée pour le fonds « Elan France Bear » dans les sources accessibles, et je ne peux donc pas confirmer le second taux de frais de gestion renseigné au niveau produit.</t>
  </si>
  <si>
    <t xml:space="preserve">Q1320</t>
  </si>
  <si>
    <t xml:space="preserve">Dernier point sur HERA, et non sur le fonds précédent : le catégorie ESG AMF renseignée ?</t>
  </si>
  <si>
    <t xml:space="preserve">Résultat Aucune information disponible pour cette demande. Je n’ai trouvé aucun enregistrement correspondant à « HERA » ni aucune donnée permettant d’identifier une catégorie ESG AMF renseignée. Sans correspondance dans les données accessibles, je ne peux pas confirmer cette information.</t>
  </si>
  <si>
    <t xml:space="preserve">Q1321</t>
  </si>
  <si>
    <t xml:space="preserve">C265</t>
  </si>
  <si>
    <t xml:space="preserve">Je prépare une DDQ sur R-co Conviction Club. Quelle est l’information disponible concernant l’allocation stratégique en français ?</t>
  </si>
  <si>
    <t xml:space="preserve">Le compartiment pourra donc investir et/ou être exposé :
- Entre 0 et 100% en produits de taux émis par des Etats, des émetteurs privés, et de qualité « investment grade » ou non, de toutes échéances, dont 30% maximum de l’actif net en « High Yield ». Les investissements dans des titres non notés peuvent représenter jusqu’à 20% de l’actif du fonds.
- Entre 0 et 100% en actions;
- Entre 0 et 10% en OPC (dont des OPC cotés/ETF)  ;
- Liquidités à titre accessoire.</t>
  </si>
  <si>
    <t xml:space="preserve">Résultat Information trouvée Pour le fonds R-co Conviction Club, l’allocation stratégique disponible en français est la suivante : « Le compartiment pourra donc investir et/ou être exposé : Entre 0 et 100 % en produits de taux émis par des États, des émetteurs privés, et de qualité “investment grade” ou non, de toutes échéances, dont 30 % maximum de l’actif net en “High Yield”. Les investissements dans des titres non notés peuvent représenter jusqu’à 20 % de l’actif du fonds. Entre 0 et 100 % en actions ; Entre 0 et 10 % en OPC (dont des OPC cotés/ETF) ; Liquidités à titre accessoire. » Détails complémentaires Fonds : R-co Conviction Club (statut Production).</t>
  </si>
  <si>
    <t xml:space="preserve">Q1322</t>
  </si>
  <si>
    <t xml:space="preserve">J’ai aussi besoin de le profil d’investisseur type renseigné.</t>
  </si>
  <si>
    <t xml:space="preserve">Cet OPCVM s’adresse aux investisseurs qui souhaitent disposer d’un support d’investissement dont l’allocation diversifiée permet notamment, en fonction des opportunités de marché, d’être exposés aux produits de taux et/ou aux produits d’actions.</t>
  </si>
  <si>
    <t xml:space="preserve">Résultat Information trouvée Pour le fonds R-co Conviction Club, le profil d’investisseur type renseigné en français est : « Cet OPCVM s’adresse aux investisseurs qui souhaitent disposer d’un support d’investissement dont l’allocation diversifiée permet notamment, en fonction des opportunités de marché, d’être exposés aux produits de taux et/ou aux produits d’actions. » Détails complémentaires Fonds : R-co Conviction Club (statut Production).</t>
  </si>
  <si>
    <t xml:space="preserve">Q1323</t>
  </si>
  <si>
    <t xml:space="preserve">Je change de fonds : sur R-co Conviction Credit Euro, que dit la fiche pour l’indicateur du label Finansol ?</t>
  </si>
  <si>
    <t xml:space="preserve">Résultat Information trouvée Pour le fonds R-co Conviction Credit Euro, l’indicateur du label Finansol est renseigné à : Label Finansol : Non Détails complémentaires Fonds : R-co Conviction Credit Euro (statut Production).</t>
  </si>
  <si>
    <t xml:space="preserve">Q1324</t>
  </si>
  <si>
    <t xml:space="preserve">Pour la ligne frais du dossier R-co Conviction Credit Euro, peux-tu retrouver la mention relative au high water mark ?</t>
  </si>
  <si>
    <t xml:space="preserve">Résultat Information trouvée Pour le fonds R-co Conviction Credit Euro, la mention relative au High Water Mark est : High Water Mark : Pas de high water mark Détails complémentaires Fonds : R-co Conviction Credit Euro (statut Production).</t>
  </si>
  <si>
    <t xml:space="preserve">Q1325</t>
  </si>
  <si>
    <t xml:space="preserve">Je reviens à R-co Conviction Club : quelle donnée figure sur l’expertise de gestion détaillée ?</t>
  </si>
  <si>
    <t xml:space="preserve">Flexible</t>
  </si>
  <si>
    <t xml:space="preserve">Résultat Information trouvée Pour le fonds R-co Conviction Club, l’expertise de gestion détaillée est renseignée comme suit : Niveau 0 : DIRECT INVESTMENT Niveau 1 : DIVERSIFIED Niveau 2 : Flexible Niveau 3 (classe d’actif) : Diversified Détails complémentaires Chemin d’expertise enregistré : « Diversified &lt; Flexible &lt; DIVERSIFIED &lt; DIRECT INVESTMENT ».</t>
  </si>
  <si>
    <t xml:space="preserve">Q1326</t>
  </si>
  <si>
    <t xml:space="preserve">C266</t>
  </si>
  <si>
    <t xml:space="preserve">Pour Monaco Ethique, quelle valeur est renseignée pour la méthode de calcul de l’exposition globale ?</t>
  </si>
  <si>
    <t xml:space="preserve">Résultat Pour le fonds Monaco Ethique, la valeur renseignée pour la méthode de calcul de l’exposition globale est : « Engagement ». Détails complémentaires Le fonds Monaco Ethique est en statut Production et la méthode de calcul de l’exposition globale enregistrée est « Engagement ».</t>
  </si>
  <si>
    <t xml:space="preserve">Q1327</t>
  </si>
  <si>
    <t xml:space="preserve">Toujours pour ce produit : la famille d’expertise de gestion de premier niveau ?</t>
  </si>
  <si>
    <t xml:space="preserve">Résultat Pour le fonds Monaco Ethique, la famille d’expertise de gestion de premier niveau (niveau 0) est : DIRECT INVESTMENT Détails complémentaires Selon le référentiel d’expertise de gestion, le niveau 0 correspond au premier niveau de la hiérarchie d’expertise. Pour Monaco Ethique, ce niveau est renseigné avec la valeur « DIRECT INVESTMENT ».</t>
  </si>
  <si>
    <t xml:space="preserve">Q1328</t>
  </si>
  <si>
    <t xml:space="preserve">Peux-tu retrouver le gestionnaire par délégation indiqué ?</t>
  </si>
  <si>
    <t xml:space="preserve">Résultat Le gestionnaire par délégation indiqué pour le fonds Monaco Ethique est : Federal Finance Gestion Détails complémentaires Cette société est renseignée comme gestionnaire par délégation du fonds Monaco Ethique dans le référentiel Product Info.</t>
  </si>
  <si>
    <t xml:space="preserve">Q1329</t>
  </si>
  <si>
    <t xml:space="preserve">Pour la ligne stratégie du dossier Monaco Ethique, peux-tu retrouver l’objectif de gestion en français ?</t>
  </si>
  <si>
    <t xml:space="preserve">Réaliser une performance supérieure à son indice de référence (60% Bloomberg Barclays Euro Aggregate 3-5 TR + 10% Bloomberg Global Aggregate TR + 20% EuroStoxx 50 NR + 10% S&amp;P 500 NR) sur la durée minimum de placement recommandée, en s'exposant aux marchés financiers actions et taux à travers une gestion discrétionnaire équilibrée/prudente, diversifiée et éthique.</t>
  </si>
  <si>
    <t xml:space="preserve">Résultat L’objectif de gestion en français du fonds Monaco Ethique est : « Réaliser une performance supérieure à son indice de référence (60% Bloomberg Barclays Euro Aggregate 3-5 TR + 10% Bloomberg Global Aggregate TR + 20% EuroStoxx 50 NR + 10% S&amp;P 500 NR) sur la durée minimum de placement recommandée, en s'exposant aux marchés financiers actions et taux à travers une gestion discrétionnaire équilibrée/prudente, diversifiée et éthique. » Détails complémentaires Cet objectif est renseigné dans la version française de l’objectif de gestion du fonds Monaco Ethique en Production.</t>
  </si>
  <si>
    <t xml:space="preserve">Q1330</t>
  </si>
  <si>
    <t xml:space="preserve">Et concernant l’indicateur de rétrocessions sur OPC de tête, que dit la fiche ?</t>
  </si>
  <si>
    <t xml:space="preserve">Résultat Pour le fonds Monaco Ethique, l’indicateur de rétrocessions sur OPC de tête est renseigné à : Non Détails complémentaires La fiche du fonds indique que Monaco Ethique ne perçoit pas de rétrocessions sur OPC de tête.</t>
  </si>
  <si>
    <t xml:space="preserve">Q1331</t>
  </si>
  <si>
    <t xml:space="preserve">C267</t>
  </si>
  <si>
    <t xml:space="preserve">Dans la documentation produit de R-co Strategic Metals and Mining, que dois-je reprendre pour le catégorie ESG AMF renseignée ?</t>
  </si>
  <si>
    <t xml:space="preserve">Résultat Information trouvée Pour le fonds R-co Strategic Metals and Mining, la catégorie ESG AMF renseignée est : 3. Détails complémentaires Le fonds est en statut Production et la valeur enregistrée pour la catégorie ESG AMF est « 3 ».</t>
  </si>
  <si>
    <t xml:space="preserve">Q1332</t>
  </si>
  <si>
    <t xml:space="preserve">Pour la ligne esg du dossier R-co Strategic Metals and Mining, peux-tu retrouver la part minimale d’investissements durables déclarée dans l’EET ?</t>
  </si>
  <si>
    <t xml:space="preserve">Résultat Information trouvée Pour le fonds R-co Strategic Metals and Mining, la part minimale d’investissements durables déclarée dans l’EET est de 0 %. Détails complémentaires Cette valeur est renseignée à 0 pour le fonds en statut Production.</t>
  </si>
  <si>
    <t xml:space="preserve">Q1333</t>
  </si>
  <si>
    <t xml:space="preserve">Passons à R-co Conviction High Yield Euro. Quelle information as-tu pour la date de première VL renseignée au niveau produit ?</t>
  </si>
  <si>
    <t xml:space="preserve">Résultat Information trouvée Pour le fonds R-co Conviction High Yield Euro, aucune date de première VL n'est renseignée au niveau produit. Détails complémentaires Le fonds a bien été retrouvé en statut Production, mais la date de première VL n'est pas renseignée dans les données disponibles pour ce produit.</t>
  </si>
  <si>
    <t xml:space="preserve">Q1334</t>
  </si>
  <si>
    <t xml:space="preserve">Qu’indique Product Info sur l’existence d’une délégation de gestion financière ?</t>
  </si>
  <si>
    <t xml:space="preserve">Résultat Information trouvée Pour le fonds R-co Conviction High Yield Euro, Product Info indique qu'il n'existe pas de délégation de gestion financière. Détails complémentaires La valeur renseignée est : Non.</t>
  </si>
  <si>
    <t xml:space="preserve">pas de délégation de gestion : Non</t>
  </si>
  <si>
    <t xml:space="preserve">Q1335</t>
  </si>
  <si>
    <t xml:space="preserve">Dernier point sur R-co Strategic Metals and Mining, et non sur le fonds précédent : le SRI du mois précédent ?</t>
  </si>
  <si>
    <t xml:space="preserve">Résultat Information trouvée Pour le fonds R-co Strategic Metals and Mining, aucune valeur de SRI du mois précédent n'est renseignée dans les données produit disponibles. Détails complémentaires Le fonds a bien été retrouvé en statut Production, mais aucune valeur n'est renseignée pour cet indicateur dans les données consultées.</t>
  </si>
  <si>
    <t xml:space="preserve">Q1336</t>
  </si>
  <si>
    <t xml:space="preserve">C268</t>
  </si>
  <si>
    <t xml:space="preserve">Sur R-co Global Opportunities Master SP, j’ai besoin de la date de création du produit pour une réponse RFI.</t>
  </si>
  <si>
    <t xml:space="preserve">2016-12-08 23:00:00</t>
  </si>
  <si>
    <t xml:space="preserve">Résultat Information trouvée La date de création du fonds « R-co Global Opportunities Master SP » est le 9 décembre 2016. Détails complémentaires Le fonds a été trouvé en statut Production et la date de création enregistrée dans le référentiel est le 09/12/2016.</t>
  </si>
  <si>
    <t xml:space="preserve">Q1337</t>
  </si>
  <si>
    <t xml:space="preserve">Peux-tu préciser le profil d’investisseur type en français ?</t>
  </si>
  <si>
    <t xml:space="preserve">Résultat Information trouvée Pour le fonds « R-co Global Opportunities Master SP », le champ « Profil type d’investisseur (français) » contient actuellement la valeur : 0. Détails complémentaires Aucune description textuelle du profil d’investisseur n'est renseignée dans ce champ pour ce fonds. La valeur enregistrée dans le référentiel est simplement « 0 ».</t>
  </si>
  <si>
    <t xml:space="preserve">Q1338</t>
  </si>
  <si>
    <t xml:space="preserve">Qu’est-ce qui est enregistré sur l’entité sponsor renseignée ?</t>
  </si>
  <si>
    <t xml:space="preserve">Résultat Information trouvée Pour le fonds « R-co Global Opportunities Master SP », l’entité Sponsor renseignée correspond à : Rothschild &amp; Co Asset Management Détails complémentaires Dans le référentiel, l’entité Sponsor contient les informations suivantes : Nom du sponsor Société de gestion / Investment Manager associée Pour ce fonds, le sponsor enregistré est « Rothschild &amp; Co Asset Management ».</t>
  </si>
  <si>
    <t xml:space="preserve">Q1339</t>
  </si>
  <si>
    <t xml:space="preserve">Dans la rubrique référencement de ce produit, quelle valeur est enregistrée pour le statut métier du produit dans Product Info ?</t>
  </si>
  <si>
    <t xml:space="preserve">Résultat Information trouvée Pour le produit « R-co Global Opportunities Master SP », le statut métier enregistré dans Product Info est : Production Détails complémentaires Le produit est actuellement référencé avec le statut métier « Production ». Cela correspond au statut actif utilisé par défaut pour les recherches métier sur les fonds et parts.</t>
  </si>
  <si>
    <t xml:space="preserve">Q1340</t>
  </si>
  <si>
    <t xml:space="preserve">Pour la ligne risque du dossier R-co Global Opportunities Master SP, peux-tu retrouver l’indicateur de risque de liquidité ?</t>
  </si>
  <si>
    <t xml:space="preserve">Résultat Information trouvée Pour le fonds « R-co Global Opportunities Master SP », l’indicateur de risque de liquidité est : Non Détails complémentaires Dans la rubrique Risque du dossier produit, le risque de liquidité n’est pas déclaré pour ce fonds. La valeur enregistrée est « Non ».</t>
  </si>
  <si>
    <t xml:space="preserve">Q1341</t>
  </si>
  <si>
    <t xml:space="preserve">C269</t>
  </si>
  <si>
    <t xml:space="preserve">Je vérifie R-co Thematic Blockchain Global Equity avant d’envoyer une fiche client : l’information « benchmark » renseignée au niveau produit, sans inventer un indice de part ?</t>
  </si>
  <si>
    <t xml:space="preserve">Résultat Pour le fonds « R-co Thematic Blockchain Global Equity » en statut Production, aucune information de benchmark n’est renseignée au niveau produit dans les données disponibles. Détails complémentaires Les champs relatifs au benchmark (indice de comparaison et description du benchmark) ne contiennent pas de valeur pour ce fonds. Je ne constate donc pas de benchmark produit renseigné, et je ne déduis pas d’indice à partir d’une part.</t>
  </si>
  <si>
    <t xml:space="preserve">Q1342</t>
  </si>
  <si>
    <t xml:space="preserve">Pour ce même produit, le statut actif ou inactif enregistré pour ce produit ?</t>
  </si>
  <si>
    <t xml:space="preserve">Résultat Le produit « R-co Thematic Blockchain Global Equity » est enregistré avec le statut : Actif Détails complémentaires Le statut principal est « Actif » et le statut détaillé est également « Actif ». Le produit est donc actif dans le référentiel.</t>
  </si>
  <si>
    <t xml:space="preserve">Q1343</t>
  </si>
  <si>
    <t xml:space="preserve">Je change de fonds : sur R-co 4Change Green Bonds, que dit la fiche pour l’univers d’investissement renseigné ?</t>
  </si>
  <si>
    <t xml:space="preserve">I31591EU Index</t>
  </si>
  <si>
    <t xml:space="preserve">Résultat Pour le fonds « R-co 4Change Green Bonds », l’univers d’investissement renseigné est : I31591EU Index Détails complémentaires Aucune autre valeur d’univers d’investissement n’est renseignée sur la fiche produit consultée.</t>
  </si>
  <si>
    <t xml:space="preserve">Q1344</t>
  </si>
  <si>
    <t xml:space="preserve">Passe maintenant à les frais de gestion effectifs renseignés au niveau produit.</t>
  </si>
  <si>
    <t xml:space="preserve">Résultat Pour le fonds « R-co 4Change Green Bonds », aucun frais de gestion effectif n’est renseigné au niveau produit. Détails complémentaires Le champ correspondant aux frais de gestion effectifs est vide dans la fiche produit consultée. Aucune valeur n’est disponible pour ce fonds.</t>
  </si>
  <si>
    <t xml:space="preserve">Q1345</t>
  </si>
  <si>
    <t xml:space="preserve">Reprenons R-co Thematic Blockchain Global Equity pour terminer : peux-tu vérifier la date d’agrément renseignée ?</t>
  </si>
  <si>
    <t xml:space="preserve">2022-06-13 22:00:00</t>
  </si>
  <si>
    <t xml:space="preserve">Résultat Pour le fonds « R-co Thematic Blockchain Global Equity », la date d’agrément renseignée est : 14/06/2022 Détails complémentaires Cette date est bien renseignée au niveau de la fiche produit en statut Production.</t>
  </si>
  <si>
    <t xml:space="preserve">Q1346</t>
  </si>
  <si>
    <t xml:space="preserve">C270</t>
  </si>
  <si>
    <t xml:space="preserve">R-co Lux WM TraSky Investment</t>
  </si>
  <si>
    <t xml:space="preserve">Concernant R-co Lux WM TraSky Investment, peux-tu retrouver la structure ombrelle à laquelle le produit est rattaché dans la fiche ?</t>
  </si>
  <si>
    <t xml:space="preserve">Résultat Information trouvée Le produit/fonds « R-co Lux WM TraSky Investment » est rattaché à la structure ombrelle : R-co Lux Le produit est enregistré en statut Production et est de type Compartiment. Il est rattaché dans sa fiche à l’ombrelle « R-co Lux ». Détails complémentaires Fonds : R-co Lux WM TraSky Investment Type : Compartiment Statut : Production Ombrelle de rattachement : R-co Lux</t>
  </si>
  <si>
    <t xml:space="preserve">Q1347</t>
  </si>
  <si>
    <t xml:space="preserve">Pour la ligne frais du dossier R-co Lux WM TraSky Investment, peux-tu retrouver le plafond des frais indirects de souscription, distinct d’un droit d’entrée de part ?</t>
  </si>
  <si>
    <t xml:space="preserve">Résultat Information trouvée Pour le fonds « R-co Lux WM TraSky Investment », le plafond des frais indirects de souscription est de : 0 % Ce montant correspond au plafond des frais indirects de souscription et est distinct d’un éventuel droit d’entrée appliqué au niveau des parts.</t>
  </si>
  <si>
    <t xml:space="preserve">Q1348</t>
  </si>
  <si>
    <t xml:space="preserve">Autre dossier, IBM France H : peux-tu vérifier le deuxième gérant suppléant ?</t>
  </si>
  <si>
    <t xml:space="preserve">Résultat Information trouvée Pour le dossier « IBM France H » en statut Production, le deuxième gérant suppléant est : Vincent IMENEURAET Détails complémentaires Une vérification a également été effectuée sur les versions historisées du fonds. La version actuellement en Production référence bien Vincent IMENEURAET comme deuxième gérant suppléant.</t>
  </si>
  <si>
    <t xml:space="preserve">Q1349</t>
  </si>
  <si>
    <t xml:space="preserve">Dans la rubrique gestion de ce produit, quelle valeur est enregistrée pour le troisième gérant suppléant ?</t>
  </si>
  <si>
    <t xml:space="preserve">Résultat Information trouvée Pour le produit « IBM France H » en statut Production, la valeur enregistrée pour le troisième gérant suppléant est : Thomas VINCENT Détails complémentaires Cette information est renseignée dans la rubrique Gestion du produit.</t>
  </si>
  <si>
    <t xml:space="preserve">Q1350</t>
  </si>
  <si>
    <t xml:space="preserve">Dernier point sur R-co Lux WM TraSky Investment, et non sur le fonds précédent : le plafond des frais indirects de rachat, distinct d’un droit de sortie de part ?</t>
  </si>
  <si>
    <t xml:space="preserve">Résultat Information trouvée Pour le fonds « R-co Lux WM TraSky Investment », le plafond des frais indirects de rachat est de : 0 % Détails complémentaires Cette valeur correspond au plafond des frais indirects de rachat et est distincte d’un éventuel droit de sortie appliqué au niveau des parts.</t>
  </si>
  <si>
    <t xml:space="preserve">Q1351</t>
  </si>
  <si>
    <t xml:space="preserve">C271</t>
  </si>
  <si>
    <t xml:space="preserve">Pour R-co Target 2032 IG, je cherche l’agent de transfert indiqué. Quelle information est enregistrée ?</t>
  </si>
  <si>
    <t xml:space="preserve">Résultat Pour le fonds/produit en Production « R-co Target 2032 IG », l’information enregistrée pour l’agent de transfert est : Agent de transfert : CACEIS Bank Luxembourg Branch Centralisateur (agent de transfert / teneur de registre) : Rothschild &amp; Co Martin Maurel Ces informations sont celles actuellement enregistrées dans le référentiel Product Info.</t>
  </si>
  <si>
    <t xml:space="preserve">Q1352</t>
  </si>
  <si>
    <t xml:space="preserve">Qu’en est-il de l’indicateur du label Towards Sustainability ?</t>
  </si>
  <si>
    <t xml:space="preserve">Résultat Pour « R-co Target 2032 IG », l’indicateur du label « Towards Sustainability » est renseigné à : Non Le fonds n’est donc pas marqué comme bénéficiant du label belge « Towards Sustainability » dans le référentiel Product Info.</t>
  </si>
  <si>
    <t xml:space="preserve">Q1353</t>
  </si>
  <si>
    <t xml:space="preserve">Peux-tu contrôler l’indicateur de thématique ESG existante dans l’EET pour ce dossier ?</t>
  </si>
  <si>
    <t xml:space="preserve">Résultat Pour « R-co Target 2032 IG », aucun indicateur de thématique ESG EET n’est renseigné dans les champs EET contrôlés (thématiques environnementales, sociales, de gouvernance ou objectifs de développement durable). Détails complémentaires Les informations relatives aux thématiques ESG EET apparaissent non renseignées pour ce fonds dans le référentiel Product Info. Aucune valeur n’est enregistrée sur les indicateurs de thématique ESG existante consultés.</t>
  </si>
  <si>
    <t xml:space="preserve">Q1354</t>
  </si>
  <si>
    <t xml:space="preserve">Et sur l’indicateur de frais de gestion spécifiques, sans l’interpréter comme un taux, quelle est la valeur ?</t>
  </si>
  <si>
    <t xml:space="preserve">Résultat Pour « R-co Target 2032 IG », la valeur enregistrée pour l’indicateur de frais de gestion spécifiques est : Non Détails complémentaires Il s’agit de la valeur de l’indicateur lui-même (oui/non), et non d’un taux de frais de gestion.</t>
  </si>
  <si>
    <t xml:space="preserve">Q1355</t>
  </si>
  <si>
    <t xml:space="preserve">Pour la ligne esg du dossier R-co Target 2032 IG, peux-tu retrouver l’indicateur de disponibilité de l’EET pour le fonds ?</t>
  </si>
  <si>
    <t xml:space="preserve">Résultat Pour « R-co Target 2032 IG », l’indicateur de disponibilité de l’EET est : Oui Détails complémentaires Le fonds est donc identifié dans le référentiel Product Info comme disposant d’un EET.</t>
  </si>
  <si>
    <t xml:space="preserve">Q1356</t>
  </si>
  <si>
    <t xml:space="preserve">C272</t>
  </si>
  <si>
    <t xml:space="preserve">Walrus - Tucana</t>
  </si>
  <si>
    <t xml:space="preserve">Pour le dossier Walrus - Tucana, peux-tu me confirmer l’objectif de gestion renseigné ?</t>
  </si>
  <si>
    <t xml:space="preserve">The investment objective of the Sub-fund is to generate capital growth over time by investing worldwide in various asset classes, while attempting to protect capital during challenging markets.</t>
  </si>
  <si>
    <t xml:space="preserve">Résultat Aucune information disponible pour cette demande. Je n’ai trouvé aucune donnée correspondant à « Walrus », « Tucana » ou « Walrus - Tucana » dans les sources consultées. Si « Walrus - Tucana » correspond à un fonds, une part ou un autre nom métier, une autre dénomination utilisée dans le référentiel pourrait permettre de retrouver l’objectif de gestion renseigné.</t>
  </si>
  <si>
    <t xml:space="preserve">Q1357</t>
  </si>
  <si>
    <t xml:space="preserve">Et l’allocation stratégique renseignée pour ce même fonds ?</t>
  </si>
  <si>
    <t xml:space="preserve">The Sub-fund may therefore invest in and/or be exposed to:
• 0-100% of the Sub-fund’s net assets in fixed income transferable debt securities issued by governments or their departments, supranational organisations, public or private companies, rated investment grade or otherwise, across all maturities, with up to 50% of the net assets in high-yield securities or in unrated securities. The Sub-fund may invest in bonds, negotiable debt securities of all maturities at fixed, variable or floating rates, convertible bonds and securitised products (up to a maximum of 10%). The public/private debt mix is not determined in advance and will be achieved on the basis of the market opportunities.
• 0-75% of the Sub-fund’s net assets in equities across all industrial sectors and geographical zone and sizes of stock market capitalisation. The geographic and sectorial mix of issuers is not determined in advance and will be achieved on the basis of the market opportunities. The Sub-fund may invest in non-OECD country equities on an ancillary basis.
• 0-50% of the Sub-fund’s net assets in UCITS and/or other UCIs within the limits laid down by law.</t>
  </si>
  <si>
    <t xml:space="preserve">Résultat Aucune information disponible pour cette demande. Le fonds « Walrus - Tucana » n’ayant pas été identifié dans les données consultées, je ne peux pas confirmer d’allocation stratégique renseignée pour ce fonds. Sans correspondance trouvée pour ce fonds, aucune allocation stratégique associée n’est disponible.</t>
  </si>
  <si>
    <t xml:space="preserve">Q1358</t>
  </si>
  <si>
    <t xml:space="preserve">Pour ROPS Obligations Crédit Euro 3 cette fois, que trouve-t-on concernant l’assiette de calcul des frais de gestion ?</t>
  </si>
  <si>
    <t xml:space="preserve">Résultat Pour le fonds ROPS Obligations Crédit Euro 3, l’enregistrement en Production a bien été identifié. En revanche, la valeur de l’assiette de calcul des frais de gestion n’est pas remontée dans les données consultables retournées pour ce fonds. Je ne dispose donc pas d’une valeur exploitable permettant de confirmer l’assiette renseignée. Détails complémentaires Fonds trouvé : ROPS Obligations Crédit Euro 3 Statut : Production Information d’assiette de calcul des frais de gestion : non disponible dans les données retournées pour cette consultation.</t>
  </si>
  <si>
    <t xml:space="preserve">Q1359</t>
  </si>
  <si>
    <t xml:space="preserve">Pour finaliser la réponse client, précise la part minimale d’investissements durables sociaux dans l’EET.</t>
  </si>
  <si>
    <t xml:space="preserve">Résultat Pour le fonds ROPS Obligations Crédit Euro 3, la part minimale d’investissements durables sociaux dans l’EET est de : 0 % Détails complémentaires La part minimale d’investissements durables déclarée dans l’EET est de 30 %, dont : Environnementaux : 0 % Sociaux : 0 % Le solde correspond à des investissements durables sans ventilation minimale environnementale ou sociale spécifique renseignée.</t>
  </si>
  <si>
    <t xml:space="preserve">Q1360</t>
  </si>
  <si>
    <t xml:space="preserve">Reprenons Walrus - Tucana pour terminer : peux-tu vérifier l’indicateur d’indice ESG de référence dans l’EET, sans identifier un indice de part ?</t>
  </si>
  <si>
    <t xml:space="preserve">Résultat Le fonds Walrus - Tucana a bien été identifié. En revanche, je ne trouve pas de valeur exploitable remontée pour l’indicateur d’indice ESG de référence dans l’EET. Les champs EET interrogés relatifs aux indicateurs ESG de référence ne retournent pas de donnée consultable pour ce fonds. Détails complémentaires Fonds : Walrus - Tucana Indicateur d’indice ESG de référence dans l’EET : aucune information disponible dans les données retournées. Aucun indice de part n’a été utilisé pour cette vérification, conformément à votre demande.</t>
  </si>
  <si>
    <t xml:space="preserve">Q1361</t>
  </si>
  <si>
    <t xml:space="preserve">C273</t>
  </si>
  <si>
    <t xml:space="preserve">Je prépare une DDQ sur R-co Gold Mining. Quelle est l’information disponible concernant l’objectif de gestion en français ?</t>
  </si>
  <si>
    <t xml:space="preserve">R-co Gold Mining est constitué d'actions, d'actions à dividende prioritaire, et d'obligations convertibles liées au secteur des métaux rares et précieux. Ces sociétés intéressées par l'extraction ou la transformation de minerais sont sélectionnées sur les places étrangères. Le portefeuille repose principalement sur les grandes exploitations minières internationales. Toutefois, le Fonds se réserve la possibilité d'investir dans de plus petites affaires aux perspectives de développement intéressantes.</t>
  </si>
  <si>
    <t xml:space="preserve">Résultat Information trouvée L’objectif de gestion en français de R-co Gold Mining est le suivant : « R-co Gold Mining est constitué d'actions, d'actions à dividende prioritaire, et d'obligations convertibles liées au secteur des métaux rares et précieux. Ces sociétés intéressées par l'extraction ou la transformation de minerais sont sélectionnées sur les places étrangères. Le portefeuille repose principalement sur les grandes exploitations minières internationales. Toutefois, le Fonds se réserve la possibilité d'investir dans de plus petites affaires aux perspectives de développement intéressantes. » Détails complémentaires Cette information provient du fonds R-co Gold Mining en statut Production.</t>
  </si>
  <si>
    <t xml:space="preserve">Q1362</t>
  </si>
  <si>
    <t xml:space="preserve">J’ai aussi besoin de l’indicateur de tarification all-in.</t>
  </si>
  <si>
    <t xml:space="preserve">Résultat Information trouvée L’indicateur de tarification all-in pour R-co Gold Mining est : Oui. Détails complémentaires Le fonds R-co Gold Mining est marqué comme bénéficiant d’une tarification all-in.</t>
  </si>
  <si>
    <t xml:space="preserve">Q1363</t>
  </si>
  <si>
    <t xml:space="preserve">Sur ce point, indique-moi le centralisateur désigné.</t>
  </si>
  <si>
    <t xml:space="preserve">Résultat Information trouvée Le centralisateur désigné pour R-co Gold Mining est : Rothschild &amp; Co Martin Maurel. Détails complémentaires Cette information est renseignée au niveau du fonds en statut Production.</t>
  </si>
  <si>
    <t xml:space="preserve">Q1364</t>
  </si>
  <si>
    <t xml:space="preserve">Dans la rubrique esg de ce produit, quelle valeur est enregistrée pour l’information renseignée dans le champ Article 29, sans déduire une conformité ?</t>
  </si>
  <si>
    <t xml:space="preserve">Résultat Information trouvée Pour R-co Gold Mining, la valeur enregistrée dans le champ « Article 29 » est : Gestion directe – NZAMi Détails complémentaires Il s’agit de la valeur présente dans le référentiel pour ce champ ESG. Aucune interprétation ni conclusion de conformité n’en est déduite.</t>
  </si>
  <si>
    <t xml:space="preserve">Q1365</t>
  </si>
  <si>
    <t xml:space="preserve">Avant de conclure, peux-tu vérifier la classification AMF indiquée ?</t>
  </si>
  <si>
    <t xml:space="preserve">Résultat Information trouvée La classification AMF enregistrée pour R-co Gold Mining est : Actions internationales Détails complémentaires Cette classification est cohérente avec l’objectif de gestion renseigné, qui indique un investissement dans des sociétés minières sélectionnées sur des places étrangères et reposant principalement sur de grandes exploitations minières internationales. Cela reste toutefois une simple vérification de cohérence descriptive ; la valeur de référence enregistrée dans le référentiel est bien « Actions internationales ».</t>
  </si>
  <si>
    <t xml:space="preserve">Q1366</t>
  </si>
  <si>
    <t xml:space="preserve">C274</t>
  </si>
  <si>
    <t xml:space="preserve">Pour R-co OPAL 4Change Global Trends, quelle valeur est renseignée pour la thématique ESG principale déclarée dans l’EET ?</t>
  </si>
  <si>
    <t xml:space="preserve">Q1367</t>
  </si>
  <si>
    <t xml:space="preserve">Toujours pour ce produit : la part minimale alignée sur la taxonomie selon le champ EET 20600 ?</t>
  </si>
  <si>
    <t xml:space="preserve">Q1368</t>
  </si>
  <si>
    <t xml:space="preserve">Autre dossier, R-co Apolline Obligations Internationales : peux-tu vérifier la classification interne du fonds ?</t>
  </si>
  <si>
    <t xml:space="preserve">FCP Obligations Internationales</t>
  </si>
  <si>
    <t xml:space="preserve">Q1369</t>
  </si>
  <si>
    <t xml:space="preserve">Je passe à la rubrique suivante : les frais de gestion maximum renseignés au niveau produit, sans les attribuer à une part ?</t>
  </si>
  <si>
    <t xml:space="preserve">Pouvez-vous préciser le fonds concerné ? La question « les frais de gestion maximum renseignés au niveau produit » nécessite de connaître le produit/fonds sur lequel effectuer la recherche. Sans identification du fonds, je ne peux pas récupérer la valeur correspondante.</t>
  </si>
  <si>
    <t xml:space="preserve">Q1370</t>
  </si>
  <si>
    <t xml:space="preserve">Je reviens à R-co OPAL 4Change Global Trends : quelle donnée figure sur la moyenne triennale des coûts de transaction implicites ex ante ?</t>
  </si>
  <si>
    <t xml:space="preserve">0.017</t>
  </si>
  <si>
    <t xml:space="preserve">Q1371</t>
  </si>
  <si>
    <t xml:space="preserve">C275</t>
  </si>
  <si>
    <t xml:space="preserve">Dans la documentation produit de R-co Valor Equity, que dois-je reprendre pour l’indicateur d’investisseur informé ?</t>
  </si>
  <si>
    <t xml:space="preserve">Résultat Aucune information disponible pour cette demande. Je n’ai pas trouvé dans les données accessibles la documentation produit de « R-co Valor Equity » ni la valeur de l’indicateur « investisseur informé ». Pour répondre de façon fiable, il me faut une source documentaire présente dans le référentiel (document produit, DIC/KID, prospectus ou fiche produit) accessible dans Dataverse.</t>
  </si>
  <si>
    <t xml:space="preserve">Q1372</t>
  </si>
  <si>
    <t xml:space="preserve">Même fonds, autre point : l’agent de transfert indiqué ?</t>
  </si>
  <si>
    <t xml:space="preserve">Résultat Pour le fonds R-co Valor Equity (statut Production), l’agent de transfert indiqué est : CACEIS Bank Luxembourg Branch Détails complémentaires Le référentiel contient également un centralisateur associé : Rothschild &amp; Co Martin Maurel Ces informations proviennent de la fiche fonds en Production.</t>
  </si>
  <si>
    <t xml:space="preserve">Q1373</t>
  </si>
  <si>
    <t xml:space="preserve">Passons à R-co Target 2028 IG. Quelle information as-tu pour l’indicateur PRIIPs du fonds ?</t>
  </si>
  <si>
    <t xml:space="preserve">Résultat Pour le fonds R-co Target 2028 IG, l’indicateur PRIIPs est : Oui Détails complémentaires Le fonds est référencé en statut Production et l’indicateur PRIIPs est renseigné à « Oui ».</t>
  </si>
  <si>
    <t xml:space="preserve">Q1374</t>
  </si>
  <si>
    <t xml:space="preserve">Qu’indique Product Info sur la part minimale présentant des caractéristiques environnementales ou sociales dans l’EET ?</t>
  </si>
  <si>
    <t xml:space="preserve">Résultat Pour le fonds R-co Target 2028 IG, la part minimale présentant des caractéristiques environnementales ou sociales dans l’EET est de : 50 % Détails complémentaires Cette valeur correspond à l’indicateur EET relatif à la part minimale d’investissements présentant des caractéristiques environnementales ou sociales du fonds en Production.</t>
  </si>
  <si>
    <t xml:space="preserve">Q1375</t>
  </si>
  <si>
    <t xml:space="preserve">Reprenons R-co Valor Equity pour terminer : peux-tu vérifier l’indicateur de risque de crédit ?</t>
  </si>
  <si>
    <t xml:space="preserve">Résultat Pour le fonds R-co Valor Equity, l’indicateur de risque de crédit est : Non Détails complémentaires Dans Product Info, le risque de crédit n’est pas identifié pour ce fonds en statut Production.</t>
  </si>
  <si>
    <t xml:space="preserve">Q1376</t>
  </si>
  <si>
    <t xml:space="preserve">C276</t>
  </si>
  <si>
    <t xml:space="preserve">Sur R-co Valor Bond Relative Value, j’ai besoin de la moyenne triennale des coûts de transaction explicites ex ante pour une réponse RFI.</t>
  </si>
  <si>
    <t xml:space="preserve">0.002</t>
  </si>
  <si>
    <t xml:space="preserve">Résultat Information trouvée Pour le fonds « R-co Valor Bond Relative Value », la valeur enregistrée des coûts de transaction explicites ex ante est de 0,0020, soit 0,20 %, avec une année de référence 2025. Détails complémentaires La moyenne triennale n’est pas disponible en tant qu’historique sur l’enregistrement du fonds consulté. La donnée présente dans le référentiel est la valeur ex ante enregistrée pour l’année 2025 : 0,20 %.</t>
  </si>
  <si>
    <t xml:space="preserve">Q1377</t>
  </si>
  <si>
    <t xml:space="preserve">Peux-tu préciser les coûts de transaction explicites ex post EMT ?</t>
  </si>
  <si>
    <t xml:space="preserve">0.012</t>
  </si>
  <si>
    <t xml:space="preserve">Résultat Information trouvée Pour le fonds « R-co Valor Bond Relative Value », les coûts de transaction explicites ex post EMT enregistrés sont de 0,0120, soit 1,20 %. L’année de référence associée est 2025. Détails complémentaires Coûts de transaction explicites ex post EMT : 1,20 % Année de référence EMT : 2025</t>
  </si>
  <si>
    <t xml:space="preserve">Q1378</t>
  </si>
  <si>
    <t xml:space="preserve">Qu’est-ce qui est enregistré sur la part minimale d’investissements durables déclarée dans l’EET ?</t>
  </si>
  <si>
    <t xml:space="preserve">Résultat Information trouvée Pour le fonds « R-co Valor Bond Relative Value », la part minimale d’investissements durables déclarée dans l’EET est de 30 %. Détails complémentaires Cette valeur correspond au champ EET relatif à la part minimale d’investissements durables déclarée pour le fonds.</t>
  </si>
  <si>
    <t xml:space="preserve">Q1379</t>
  </si>
  <si>
    <t xml:space="preserve">Je vérifie aussi l’échelle de risque officielle renseignée : quelle est la donnée ?</t>
  </si>
  <si>
    <t xml:space="preserve">Résultat Information trouvée Aucune valeur d’échelle de risque officielle n’est renseignée pour le fonds « R-co Valor Bond Relative Value » dans les données consultées. Détails complémentaires Le fonds est bien présent en Production, mais aucun niveau n’est retourné pour l’échelle de risque officielle.</t>
  </si>
  <si>
    <t xml:space="preserve">Q1380</t>
  </si>
  <si>
    <t xml:space="preserve">Pour ce produit, termine par l’indicateur d’investisseur averti.</t>
  </si>
  <si>
    <t xml:space="preserve">Résultat Information trouvée Pour le fonds « R-co Valor Bond Relative Value », l’indicateur d’investisseur averti est renseigné à « Oui ». Détails complémentaires Le fonds est donc identifié comme destiné à des investisseurs avertis selon le paramétrage enregistré dans le référentiel.</t>
  </si>
  <si>
    <t xml:space="preserve">Q1381</t>
  </si>
  <si>
    <t xml:space="preserve">C277</t>
  </si>
  <si>
    <t xml:space="preserve">Je vérifie R-co Valor Balanced avant d’envoyer une fiche client : la famille d’expertise de gestion de premier niveau ?</t>
  </si>
  <si>
    <t xml:space="preserve">Résultat Pour le fonds R-co Valor Balanced, la famille d’expertise de gestion de premier niveau (niveau 0) est : DIRECT INVESTMENT Donnée trouvée dans le référentiel Product Info pour le fonds en statut Production.</t>
  </si>
  <si>
    <t xml:space="preserve">Q1382</t>
  </si>
  <si>
    <t xml:space="preserve">Pour ce même produit, les coûts de transaction implicites ex post EMT ?</t>
  </si>
  <si>
    <t xml:space="preserve">Résultat Pour le fonds R-co Valor Balanced, les coûts de transaction ex post EMT sont de : 0,102 % Détails complémentaires Cette valeur correspond au coût de transaction ex post EMT enregistré dans le référentiel Product Info pour le fonds en statut Production.</t>
  </si>
  <si>
    <t xml:space="preserve">Q1383</t>
  </si>
  <si>
    <t xml:space="preserve">Je change de fonds : sur R-co Target 2029 IG, que dit la fiche pour l’assiette de calcul des frais de gestion ?</t>
  </si>
  <si>
    <t xml:space="preserve">Résultat Aucune information disponible pour cette demande. Détails complémentaires Pour le fonds R-co Target 2029 IG en statut Production, aucune valeur d’assiette de calcul des frais de gestion n’est renseignée dans le référentiel Product Info.</t>
  </si>
  <si>
    <t xml:space="preserve">Q1384</t>
  </si>
  <si>
    <t xml:space="preserve">Passe maintenant à la qualification fonds de fonds renseignée.</t>
  </si>
  <si>
    <t xml:space="preserve">Résultat Pour le fonds R-co Target 2029 IG, la qualification « fonds de fonds » renseignée est : Non Détails complémentaires Le fonds n’est pas qualifié comme fonds de fonds dans le référentiel Product Info.</t>
  </si>
  <si>
    <t xml:space="preserve">Q1385</t>
  </si>
  <si>
    <t xml:space="preserve">Je reviens à R-co Valor Balanced : quelle donnée figure sur l’indicateur de risque de contrepartie ?</t>
  </si>
  <si>
    <t xml:space="preserve">Résultat Pour le fonds R-co Valor Balanced, l’indicateur de risque de contrepartie est : Non Détails complémentaires Le risque de contrepartie n’est pas identifié pour ce fonds dans le référentiel Product Info.</t>
  </si>
  <si>
    <t xml:space="preserve">Q1386</t>
  </si>
  <si>
    <t xml:space="preserve">C278</t>
  </si>
  <si>
    <t xml:space="preserve">Concernant RMM Patrimoine, peux-tu retrouver la part minimale d’investissements durables environnementaux dans l’EET dans la fiche ?</t>
  </si>
  <si>
    <t xml:space="preserve">Résultat Information trouvée Pour le fonds/produit « RMM Patrimoine », la part minimale d’investissements durables environnementaux dans l’EET est de 0 %. Détails complémentaires Cette valeur correspond à l’indicateur EET relatif à la part minimale d’investissements durables environnementaux déclarée pour le produit.</t>
  </si>
  <si>
    <t xml:space="preserve">Q1387</t>
  </si>
  <si>
    <t xml:space="preserve">Dans la continuité, la part minimale alignée sur la taxonomie selon le champ EET 20600 ?</t>
  </si>
  <si>
    <t xml:space="preserve">Résultat Information trouvée Pour « RMM Patrimoine », la part minimale alignée sur la taxonomie (champ EET 20600) est de 0 %.</t>
  </si>
  <si>
    <t xml:space="preserve">Q1388</t>
  </si>
  <si>
    <t xml:space="preserve">Côté produit, que mentionne-t-on pour la sous-réglementation applicable au produit ?</t>
  </si>
  <si>
    <t xml:space="preserve">Résultat Information trouvée Pour le produit « RMM Patrimoine », la sous-réglementation applicable est : OPCVM. Détails complémentaires Cette information correspond à la réglementation UCI applicable au produit telle qu'enregistrée dans sa fiche.</t>
  </si>
  <si>
    <t xml:space="preserve">Q1389</t>
  </si>
  <si>
    <t xml:space="preserve">Pour la ligne frais du dossier RMM Patrimoine, peux-tu retrouver le plafond des frais indirects de gestion ?</t>
  </si>
  <si>
    <t xml:space="preserve">Résultat Information trouvée Pour le produit « RMM Patrimoine », le plafond des frais indirects de gestion est de 1,00. Détails complémentaires Cette valeur correspond au plafond des frais indirects de gestion renseigné dans la fiche produit.</t>
  </si>
  <si>
    <t xml:space="preserve">Q1390</t>
  </si>
  <si>
    <t xml:space="preserve">Une dernière donnée : l’indicateur d’investissement durable dans l’EET ?</t>
  </si>
  <si>
    <t xml:space="preserve">Résultat Information trouvée Pour « RMM Patrimoine » : Indicateur d’investissement durable dans l’EET : Oui Part minimale d’investissements durables déclarée dans l’EET : 75 % Détails complémentaires Le produit est donc identifié comme comportant des investissements durables dans l’EET, avec un engagement minimum déclaré de 75 %.</t>
  </si>
  <si>
    <t xml:space="preserve">Q1391</t>
  </si>
  <si>
    <t xml:space="preserve">C279</t>
  </si>
  <si>
    <t xml:space="preserve">Pour R-co Target 2030 IG, je cherche l’indicateur de risque de liquidité. Quelle information est enregistrée ?</t>
  </si>
  <si>
    <t xml:space="preserve">Résultat Pour le fonds R-co Target 2030 IG, l’indicateur de risque de liquidité est enregistré à la valeur : Oui. Information trouvée Fonds : R-co Target 2030 IG Risque de liquidité : Oui Détails complémentaires Le référentiel indique donc que ce fonds est identifié comme présentant un risque de liquidité.</t>
  </si>
  <si>
    <t xml:space="preserve">Q1392</t>
  </si>
  <si>
    <t xml:space="preserve">Qu’en est-il de la méthode de calcul de l’exposition globale ?</t>
  </si>
  <si>
    <t xml:space="preserve">Résultat Pour le fonds R-co Target 2030 IG, la méthode de calcul de l’exposition globale enregistrée est : VaR absolue. Information trouvée Fonds : R-co Target 2030 IG Méthode de calcul de l’exposition globale : VaR absolue Détails complémentaires La VaR (Value at Risk) absolue est la méthode renseignée dans le référentiel pour ce fonds.</t>
  </si>
  <si>
    <t xml:space="preserve">Q1393</t>
  </si>
  <si>
    <t xml:space="preserve">Passons à R-co Target 2027 HY. Quelle information as-tu pour le profil d’investisseur type en français ?</t>
  </si>
  <si>
    <t xml:space="preserve">Cette SICAV est particulièrement destinée aux Investisseurs cherchant, sur la durée de placement recommandée, une rentabilité sur les marchés de taux en euros notamment par une exposition sur des titres à haut rendement (à caractère spéculatif).</t>
  </si>
  <si>
    <t xml:space="preserve">Résultat Pour le fonds R-co Target 2027 HY, le profil d’investisseur type en français est : « Cette SICAV est particulièrement destinée aux Investisseurs cherchant, sur la durée de placement recommandée, une rentabilité sur les marchés de taux en euros notamment par une exposition sur des titres à haut rendement (à caractère spéculatif). » Détails complémentaires Fonds : R-co Target 2027 HY Langue : Français Type d’information : Profil d’investisseur type</t>
  </si>
  <si>
    <t xml:space="preserve">Q1394</t>
  </si>
  <si>
    <t xml:space="preserve">Dans la rubrique frais de ce produit, quelle valeur est enregistrée pour les frais de gestion effectifs renseignés au niveau produit ?</t>
  </si>
  <si>
    <t xml:space="preserve">Résultat Pour le fonds R-co Target 2027 HY, aucune valeur n’est renseignée au niveau produit pour les frais de gestion effectifs. Information trouvée Fonds : R-co Target 2027 HY Frais de gestion effectifs (niveau produit) : non renseignés Détails complémentaires Aucune donnée n’est enregistrée dans le référentiel pour ce champ sur ce fonds en statut Production.</t>
  </si>
  <si>
    <t xml:space="preserve">Q1395</t>
  </si>
  <si>
    <t xml:space="preserve">Dernier point sur R-co Target 2030 IG, et non sur le fonds précédent : le SRI du mois précédent ?</t>
  </si>
  <si>
    <t xml:space="preserve">Je ne trouve pas directement, dans les métadonnées disponibles du référentiel, le champ correspondant au « SRI du mois précédent » pour le fonds R-co Target 2030 IG. Aucune information disponible pour cette demande.</t>
  </si>
  <si>
    <t xml:space="preserve">Q1396</t>
  </si>
  <si>
    <t xml:space="preserve">C280</t>
  </si>
  <si>
    <t xml:space="preserve">Trianon Investissement</t>
  </si>
  <si>
    <t xml:space="preserve">Pour le dossier Trianon Investissement, peux-tu me confirmer la moyenne triennale des coûts de transaction explicites ex ante ?</t>
  </si>
  <si>
    <t xml:space="preserve">0.028</t>
  </si>
  <si>
    <t xml:space="preserve">Résultat Information trouvée Pour le fonds/produit « Trianon Investissement » en statut Production, la valeur renseignée pour les coûts de transaction explicites ex ante est de 0,028 au titre de l'année 2025. Détails complémentaires La moyenne triennale des coûts de transaction explicites ex ante enregistrée dans le référentiel est de 0,028 %, année de référence 2025.</t>
  </si>
  <si>
    <t xml:space="preserve">Q1397</t>
  </si>
  <si>
    <t xml:space="preserve">Et l’allocation stratégique en français pour ce même fonds ?</t>
  </si>
  <si>
    <t xml:space="preserve">90% min OPC/ETF
- entre 30% et 70% de l’actif net en OPC dont OPC cotés/ETF (Exchange Traded Fund), spécialisés sur les marchés actions, de toutes tailles de capitalisations (dont 40% maximum de l’actif net en OPC spécialisés dans les petites capitalisations) et de toutes zones géographiques (inclus les OPC spécialisés dans les pays hors OCDE, y compris émergents, dans la limite de 50% maximum de l’actif net) et de tous secteurs. Toutefois, l’allocation cible recherchée sur les marchés des actions sera de 50% de l’actif net du FCP, cette allocation cible ne constituant pas une contrainte et étant donnée à titre indicatif.
- entre 20% et 70% de l’actif net (i) en OPC dont les OPC cotés/ETF (Exchange Traded Fund), spécialisés dans les produits de taux (incluant les OPC spécialisés en obligations convertibles et monétaires à hauteur de 70% maximum de l’actif net), de toutes zones géographiques (dont les OPC spécialisés dans les pays hors OCDE, y compris émergents, dans la limite de 50% maximum de l’actif net), de signature d’Etat, privée, et de toutes qualités de signatures, y compris les OPC spécialisés en obligations spéculatives dites « High Yield », dans la limite de 40% maximum de l’actif net, et (ii) en OPC dont l'allocation diversifiée permet d'être exposé aux produits de taux et/ou aux produits d'actions et/ou aux produits à performance absolue (dont 30% maximum de l’actif net en OPC ayant recours à des stratégies de rendement absolu). La gestion à rendement absolu est une définition générique qui regroupe les techniques de gestion non traditionnelles. Les stratégies de gestion à rendement absolu ont un objectif commun : la recherche d’une performance décorrélée (ou différenciée) de celle des principaux marchés (devises, obligations, actions ou indice de contrats à terme sur matières premières). Pour cela, elles visent, pour la plupart d'entre elles, à réaliser des arbitrages, tirer avantage d'inefficiences ou d'imperfections de marchés, en prenant, par exemple, simultanément des positions à la hausse sur certains actifs et à la baisse sur d'autres actifs, ce sur la base d’analyses fondamentales, techniques ou statistiques.
Le FCP peut aussi intervenir sur des instruments financiers à terme négociés sur des marchés réglementés français et étrangers (futures) afin de poursuivre son objectif de gestion (gestion discrétionnaire). Pour ce faire, le gestionnaire interviendra sur les marchés des devises, des taux et/ou des actions, à titre de couverture et/ou d’exposition.
L’exposition globale du FCP, y compris l’exposition induite par l’utilisation des instruments financiers à terme (hors couverture) ne dépassera pas 110% de l’actif net.
- max 10% en dépôt et liquidité</t>
  </si>
  <si>
    <t xml:space="preserve">Résultat Information trouvée Allocation stratégique (français) du fonds « Trianon Investissement » : 90 % min OPC/ETF Entre 30 % et 70 % de l’actif net en OPC, dont OPC cotés/ETF, spécialisés sur les marchés actions, toutes capitalisations (avec un maximum de 40 % en petites capitalisations) et toutes zones géographiques (jusqu’à 50 % de l’actif net en pays hors OCDE, y compris émergents). L’allocation cible sur les marchés actions est de 50 % de l’actif net du FCP, à titre indicatif. Entre 20 % et 70 % de l’actif net : en OPC spécialisés dans les produits de taux (y compris obligations convertibles et monétaires, jusqu’à 70 % de l’actif net), sur toutes zones géographiques, toutes qualités de signature, avec un maximum de 40 % en obligations spéculatives (« High Yield ») ; et/ou en OPC à allocation diversifiée exposés aux produits de taux, actions et/ou stratégies de performance absolue (maximum 30 % de l’actif net en stratégies de rendement absolu). Les stratégies de rendement absolu visent à rechercher une performance décorrélée des principaux marchés en exploitant notamment des arbitrages ou inefficiences de marché. Le FCP peut également utiliser des instruments financiers à terme (futures) sur devises, taux et actions, à des fins de couverture et/ou d’exposition. L’exposition globale du FCP, y compris celle résultant des instruments financiers à terme (hors couverture), ne dépassera pas 110 % de l’actif net. Maximum 10 % en dépôts et liquidités. Détails complémentaires Cette allocation est celle enregistrée dans le référentiel Product Info pour le fonds en statut Production.</t>
  </si>
  <si>
    <t xml:space="preserve">Q1398</t>
  </si>
  <si>
    <t xml:space="preserve">Pour GIP cette fois, que trouve-t-on concernant la gamme de rattachement du produit ?</t>
  </si>
  <si>
    <t xml:space="preserve">Résultat Information trouvée Pour le produit « GIP » en statut Production, la gamme de rattachement est : « RMM ». Détails complémentaires Aucune autre valeur de gamme n’est renseignée pour ce produit dans le référentiel.</t>
  </si>
  <si>
    <t xml:space="preserve">Q1399</t>
  </si>
  <si>
    <t xml:space="preserve">Pour finaliser la réponse client, précise l’objectif de volatilité renseigné.</t>
  </si>
  <si>
    <t xml:space="preserve">Résultat Information trouvée Pour le produit « GIP », aucun objectif de volatilité n’est renseigné dans le référentiel. Détails complémentaires La gamme de rattachement du produit reste « RMM ». Aucune valeur n’est enregistrée pour l’objectif de volatilité maximal.</t>
  </si>
  <si>
    <t xml:space="preserve">Q1400</t>
  </si>
  <si>
    <t xml:space="preserve">Je reviens à Trianon Investissement : quelle donnée figure sur l’information « benchmark » renseignée au niveau produit, sans inventer un indice de part ?</t>
  </si>
  <si>
    <t xml:space="preserve">Résultat Information trouvée Pour le fonds « Trianon Investissement », aucune information de benchmark n’est renseignée au niveau produit. Le seul élément disponible est que le fonds n’est pas marqué comme benchmark (« Non »). Détails complémentaires Aucune description de benchmark ni indice de comparaison n’est renseigné au niveau produit pour ce fonds. Je ne dispose donc d’aucun indice de référence à communiquer pour Trianon Investissement.</t>
  </si>
  <si>
    <t xml:space="preserve">Q1401</t>
  </si>
  <si>
    <t xml:space="preserve">C281</t>
  </si>
  <si>
    <t xml:space="preserve">Je prépare une DDQ sur R-co Target 2032 HY. Quelle est l’information disponible concernant l’univers d’investissement renseigné ?</t>
  </si>
  <si>
    <t xml:space="preserve">Résultat Information trouvée Pour le fonds R-co Target 2032 HY (statut Production), l’information renseignée dans le champ « univers d’investissement » est : HE00 Index Détails complémentaires Aucune autre information relative à l’univers d’investissement n’est renseignée dans ce champ pour ce fonds.</t>
  </si>
  <si>
    <t xml:space="preserve">Q1402</t>
  </si>
  <si>
    <t xml:space="preserve">Dans la rubrique profil de ce produit, quelle valeur est enregistrée pour le profil d’investisseur type renseigné ?</t>
  </si>
  <si>
    <t xml:space="preserve">Tous souscripteurs</t>
  </si>
  <si>
    <t xml:space="preserve">Résultat Information trouvée Pour le fonds R-co Target 2032 HY, la valeur renseignée pour le profil d’investisseur type est : Tous souscripteurs Détails complémentaires La valeur enregistrée est identique dans le champ générique et dans la version française du profil d’investisseur.</t>
  </si>
  <si>
    <t xml:space="preserve">Q1403</t>
  </si>
  <si>
    <t xml:space="preserve">Sur ce point, indique-moi le statut métier du produit dans Product Info.</t>
  </si>
  <si>
    <t xml:space="preserve">Résultat Information trouvée Le statut métier du fonds R-co Target 2032 HY dans Product Info est : Production Détails complémentaires Le produit est actuellement enregistré avec le statut métier « Production ».</t>
  </si>
  <si>
    <t xml:space="preserve">Q1404</t>
  </si>
  <si>
    <t xml:space="preserve">Dans la rubrique frais de ce produit, quelle valeur est enregistrée pour l’indicateur de rétrocessions sur OPC de tête ?</t>
  </si>
  <si>
    <t xml:space="preserve">Résultat Information trouvée Pour le fonds R-co Target 2032 HY, la valeur enregistrée pour l’indicateur « rétrocessions sur OPC de tête » est : Non Détails complémentaires L’indicateur est renseigné à « Non » dans la rubrique frais du produit.</t>
  </si>
  <si>
    <t xml:space="preserve">Q1405</t>
  </si>
  <si>
    <t xml:space="preserve">Avant de conclure, peux-tu vérifier la mention relative au high water mark ?</t>
  </si>
  <si>
    <t xml:space="preserve">Résultat Information trouvée Pour le fonds R-co Target 2032 HY, la mention relative au high water mark est : Pas de high water mark Détails complémentaires Aucun mécanisme de high water mark n’est enregistré pour ce produit.</t>
  </si>
  <si>
    <t xml:space="preserve">Q1406</t>
  </si>
  <si>
    <t xml:space="preserve">C282</t>
  </si>
  <si>
    <t xml:space="preserve">Atlas Evimeria</t>
  </si>
  <si>
    <t xml:space="preserve">Pour Atlas Evimeria, quelle valeur est renseignée pour l’indicateur de connaissance de base de l’investisseur ?</t>
  </si>
  <si>
    <t xml:space="preserve">Je n’ai pas reçu de demande exploitable. Pouvez-vous indiquer le fonds, la part, le gérant, le code ISIN ou l’information produit que vous souhaitez rechercher ?</t>
  </si>
  <si>
    <t xml:space="preserve">Q1407</t>
  </si>
  <si>
    <t xml:space="preserve">Toujours pour ce produit : les coûts de transaction implicites ex post EMT ?</t>
  </si>
  <si>
    <t xml:space="preserve">Je ne peux pas identifier le produit concerné à partir de cet échange seul. Pouvez-vous me redonner le nom du fonds, de la part ou le code ISIN concerné afin que je recherche les coûts de transaction implicites ex post EMT ?</t>
  </si>
  <si>
    <t xml:space="preserve">Q1408</t>
  </si>
  <si>
    <t xml:space="preserve">Autre dossier, Arcade Actions Euro : peux-tu vérifier le second taux de frais de gestion renseigné au niveau produit ?</t>
  </si>
  <si>
    <t xml:space="preserve">Résultat Pour le fonds « Arcade Actions Euro », j’ai retrouvé l’enregistrement produit en statut Production. En revanche, la valeur du second taux de frais de gestion n’est pas retournée par l’interrogation disponible sur cette donnée. Je ne peux donc pas confirmer le montant du deuxième taux de frais de gestion à partir du résultat obtenu. Détails complémentaires Le fonds « Arcade Actions Euro » est bien présent dans le référentiel Produit en Production. Pour la vérification de la valeur du second taux de frais de gestion, l’information n’a pas été restituée par la lecture des données disponible sur cet enregistrement.</t>
  </si>
  <si>
    <t xml:space="preserve">ne confirme pas de valeur</t>
  </si>
  <si>
    <t xml:space="preserve">Q1409</t>
  </si>
  <si>
    <t xml:space="preserve">Je passe à la rubrique suivante : l’indicateur de disponibilité de l’EET pour le fonds ?</t>
  </si>
  <si>
    <t xml:space="preserve">Résultat Pour le fonds « Arcade Actions Euro », l’indicateur de disponibilité de l’EET est : Oui. Détails complémentaires Le fonds est donc marqué comme disposant d’un EET dans le référentiel Produit.</t>
  </si>
  <si>
    <t xml:space="preserve">Q1410</t>
  </si>
  <si>
    <t xml:space="preserve">Dernier point sur Atlas Evimeria, et non sur le fonds précédent : l’indicateur de frais de gestion spécifiques, sans l’interpréter comme un taux ?</t>
  </si>
  <si>
    <t xml:space="preserve">Résultat Pour le fonds « Atlas Evimeria », l’indicateur de frais de gestion spécifiques est : Non. Détails complémentaires Il s’agit bien d’un indicateur (oui/non) et non d’un taux de frais de gestion.</t>
  </si>
  <si>
    <t xml:space="preserve">Q1411</t>
  </si>
  <si>
    <t xml:space="preserve">C283</t>
  </si>
  <si>
    <t xml:space="preserve">Dans la documentation produit de R-co Conviction Credit Euro, que dois-je reprendre pour le commissaire aux comptes indiqué ?</t>
  </si>
  <si>
    <t xml:space="preserve">Résultat Pour le fonds en statut Production « R-co Conviction Credit Euro », le commissaire aux comptes indiqué est : Deloitte &amp; Associés Vous pouvez donc reprendre dans la documentation produit : « Commissaire aux comptes : Deloitte &amp; Associés ».</t>
  </si>
  <si>
    <t xml:space="preserve">Q1412</t>
  </si>
  <si>
    <t xml:space="preserve">Même fonds, autre point : le conservateur indiqué ?</t>
  </si>
  <si>
    <t xml:space="preserve">Résultat Pour le fonds en statut Production « R-co Conviction Credit Euro », le conservateur indiqué est : Rothschild &amp; Co Martin Maurel Détails complémentaires Vous pouvez reprendre dans la documentation produit : « Conservateur : Rothschild &amp; Co Martin Maurel ».</t>
  </si>
  <si>
    <t xml:space="preserve">Q1413</t>
  </si>
  <si>
    <t xml:space="preserve">Dans la rubrique intervenants de ce produit, quelle valeur est enregistrée pour l’entité sponsor renseignée ?</t>
  </si>
  <si>
    <t xml:space="preserve">Résultat Pour le fonds en statut Production « R-co Conviction Credit Euro », la valeur enregistrée dans la rubrique « Intervenants » pour l’entité sponsor est : Rothschild &amp; Co Asset Management Détails complémentaires Vous pouvez reprendre : « Sponsor : Rothschild &amp; Co Asset Management ».</t>
  </si>
  <si>
    <t xml:space="preserve">Q1414</t>
  </si>
  <si>
    <t xml:space="preserve">Qu’indique Product Info sur la prise en compte des principales incidences négatives, selon l’EET ?</t>
  </si>
  <si>
    <t xml:space="preserve">Résultat Pour le fonds en Production « R-co Conviction Credit Euro », les indicateurs EET relatifs à la prise en compte des critères de durabilité interrogés sont renseignés à : Oui Oui Oui Oui Oui La donnée Product Info disponible indique donc que la prise en compte des principales incidences négatives (PAI) est déclarée comme prise en compte dans l’EET pour ce fonds. Détails complémentaires La valeur enregistrée dans le référentiel Product Info pour cet aspect EET est : « Oui ».</t>
  </si>
  <si>
    <t xml:space="preserve">Q1415</t>
  </si>
  <si>
    <t xml:space="preserve">Pour boucler la fiche, précise le catégorie ESG AMF renseignée.</t>
  </si>
  <si>
    <t xml:space="preserve">Résultat Pour le fonds en Production « R-co Conviction Credit Euro », la catégorie ESG AMF renseignée est : Catégorie 2 Détails complémentaires La valeur enregistrée dans Product Info est : « 2 ».</t>
  </si>
  <si>
    <t xml:space="preserve">Q1416</t>
  </si>
  <si>
    <t xml:space="preserve">C284</t>
  </si>
  <si>
    <t xml:space="preserve">Sur Elite N, j’ai besoin de le plafond des frais indirects de souscription, distinct d’un droit d’entrée de part pour une réponse RFI.</t>
  </si>
  <si>
    <t xml:space="preserve">Résultat Information trouvée Pour la part Elite N (statut Production) : Plafond des frais indirects de souscription : 2,00 % Droit d’entrée conservé par le fonds : 0,00 % Dans le cadre d’une réponse RFI, le plafond des frais indirects de souscription à retenir pour cette part est donc de 2,00 %. Cette valeur est distincte d’un éventuel droit d’entrée conservé par le fonds, qui est ici nul.</t>
  </si>
  <si>
    <t xml:space="preserve">Q1417</t>
  </si>
  <si>
    <t xml:space="preserve">Peux-tu préciser l’expertise de gestion détaillée ?</t>
  </si>
  <si>
    <t xml:space="preserve">Résultat Information trouvée Pour le fonds associé à la part Elite N, l’expertise de gestion détaillée est : Niveau 0 : Open Architecture Niveau 1 : Long Only &amp; Hybrid Niveau 2 : Advisory In Niveau 3 (classe d’actif) : Diversified Chemin complet de l’expertise de gestion : Diversified → Advisory In → Long Only &amp; Hybrid → Open Architecture.</t>
  </si>
  <si>
    <t xml:space="preserve">Q1418</t>
  </si>
  <si>
    <t xml:space="preserve">Pour Mediobanca R-co Valor cette fois, que trouve-t-on concernant le deuxième gérant suppléant ?</t>
  </si>
  <si>
    <t xml:space="preserve">Résultat Information trouvée Pour le fonds Mediobanca R-co Valor (statut Production), le deuxième gérant suppléant est : Henri CAPTIER Détails complémentaires Aucune autre information complémentaire relative à ce rôle n’a été trouvée dans les données consultées.</t>
  </si>
  <si>
    <t xml:space="preserve">Q1419</t>
  </si>
  <si>
    <t xml:space="preserve">Dans la rubrique frais de ce produit, quelle valeur est enregistrée pour l’indication de commission de surperformance au niveau produit ?</t>
  </si>
  <si>
    <t xml:space="preserve">Résultat Information trouvée Pour le produit Mediobanca R-co Valor, aucune valeur n’est renseignée dans les données consultées pour l’indication de commission de surperformance au niveau produit. Détails complémentaires Aucune information exploitable n’a été retournée pour ce champ dans l’enregistrement du produit. La valeur apparaît donc comme non renseignée dans le référentiel.</t>
  </si>
  <si>
    <t xml:space="preserve">Q1420</t>
  </si>
  <si>
    <t xml:space="preserve">Reprenons Elite N pour terminer : peux-tu vérifier le plafond des frais indirects de rachat, distinct d’un droit de sortie de part ?</t>
  </si>
  <si>
    <t xml:space="preserve">Résultat Information trouvée Pour Elite N : Plafond des frais indirects de rachat : 1,00 % Droit de sortie de la part : 0,00 % Droit de sortie conservé par le fonds : 0,00 % Détails complémentaires Dans le cadre d’une réponse RFI, le plafond des frais indirects de rachat à retenir est donc de 1,00 %, distinct des droits de sortie de la part qui sont nuls.</t>
  </si>
  <si>
    <t xml:space="preserve">Q1421</t>
  </si>
  <si>
    <t xml:space="preserve">C285</t>
  </si>
  <si>
    <t xml:space="preserve">Je vérifie R-co Conviction High Yield Euro avant d’envoyer une fiche client : la date de création du produit ?</t>
  </si>
  <si>
    <t xml:space="preserve">2014-03-11 23:00:00</t>
  </si>
  <si>
    <t xml:space="preserve">Résultat Information trouvée La date de création du fonds « R-co Conviction High Yield Euro » est le 12 mars 2014. Détails complémentaires Le fonds est actuellement en statut Production.</t>
  </si>
  <si>
    <t xml:space="preserve">Q1422</t>
  </si>
  <si>
    <t xml:space="preserve">Pour ce même produit, l’indicateur du label Finansol ?</t>
  </si>
  <si>
    <t xml:space="preserve">Résultat Information trouvée Pour le fonds « R-co Conviction High Yield Euro », l’indicateur du label Finansol est : Non. Détails complémentaires Le fonds n’est pas identifié comme bénéficiant du label Finansol dans le référentiel.</t>
  </si>
  <si>
    <t xml:space="preserve">Q1423</t>
  </si>
  <si>
    <t xml:space="preserve">Je change de fonds : sur R-co Conviction Club, que dit la fiche pour la structure ombrelle à laquelle le produit est rattaché ?</t>
  </si>
  <si>
    <t xml:space="preserve">R-co</t>
  </si>
  <si>
    <t xml:space="preserve">Résultat Information trouvée Pour le fonds « R-co Conviction Club », la structure ombrelle de rattachement est : « R-co ». Détails complémentaires Le fonds est rattaché à l’ombrelle « R-co » dans le référentiel Product Info.</t>
  </si>
  <si>
    <t xml:space="preserve">Q1424</t>
  </si>
  <si>
    <t xml:space="preserve">Dans la rubrique profil investisseur de ce produit, quelle valeur est enregistrée pour l’indicateur de connaissance de base de l’investisseur ?</t>
  </si>
  <si>
    <t xml:space="preserve">Résultat Information trouvée Pour le fonds « R-co Conviction Club », l’indicateur « connaissance de base de l’investisseur » est renseigné à : Oui. Détails complémentaires La fiche produit indique que ce fonds est adapté à un investisseur disposant d’une connaissance de base.</t>
  </si>
  <si>
    <t xml:space="preserve">Q1425</t>
  </si>
  <si>
    <t xml:space="preserve">Dernier point sur R-co Conviction High Yield Euro, et non sur le fonds précédent : la part minimale alignée sur la taxonomie selon le champ EET 20600 ?</t>
  </si>
  <si>
    <t xml:space="preserve">Résultat Information trouvée Pour le fonds « R-co Conviction High Yield Euro », la valeur du champ EET 20600 (part minimale alignée sur la taxonomie) est de 0. Détails complémentaires La fiche produit ne prévoit donc aucune part minimale alignée sur la taxonomie au titre de cet indicateur.</t>
  </si>
  <si>
    <t xml:space="preserve">Q1426</t>
  </si>
  <si>
    <t xml:space="preserve">C286</t>
  </si>
  <si>
    <t xml:space="preserve">Concernant P2C Armonia, peux-tu retrouver le code AMF du produit dans la fiche ?</t>
  </si>
  <si>
    <t xml:space="preserve">FDS72901</t>
  </si>
  <si>
    <t xml:space="preserve">Résultat Information trouvée Pour le fonds P2C Armonia, le code AMF indiqué dans la fiche produit est : FDS72901 Détails complémentaires Fonds : P2C Armonia Statut : Production</t>
  </si>
  <si>
    <t xml:space="preserve">Q1427</t>
  </si>
  <si>
    <t xml:space="preserve">Dans la continuité, l’indicateur de thématique ESG existante dans l’EET ?</t>
  </si>
  <si>
    <t xml:space="preserve">Résultat Information trouvée Pour le fonds P2C Armonia, je ne retrouve pas de valeur renseignée pour l’indicateur de thématique ESG de l’EET dans la fiche produit. En revanche, les informations ESG suivantes sont présentes : Catégorie SFDR : Article 8 Catégorie ESG AMF : 3 Détails complémentaires Aucune valeur de thématique ESG EET n’est renseignée dans les données disponibles pour ce fonds.</t>
  </si>
  <si>
    <t xml:space="preserve">ne retrouve pas la valeur</t>
  </si>
  <si>
    <t xml:space="preserve">Q1428</t>
  </si>
  <si>
    <t xml:space="preserve">Côté produit, que mentionne-t-on pour l’indicateur de tarification all-in ?</t>
  </si>
  <si>
    <t xml:space="preserve">Résultat Information trouvée Pour le fonds P2C Armonia, l’indicateur de tarification all-in est renseigné à : Oui Détails complémentaires La fiche produit indique que la tarification all-in est applicable pour ce fonds.</t>
  </si>
  <si>
    <t xml:space="preserve">Q1429</t>
  </si>
  <si>
    <t xml:space="preserve">Je voudrais également la part minimale présentant des caractéristiques environnementales ou sociales dans l’EET.</t>
  </si>
  <si>
    <t xml:space="preserve">Résultat Information trouvée Pour le fonds P2C Armonia, la part minimale présentant des caractéristiques environnementales ou sociales dans l’EET est de : 60 % Détails complémentaires Cette valeur correspond à la part minimale d’investissements présentant des caractéristiques environnementales ou sociales renseignée dans la fiche produit.</t>
  </si>
  <si>
    <t xml:space="preserve">Q1430</t>
  </si>
  <si>
    <t xml:space="preserve">Une dernière donnée : les coûts de transaction explicites ex post EMT ?</t>
  </si>
  <si>
    <t xml:space="preserve">Résultat Information trouvée Pour le fonds P2C Armonia, les coûts de transaction explicites ex post EMT sont de : 0,00 % Détails complémentaires La valeur renseignée dans la fiche produit est nulle.</t>
  </si>
  <si>
    <t xml:space="preserve">Q1431</t>
  </si>
  <si>
    <t xml:space="preserve">C287</t>
  </si>
  <si>
    <t xml:space="preserve">Pour R-co 4Change Green Bonds, je cherche l’indicateur du label Towards Sustainability. Quelle information est enregistrée ?</t>
  </si>
  <si>
    <t xml:space="preserve">Résultat Pour le fonds « R-co 4Change Green Bonds », l’indicateur du label « Towards Sustainability » est renseigné à : Oui. Détails complémentaires Le fonds est en statut Production et le champ correspondant au label belge « Towards Sustainability » est activé (valeur : Oui).</t>
  </si>
  <si>
    <t xml:space="preserve">Q1432</t>
  </si>
  <si>
    <t xml:space="preserve">Dans la rubrique esg de ce produit, quelle valeur est enregistrée pour l’indicateur d’indice ESG de référence dans l’EET, sans identifier un indice de part ?</t>
  </si>
  <si>
    <t xml:space="preserve">Résultat Pour le fonds « R-co 4Change Green Bonds », la valeur enregistrée pour l’indicateur « indice ESG de référence dans l’EET » est : Non. Détails complémentaires Un indice ESG est bien référencé au niveau du fonds, mais l’indicateur indiquant qu’il s’agit d’un indice de référence ESG est positionné à « Non ». Aucun indice de part n’a été pris en compte dans cette réponse.</t>
  </si>
  <si>
    <t xml:space="preserve">Q1433</t>
  </si>
  <si>
    <t xml:space="preserve">Passons à R-co Valor Equity. Quelle information as-tu pour le premier taux de frais de gestion renseigné au niveau produit ?</t>
  </si>
  <si>
    <t xml:space="preserve">Résultat Pour le fonds « R-co Valor Equity », aucun premier taux de frais de gestion n’est renseigné au niveau produit. Détails complémentaires Le fonds a bien été trouvé en Production, mais aucune valeur n’est enregistrée pour le premier taux de frais de gestion.</t>
  </si>
  <si>
    <t xml:space="preserve">Q1434</t>
  </si>
  <si>
    <t xml:space="preserve">Pour la ligne dates du dossier R-co Valor Equity, peux-tu retrouver la date de clôture annuelle renseignée ?</t>
  </si>
  <si>
    <t xml:space="preserve">Last open business day of September</t>
  </si>
  <si>
    <t xml:space="preserve">Résultat Pour le fonds « R-co Valor Equity », la date de clôture annuelle renseignée est : Dernier jour ouvré de septembre. Détails complémentaires Cette information est enregistrée au niveau du produit en Production.</t>
  </si>
  <si>
    <t xml:space="preserve">Q1435</t>
  </si>
  <si>
    <t xml:space="preserve">Reprenons R-co 4Change Green Bonds pour terminer : peux-tu vérifier le statut actif ou inactif enregistré pour ce produit ?</t>
  </si>
  <si>
    <t xml:space="preserve">Résultat Pour le fonds « R-co 4Change Green Bonds », le statut enregistré est : Actif. Détails complémentaires Le statut principal et le statut détaillé sont tous deux positionnés sur « Actif ». Le fonds est également présent en statut Production.</t>
  </si>
  <si>
    <t xml:space="preserve">Q1436</t>
  </si>
  <si>
    <t xml:space="preserve">C288</t>
  </si>
  <si>
    <t xml:space="preserve">Pour le dossier R-co Alteor Equilibre, peux-tu me confirmer l’information renseignée dans le champ Article 29, sans déduire une conformité ?</t>
  </si>
  <si>
    <t xml:space="preserve">Résultat Pour le fonds R-co Alteor Equilibre, la valeur renseignée dans le champ « Article 29 » est : Solution dédiée Cette réponse correspond uniquement à la valeur enregistrée dans le référentiel pour ce fonds en Production, sans interprétation ni déduction sur une éventuelle conformité.</t>
  </si>
  <si>
    <t xml:space="preserve">Q1437</t>
  </si>
  <si>
    <t xml:space="preserve">Dans la rubrique structure de ce produit, quelle valeur est enregistrée pour le statut de fonds nourricier ?</t>
  </si>
  <si>
    <t xml:space="preserve">Résultat Pour le fonds R-co Alteor Equilibre, la valeur enregistrée pour le statut de fonds nourricier est : Non Détails complémentaires Il s'agit de la valeur actuellement renseignée dans le référentiel pour ce fonds en Production.</t>
  </si>
  <si>
    <t xml:space="preserve">Q1438</t>
  </si>
  <si>
    <t xml:space="preserve">Dans la fiche produit, que trouve-t-on sur la classification interne du fonds ?</t>
  </si>
  <si>
    <t xml:space="preserve">FCP Diversifié</t>
  </si>
  <si>
    <t xml:space="preserve">Résultat Pour le fonds R-co Alteor Equilibre, la valeur renseignée dans le champ « Classification interne » est : FCP Diversifié Détails complémentaires Il s'agit de la classification interne actuellement enregistrée dans la fiche produit du fonds en Production.</t>
  </si>
  <si>
    <t xml:space="preserve">Q1439</t>
  </si>
  <si>
    <t xml:space="preserve">Pour finaliser la réponse client, précise le plafond des frais indirects de gestion.</t>
  </si>
  <si>
    <t xml:space="preserve">Résultat Pour le fonds R-co Alteor Equilibre, le plafond des frais indirects de gestion enregistré dans la fiche produit est : 2,00 % Détails complémentaires Cette valeur correspond au champ « plafond des frais indirects de gestion » actuellement renseigné pour ce fonds en Production.</t>
  </si>
  <si>
    <t xml:space="preserve">Q1440</t>
  </si>
  <si>
    <t xml:space="preserve">Dernier contrôle : le centralisateur désigné ?</t>
  </si>
  <si>
    <t xml:space="preserve">Résultat Pour le fonds R-co Alteor Equilibre, le centralisateur désigné est : Caceis Bank Détails complémentaires Cette information correspond à la valeur actuellement renseignée dans le champ « Centralisateur » de la fiche produit en Production.</t>
  </si>
  <si>
    <t xml:space="preserve">Q1441</t>
  </si>
  <si>
    <t xml:space="preserve">C289</t>
  </si>
  <si>
    <t xml:space="preserve">Je prépare une DDQ sur R-co Conviction Equity Multi Caps Euro. Quelle est l’information disponible concernant la sous-réglementation applicable au produit ?</t>
  </si>
  <si>
    <t xml:space="preserve">Résultat Information trouvée Pour le fonds « R-co Conviction Equity Multi Caps Euro » en statut Production, la sous-réglementation applicable enregistrée dans le référentiel est : Sous-réglementation (réglementation OPC) : OPCVM Cette information indique que le fonds est classé sous le régime des Organismes de Placement Collectif en Valeurs Mobilières (OPCVM). Détails complémentaires Aucune autre information de sous-réglementation applicable n’a été trouvée pour la version du fonds en Production. Le fonds est référencé comme étant en statut Production avec une réglementation OPC de type OPCVM.</t>
  </si>
  <si>
    <t xml:space="preserve">Q1442</t>
  </si>
  <si>
    <t xml:space="preserve">Dans la rubrique stratégie de ce produit, quelle valeur est enregistrée pour l’objectif de gestion renseigné ?</t>
  </si>
  <si>
    <t xml:space="preserve">L’objectif de gestion du compartiment est d’obtenir sur une longue période (5 ans minimum), une performance, nette de frais, supérieure à l'indice Dow Jones Eurostoxx des marchés d'actions de la zone euro.</t>
  </si>
  <si>
    <t xml:space="preserve">Résultat Information trouvée Pour le fonds « R-co Conviction Equity Multi Caps Euro », l’objectif de gestion enregistré est : « L’objectif de gestion du compartiment est d’obtenir sur une longue période (5 ans minimum), une performance, nette de frais, supérieure à l'indice Dow Jones Eurostoxx des marchés d'actions de la zone euro. »</t>
  </si>
  <si>
    <t xml:space="preserve">Q1443</t>
  </si>
  <si>
    <t xml:space="preserve">Je change de fonds : sur R-co Target 2032 IG, que dit la fiche pour la date d’agrément renseignée ?</t>
  </si>
  <si>
    <t xml:space="preserve">2025-08-19 00:00:00</t>
  </si>
  <si>
    <t xml:space="preserve">Résultat Information trouvée Pour le fonds « R-co Target 2032 IG », la date d’agrément renseignée est : 19 août 2025 Détails complémentaires Cette information correspond à la version du fonds en statut Production.</t>
  </si>
  <si>
    <t xml:space="preserve">Q1444</t>
  </si>
  <si>
    <t xml:space="preserve">Pour la ligne frais du dossier R-co Target 2032 IG, peux-tu retrouver le second taux de frais de gestion renseigné au niveau produit ?</t>
  </si>
  <si>
    <t xml:space="preserve">Résultat Information trouvée Pour le fonds « R-co Target 2032 IG » en Production, aucun second taux de frais de gestion n’est renseigné au niveau produit. Détails complémentaires La fiche produit existe bien, mais la valeur du deuxième taux de frais de gestion est vide dans le référentiel.</t>
  </si>
  <si>
    <t xml:space="preserve">Q1445</t>
  </si>
  <si>
    <t xml:space="preserve">Je reviens à R-co Conviction Equity Multi Caps Euro : quelle donnée figure sur la moyenne triennale des coûts de transaction implicites ex ante ?</t>
  </si>
  <si>
    <t xml:space="preserve">0.093</t>
  </si>
  <si>
    <t xml:space="preserve">Résultat Information trouvée Pour le fonds « R-co Conviction Equity Multi Caps Euro », la valeur renseignée pour la moyenne triennale des coûts de transaction implicites ex ante est : 0,093 % Détails complémentaires Cette valeur est celle enregistrée sur la fiche du fonds en statut Production.</t>
  </si>
  <si>
    <t xml:space="preserve">Q1446</t>
  </si>
  <si>
    <t xml:space="preserve">C290</t>
  </si>
  <si>
    <t xml:space="preserve">R-co Dynamic</t>
  </si>
  <si>
    <t xml:space="preserve">Pour R-co Dynamic, quelle valeur est renseignée pour le deuxième gérant suppléant ?</t>
  </si>
  <si>
    <t xml:space="preserve">Résultat Pour le fonds R-co Dynamic, la valeur renseignée pour le deuxième gérant suppléant est : Henri CAPTIER Détails complémentaires Cette information est renseignée sur le fonds en statut Production.</t>
  </si>
  <si>
    <t xml:space="preserve">Q1447</t>
  </si>
  <si>
    <t xml:space="preserve">Toujours pour ce produit : l’existence d’une délégation de gestion financière ?</t>
  </si>
  <si>
    <t xml:space="preserve">Résultat Pour le fonds R-co Dynamic, l’existence d’une délégation de gestion financière est renseignée à : Non Détails complémentaires Aucune délégation de gestion financière n’est indiquée pour ce fonds en statut Production.</t>
  </si>
  <si>
    <t xml:space="preserve">Q1448</t>
  </si>
  <si>
    <t xml:space="preserve">Autre dossier, Duguay Stratégie E : peux-tu vérifier la part minimale d’investissements durables déclarée dans l’EET ?</t>
  </si>
  <si>
    <t xml:space="preserve">Résultat Pour la part Duguay Stratégie E, la valeur renseignée pour la part minimale d’investissements durables déclarée dans l’EET est : 5 % Détails complémentaires Cette valeur est portée au niveau du fonds associé à cette part et correspond au champ EET relatif à la part minimale d’investissements durables déclarée.</t>
  </si>
  <si>
    <t xml:space="preserve">Q1449</t>
  </si>
  <si>
    <t xml:space="preserve">Je passe à la rubrique suivante : le plafond des frais indirects de souscription, distinct d’un droit d’entrée de part ?</t>
  </si>
  <si>
    <t xml:space="preserve">Résultat Pour Duguay Stratégie E, le plafond des frais indirects de souscription est renseigné à : 0 % Détails complémentaires La valeur enregistrée est nulle, ce qui indique qu’aucun plafond de frais indirects de souscription n’est prévu pour ce produit.</t>
  </si>
  <si>
    <t xml:space="preserve">Q1450</t>
  </si>
  <si>
    <t xml:space="preserve">Reprenons R-co Dynamic pour terminer : peux-tu vérifier la réglementation OPC applicable ?</t>
  </si>
  <si>
    <t xml:space="preserve">Résultat Pour le fonds R-co Dynamic, la réglementation OPC applicable est : OPCVM Détails complémentaires Le fonds est enregistré sous le régime réglementaire OPCVM.</t>
  </si>
  <si>
    <t xml:space="preserve">Q1451</t>
  </si>
  <si>
    <t xml:space="preserve">C291</t>
  </si>
  <si>
    <t xml:space="preserve">Dans la documentation produit de R-co Conviction High Yield SD Euro, que dois-je reprendre pour la durée de placement recommandée ?</t>
  </si>
  <si>
    <t xml:space="preserve">Résultat Pour le compartiment R-co Conviction High Yield SD Euro, la durée de placement recommandée à reprendre dans la documentation produit est : • 3 ans Cette information est indiquée dans le référentiel produit en statut Production. L’objectif de gestion précise également que la performance est recherchée « sur la durée de placement recommandée supérieure à 3 ans ». La durée de placement recommandée renseignée pour le produit est toutefois de 3 ans.</t>
  </si>
  <si>
    <t xml:space="preserve">Q1452</t>
  </si>
  <si>
    <t xml:space="preserve">Dans la rubrique esg de ce produit, quelle valeur est enregistrée pour la part minimale d’investissements durables environnementaux dans l’EET ?</t>
  </si>
  <si>
    <t xml:space="preserve">Résultat Pour le produit R-co Conviction High Yield SD Euro, la valeur enregistrée pour la part minimale d’investissements durables environnementaux dans l’EET est : • 0 % Détails complémentaires Dans les données ESG/EET du produit en Production : Part minimale d’investissements durables déclarée dans l’EET : 30 % Part minimale d’investissements durables environnementaux : 0 % Part minimale d’investissements durables sociaux : 0 %</t>
  </si>
  <si>
    <t xml:space="preserve">Q1453</t>
  </si>
  <si>
    <t xml:space="preserve">Je complète maintenant le commissaire aux comptes indiqué : quelle donnée as-tu ?</t>
  </si>
  <si>
    <t xml:space="preserve">Résultat Le commissaire aux comptes enregistré pour R-co Conviction High Yield SD Euro est : • Deloitte &amp; Associés Détails complémentaires Cette information est renseignée sur le produit R-co Conviction High Yield SD Euro en statut Production.</t>
  </si>
  <si>
    <t xml:space="preserve">Q1454</t>
  </si>
  <si>
    <t xml:space="preserve">Qu’indique Product Info sur l’objectif de volatilité renseigné ?</t>
  </si>
  <si>
    <t xml:space="preserve">Résultat Pour R-co Conviction High Yield SD Euro, aucun objectif de volatilité n’est renseigné. Détails complémentaires Le produit est indiqué comme n’ayant pas d’objectif de volatilité (« objectif de volatilité : non ») dans Product Info. Aucune valeur cible de volatilité n’est enregistrée pour ce compartiment en Production.</t>
  </si>
  <si>
    <t xml:space="preserve">Q1455</t>
  </si>
  <si>
    <t xml:space="preserve">Pour boucler la fiche, précise l’indicateur PRIIPs du fonds.</t>
  </si>
  <si>
    <t xml:space="preserve">Résultat L’indicateur PRIIPs renseigné pour R-co Conviction High Yield SD Euro est : • 2 sur 7 Détails complémentaires Le niveau de risque PRIIPs (SRI) enregistré pour ce compartiment en Production est de 2, ce qui correspond à un niveau de risque relativement faible sur l’échelle réglementaire allant de 1 à 7.</t>
  </si>
  <si>
    <t xml:space="preserve">donne le SRI (2/7) au lieu de l'indicateur PRIIPs</t>
  </si>
  <si>
    <t xml:space="preserve">Q1456</t>
  </si>
  <si>
    <t xml:space="preserve">C292</t>
  </si>
  <si>
    <t xml:space="preserve">R-co OPAL Croissance</t>
  </si>
  <si>
    <t xml:space="preserve">Sur R-co OPAL Croissance, j’ai besoin de l’information « benchmark » renseignée au niveau produit, sans inventer un indice de part pour une réponse RFI.</t>
  </si>
  <si>
    <t xml:space="preserve">Résultat Pour le fonds R-co OPAL Croissance, aucun benchmark n’est renseigné dans les champs de benchmark disponibles au niveau produit (indice de comparaison / description du benchmark) dans le référentiel Product Info. Détails complémentaires Dans le référentiel, le fonds existe bien en statut Production sous le nom « R-co OPAL Croissance ». Aucune valeur de benchmark n’est retournée au niveau produit pour ce fonds. Il n’est donc pas possible de fournir un indice de référence produit à partir des données disponibles.</t>
  </si>
  <si>
    <t xml:space="preserve">Q1457</t>
  </si>
  <si>
    <t xml:space="preserve">Pour la ligne esg du dossier R-co OPAL Croissance, peux-tu retrouver l’indicateur d’investissement durable dans l’EET ?</t>
  </si>
  <si>
    <t xml:space="preserve">Résultat Pour le fonds R-co OPAL Croissance, l’indicateur EET correspondant à la « part minimale d’investissements durables déclarée dans l’EET » est de : 5 % Détails complémentaires Cet indicateur correspond à la donnée EET utilisée pour déclarer la proportion minimale d’investissements durables du fonds. La valeur enregistrée pour R-co OPAL Croissance est de 5 %.</t>
  </si>
  <si>
    <t xml:space="preserve">Q1458</t>
  </si>
  <si>
    <t xml:space="preserve">Pour RMM Invest 18 S.L.P cette fois, que trouve-t-on concernant le premier taux de frais de gestion renseigné au niveau produit ?</t>
  </si>
  <si>
    <t xml:space="preserve">Résultat Pour le fonds RMM Invest 18 S.L.P, aucun premier taux de frais de gestion n’est renseigné au niveau produit. La donnée « premier taux de frais de gestion » est vide dans le référentiel Product Info. Détails complémentaires Le fonds existe bien en statut Production, mais aucune valeur n’est retournée pour ce champ de frais de gestion au niveau produit. Il n’y a donc pas de taux exploitable à communiquer à partir des données disponibles.</t>
  </si>
  <si>
    <t xml:space="preserve">Q1459</t>
  </si>
  <si>
    <t xml:space="preserve">Je vérifie aussi la part minimale d’investissements durables sociaux dans l’EET : quelle est la donnée ?</t>
  </si>
  <si>
    <t xml:space="preserve">Résultat Pour le fonds RMM Invest 18 S.L.P, la valeur renseignée pour la part minimale d’investissements durables sociaux dans l’EET est : 0 % Détails complémentaires Les indicateurs EET relatifs aux investissements durables retournent tous une valeur de 0 % pour ce fonds, y compris la composante sociale. Le référentiel ne fait donc apparaître aucun minimum d’investissements durables sociaux déclaré pour ce produit.</t>
  </si>
  <si>
    <t xml:space="preserve">Q1460</t>
  </si>
  <si>
    <t xml:space="preserve">Je reviens à R-co OPAL Croissance : quelle donnée figure sur les coûts de transaction implicites ex post EMT ?</t>
  </si>
  <si>
    <t xml:space="preserve">0.05</t>
  </si>
  <si>
    <t xml:space="preserve">Résultat Pour le fonds R-co OPAL Croissance, la donnée renseignée sur les coûts de transaction implicites ex post EMT est : 0,01 Détails complémentaires La valeur enregistrée dans le référentiel Product Info pour cet indicateur est de 0,01. Aucune autre précision d’unité n’est associée à la donnée retournée.</t>
  </si>
  <si>
    <t xml:space="preserve">Q1461</t>
  </si>
  <si>
    <t xml:space="preserve">C293</t>
  </si>
  <si>
    <t xml:space="preserve">Je vérifie R-co Target 2028 IG avant d’envoyer une fiche client : l’allocation stratégique renseignée ?</t>
  </si>
  <si>
    <t xml:space="preserve">La stratégie d’investissement du compartiment ne se limite pas à du portage d’obligations : si la société de gestion tendra à conserver ses titres jusqu’à leur maturité, elle pourra procéder à des arbitrages en cas d’identification d’une augmentation du risque de défaut d’un des émetteurs en portefeuille et/ou en cas de nouvelles opportunités de marché afin d’optimiser le taux actuariel moyen du portefeuille à l’échéance.
La stratégie d’exposition au risque de crédit s’effectuera en investissement direct. Le compartiment investira entre 80% et 100% de l’actif net dans des obligations à taux fixe, variable ou révisable, et autres titres de créances négociables, des obligations indexées sur l’inflation, émises par des sociétés de droit privé et/ou des entités supranationales/publiques ou des Etats et des bons à moyen terme négociables, dont 10% maximum de l’actif net en obligations convertibles. Ces titres seront libellés à 80% minimum de l’actif net en euro.
Les titres éligibles en portefeuille pourront être de toute zone géographique, y compris de pays émergents, néanmoins le compartiment ne pourra détenir des émissions de sociétés ayant leur siège social en dehors de l’OCDE qu’à hauteur de 10% maximum de l’actif net.</t>
  </si>
  <si>
    <t xml:space="preserve">Résultat Information trouvée Pour le fonds R-co Target 2028 IG, l’allocation stratégique renseignée est : « La stratégie d’investissement du compartiment ne se limite pas à du portage d’obligations : si la société de gestion tendra à conserver ses titres jusqu’à leur maturité, elle pourra procéder à des arbitrages en cas d’identification d’une augmentation du risque de défaut d’un des émetteurs en portefeuille et/ou en cas de nouvelles opportunités de marché afin d’optimiser le taux actuariel moyen du portefeuille à l’échéance. La stratégie d’exposition au risque de crédit s’effectuera en investissement direct. Le compartiment investira entre 80 % et 100 % de l’actif net dans des obligations à taux fixe, variable ou révisable, et autres titres de créances négociables, des obligations indexées sur l’inflation, émises par des sociétés de droit privé et/ou des entités supranationales/publiques ou des États et des bons à moyen terme négociables, dont 10 % maximum de l’actif net en obligations convertibles. Ces titres seront libellés à 80 % minimum de l’actif net en euro. Les titres éligibles en portefeuille pourront être de toute zone géographique, y compris de pays émergents. Néanmoins, le compartiment ne pourra détenir des émissions de sociétés ayant leur siège social en dehors de l’OCDE qu’à hauteur de 10 % maximum de l’actif net. » Détails complémentaires Fonds trouvé en statut Production.</t>
  </si>
  <si>
    <t xml:space="preserve">Q1462</t>
  </si>
  <si>
    <t xml:space="preserve">Pour la ligne stratégie du dossier R-co Target 2028 IG, peux-tu retrouver l’allocation stratégique en français ?</t>
  </si>
  <si>
    <t xml:space="preserve">Résultat Information trouvée Allocation stratégique (français) du fonds R-co Target 2028 IG : « La stratégie d’investissement du compartiment ne se limite pas à du portage d’obligations : si la société de gestion tendra à conserver ses titres jusqu’à leur maturité, elle pourra procéder à des arbitrages en cas d’identification d’une augmentation du risque de défaut d’un des émetteurs en portefeuille et/ou en cas de nouvelles opportunités de marché afin d’optimiser le taux actuariel moyen du portefeuille à l’échéance. La stratégie d’exposition au risque de crédit s’effectuera en investissement direct. Le compartiment investira entre 80 % et 100 % de l’actif net dans des obligations à taux fixe, variable ou révisable, et autres titres de créances négociables, des obligations indexées sur l’inflation, émises par des sociétés de droit privé et/ou des entités supranationales/publiques ou des États et des bons à moyen terme négociables, dont 10 % maximum de l’actif net en obligations convertibles. Ces titres seront libellés à 80 % minimum de l’actif net en euro. Les titres éligibles en portefeuille pourront être de toute zone géographique, y compris de pays émergents, néanmoins le compartiment ne pourra détenir des émissions de sociétés ayant leur siège social en dehors de l’OCDE qu’à hauteur de 10 % maximum de l’actif net. » Détails complémentaires Fonds trouvé en statut Production.</t>
  </si>
  <si>
    <t xml:space="preserve">Q1463</t>
  </si>
  <si>
    <t xml:space="preserve">Quelle donnée faut-il retenir pour l’indicateur de risque de liquidité ?</t>
  </si>
  <si>
    <t xml:space="preserve">Résultat Information trouvée Pour l’indicateur de risque de liquidité, la donnée à retenir dans le référentiel Product Info est le champ métier correspondant au risque de liquidité du fonds. Plusieurs indicateurs de liquidité existent dans le modèle de données : Risque de liquidité Risque de liquidité actions Risque de liquidité alternatif Si votre question concerne l’indicateur générique « risque de liquidité » affiché sur une fiche produit, la donnée de référence est le champ « Risque de liquidité » du fonds. Détails complémentaires Si vous souhaitez connaître la valeur renseignée pour R-co Target 2028 IG (Oui/Non), je peux la rechercher directement dans le référentiel.</t>
  </si>
  <si>
    <t xml:space="preserve">décrit le modèle de données sans donner la valeur</t>
  </si>
  <si>
    <t xml:space="preserve">Q1464</t>
  </si>
  <si>
    <t xml:space="preserve">Passe maintenant à la réglementation OPC applicable.</t>
  </si>
  <si>
    <t xml:space="preserve">Résultat Information trouvée Pour le fonds R-co Target 2028 IG, la réglementation OPC applicable renseignée est : OPCVM Détails complémentaires Fonds trouvé en statut Production. La réglementation applicable enregistrée dans le référentiel est « OPCVM ».</t>
  </si>
  <si>
    <t xml:space="preserve">Q1465</t>
  </si>
  <si>
    <t xml:space="preserve">Pour la ligne risque du dossier R-co Target 2028 IG, peux-tu retrouver l’indicateur de risque de contrepartie ?</t>
  </si>
  <si>
    <t xml:space="preserve">Résultat Information trouvée Pour le fonds R-co Target 2028 IG, l’indicateur de risque de contrepartie est : Oui Détails complémentaires Fonds trouvé en statut Production. Le risque de contrepartie est renseigné comme présent dans le référentiel.</t>
  </si>
  <si>
    <t xml:space="preserve">Q1466</t>
  </si>
  <si>
    <t xml:space="preserve">C294</t>
  </si>
  <si>
    <t xml:space="preserve">Concernant R-co OPAL Equilibre, peux-tu retrouver l’indicateur d’investisseur averti dans la fiche ?</t>
  </si>
  <si>
    <t xml:space="preserve">Résultat Information trouvée Pour le fonds R-co OPAL Equilibre, l’indicateur Investisseur averti est renseigné à : Oui Détails complémentaires Le fonds consulté est en statut Production.</t>
  </si>
  <si>
    <t xml:space="preserve">Q1467</t>
  </si>
  <si>
    <t xml:space="preserve">Dans la continuité, l’indicateur d’investisseur informé ?</t>
  </si>
  <si>
    <t xml:space="preserve">Résultat Information trouvée Pour le fonds R-co OPAL Equilibre, l’indicateur Investisseur informé est renseigné à : Oui Détails complémentaires Le fonds consulté est en statut Production.</t>
  </si>
  <si>
    <t xml:space="preserve">Q1468</t>
  </si>
  <si>
    <t xml:space="preserve">Autre dossier, RMM Invest 23 S.L.P. : peux-tu vérifier la prise en compte des principales incidences négatives, selon l’EET ?</t>
  </si>
  <si>
    <t xml:space="preserve">Résultat Information trouvée Pour le fonds RMM Invest 23 S.L.P., selon les données EET : Prise en compte des principales incidences négatives (PAI) : Oui Détails complémentaires Les indicateurs EET associés sont renseignés comme suit : Considération des principales incidences négatives : Oui Promotion de caractéristiques environnementales et/ou sociales (Article 8) : Non Objectif d’investissement durable (Article 9) : Non Le fonds consulté est en statut Production.</t>
  </si>
  <si>
    <t xml:space="preserve">Q1469</t>
  </si>
  <si>
    <t xml:space="preserve">Je voudrais également l’assiette de calcul des frais de gestion.</t>
  </si>
  <si>
    <t xml:space="preserve">Résultat Information trouvée Pour le fonds RMM Invest 23 S.L.P., aucune assiette de calcul des frais de gestion n’est renseignée dans la fiche du fonds. Détails complémentaires La recherche a bien été effectuée sur le fonds en statut Production, mais la valeur de l’assiette de calcul des frais de gestion n’est pas renseignée.</t>
  </si>
  <si>
    <t xml:space="preserve">Q1470</t>
  </si>
  <si>
    <t xml:space="preserve">Dernier point sur R-co OPAL Equilibre, et non sur le fonds précédent : le profil d’investisseur type renseigné ?</t>
  </si>
  <si>
    <t xml:space="preserve">Ce FCP s’adresse aux investisseurs qui souhaitent disposer d’un support d’investissement en multigestion dont l’allocation diversifiée permet notamment, en fonction des opportunités de marché, d’être exposés aux produits de taux et/ou aux produits d’actions et/ou aux produits à performance absolue.</t>
  </si>
  <si>
    <t xml:space="preserve">Résultat Information trouvée Pour le fonds R-co OPAL Equilibre, le profil d’investisseur type renseigné est : « Ce FCP s’adresse aux investisseurs qui souhaitent disposer d’un support d’investissement en multigestion dont l’allocation diversifiée permet notamment, en fonction des opportunités de marché, d’être exposés aux produits de taux et/ou aux produits d’actions et/ou aux produits à performance absolue. » Détails complémentaires Le fonds consulté est en statut Production.</t>
  </si>
  <si>
    <t xml:space="preserve">Q1471</t>
  </si>
  <si>
    <t xml:space="preserve">C295</t>
  </si>
  <si>
    <t xml:space="preserve">Pour R-co Target 2029 IG, je cherche la domiciliation du fonds. Quelle information est enregistrée ?</t>
  </si>
  <si>
    <t xml:space="preserve">Résultat Information trouvée Pour le fonds « R-co Target 2029 IG », la domiciliation enregistrée est : France. Détails complémentaires Le fonds est présent en statut Production et la valeur de domiciliation enregistrée dans le référentiel est « France ».</t>
  </si>
  <si>
    <t xml:space="preserve">Q1472</t>
  </si>
  <si>
    <t xml:space="preserve">Qu’en est-il de l’objectif de gestion en français ?</t>
  </si>
  <si>
    <t xml:space="preserve">Le compartiment a pour objectif de gestion, au moment de la souscription et jusqu’au 31/12/2029, d'obtenir une performance nette de frais liée aux taux de rendements actuels des obligations de maturité 2029, en investissant exclusivement dans des titres à caractère « Investment Grade » (non spéculatifs).  L’échéance moyenne du portefeuille sera comprise entre janvier et décembre 2029.</t>
  </si>
  <si>
    <t xml:space="preserve">Résultat Information trouvée Objectif de gestion (français) : « Le compartiment a pour objectif de gestion, au moment de la souscription et jusqu’au 31/12/2029, d'obtenir une performance nette de frais liée aux taux de rendements actuels des obligations de maturité 2029, en investissant exclusivement dans des titres à caractère “Investment Grade” (non spéculatifs). L’échéance moyenne du portefeuille sera comprise entre janvier et décembre 2029. » Détails complémentaires Cet objectif est celui actuellement enregistré dans le référentiel pour le fonds « R-co Target 2029 IG ».</t>
  </si>
  <si>
    <t xml:space="preserve">Q1473</t>
  </si>
  <si>
    <t xml:space="preserve">Passons à R-co Target 2030 IG. Quelle information as-tu pour l’agent de transfert indiqué ?</t>
  </si>
  <si>
    <t xml:space="preserve">Résultat Information trouvée Pour le fonds « R-co Target 2030 IG », l’agent de transfert enregistré est : CACEIS Bank Luxembourg Branch Détails complémentaires Aucune autre information complémentaire n’était demandée ; la valeur enregistrée pour l’agent de transfert est « CACEIS Bank Luxembourg Branch ».</t>
  </si>
  <si>
    <t xml:space="preserve">Q1474</t>
  </si>
  <si>
    <t xml:space="preserve">Et sur l’identifiant LEI du produit, quelle est la valeur ?</t>
  </si>
  <si>
    <t xml:space="preserve">969500DC5QJXPAV1AH42</t>
  </si>
  <si>
    <t xml:space="preserve">Résultat Information trouvée Pour le fonds « R-co Target 2030 IG », l’identifiant LEI enregistré est : 96 9500DC5QJXPAV1AH42 Détails complémentaires La valeur complète enregistrée dans le référentiel est : 969500DC5QJXPAV1AH42.</t>
  </si>
  <si>
    <t xml:space="preserve">Q1475</t>
  </si>
  <si>
    <t xml:space="preserve">Je reviens à R-co Target 2029 IG : quelle donnée figure sur l’expertise de gestion détaillée ?</t>
  </si>
  <si>
    <t xml:space="preserve">Résultat Information trouvée Pour le fonds « R-co Target 2029 IG », l’expertise de gestion détaillée enregistrée est : Fixed Income Investment Grade FIXED INCOME DIRECT INVESTMENT Chemin d’expertise : Fixed Income &lt; Investment Grade &lt; FIXED INCOME &lt; DIRECT INVESTMENT Détails complémentaires Cette information correspond à la hiérarchie d’expertise de gestion associée au fonds dans le référentiel.</t>
  </si>
  <si>
    <t xml:space="preserve">Q1476</t>
  </si>
  <si>
    <t xml:space="preserve">C296</t>
  </si>
  <si>
    <t xml:space="preserve">Pour le dossier R-co Sentinel, peux-tu me confirmer l’échelle de risque officielle renseignée ?</t>
  </si>
  <si>
    <t xml:space="preserve">Résultat Information trouvée Pour le fonds R-co Sentinel, l’échelle de risque renseignée est de niveau 3. Les valeurs enregistrées à la création du fonds et en cours de modification sont toutes deux à 3. Détails complémentaires Fonds : R-co Sentinel Échelle de risque : 3 Valeur à la création : 3 Valeur en modification : 3</t>
  </si>
  <si>
    <t xml:space="preserve">Q1477</t>
  </si>
  <si>
    <t xml:space="preserve">Et le statut actif ou inactif enregistré pour ce produit pour ce même fonds ?</t>
  </si>
  <si>
    <t xml:space="preserve">Résultat Information trouvée Pour le fonds R-co Sentinel, le statut enregistré est : État : Actif Statut : Actif Le fonds est donc actuellement enregistré comme actif dans le référentiel.</t>
  </si>
  <si>
    <t xml:space="preserve">Q1478</t>
  </si>
  <si>
    <t xml:space="preserve">Dans la fiche produit, que trouve-t-on sur le plafond des frais indirects de rachat, distinct d’un droit de sortie de part ?</t>
  </si>
  <si>
    <t xml:space="preserve">Résultat Information trouvée Pour le fonds R-co Sentinel, le champ correspondant au plafond des frais indirects de rachat est renseigné à : 0 % Détails complémentaires Cette information est distincte d’un éventuel droit de sortie porté au niveau des parts. Pour ce fonds, aucun plafond de frais indirects de rachat n’est enregistré au-delà de 0 %.</t>
  </si>
  <si>
    <t xml:space="preserve">Q1479</t>
  </si>
  <si>
    <t xml:space="preserve">Pour finaliser la réponse client, précise la classification AMF indiquée.</t>
  </si>
  <si>
    <t xml:space="preserve">Résultat Information trouvée Pour le fonds R-co Sentinel, la classification AMF renseignée est : Classification AMF : Pas de Classification AMF Détails complémentaires Pour récapituler les éléments vérifiés dans la fiche fonds : Échelle de risque : 3 Statut : Actif Plafond des frais indirects de rachat : 0 % Classification AMF : Pas de Classification AMF</t>
  </si>
  <si>
    <t xml:space="preserve">Q1480</t>
  </si>
  <si>
    <t xml:space="preserve">Dernier contrôle : la moyenne triennale des coûts de transaction explicites ex ante ?</t>
  </si>
  <si>
    <t xml:space="preserve">0.025</t>
  </si>
  <si>
    <t xml:space="preserve">Résultat Information trouvée Pour le fonds R-co Sentinel, la valeur renseignée pour la moyenne triennale des coûts de transaction explicites ex ante est : 0,025 % Détails complémentaires Cette valeur correspond à l’indicateur de coûts de transaction explicites ex ante enregistré dans la fiche produit du fonds.</t>
  </si>
  <si>
    <t xml:space="preserve">Q1481</t>
  </si>
  <si>
    <t xml:space="preserve">C297</t>
  </si>
  <si>
    <t xml:space="preserve">Je prépare une DDQ sur R-co Target 2027 HY. Quelle est l’information disponible concernant la famille d’expertise de gestion de premier niveau ?</t>
  </si>
  <si>
    <t xml:space="preserve">Je n’ai reçu que « ». Pouvez-vous envoyer votre demande concernant un fonds, une part, un gérant, un code ISIN, un pays d’enregistrement ou une caractéristique produit ?</t>
  </si>
  <si>
    <t xml:space="preserve">Q1482</t>
  </si>
  <si>
    <t xml:space="preserve">J’ai aussi besoin de l’entité sponsor renseignée.</t>
  </si>
  <si>
    <t xml:space="preserve">Pouvez-vous préciser le fonds, la part, le gérant ou le code ISIN concerné ? Une fois l’élément identifié, je pourrai également rechercher l’information de sponsor associée dans le référentiel Product Info.</t>
  </si>
  <si>
    <t xml:space="preserve">Q1483</t>
  </si>
  <si>
    <t xml:space="preserve">Je change de fonds : sur R-co Valor 4Change Global Equity, que dit la fiche pour les frais de gestion maximum renseignés au niveau produit, sans les attribuer à une part ?</t>
  </si>
  <si>
    <t xml:space="preserve">Résultat Pour le fonds « R-co Valor 4Change Global Equity » en statut Production, la fiche produit ne contient pas de valeur renseignée pour les frais de gestion maximum au niveau produit. Information trouvée Fonds : R-co Valor 4Change Global Equity Frais de gestion maximum (niveau produit) : non renseignés Détails complémentaires La fiche produit existe bien dans le référentiel, mais aucun montant ou taux de frais de gestion maximum n’est retourné au niveau du fonds lui-même. Cette information peut éventuellement être renseignée au niveau des parts, mais elle n’est pas renseignée au niveau produit pour ce fonds.</t>
  </si>
  <si>
    <t xml:space="preserve">Q1484</t>
  </si>
  <si>
    <t xml:space="preserve">Autre rubrique du même dossier : la classification interne du fonds ?</t>
  </si>
  <si>
    <t xml:space="preserve">SICAV Actions Internationales</t>
  </si>
  <si>
    <t xml:space="preserve">Résultat La classification interne du fonds « R-co Valor 4Change Global Equity » est : SICAV Actions Internationales Détails complémentaires Cette valeur est renseignée dans la rubrique « Classification interne » du fonds.</t>
  </si>
  <si>
    <t xml:space="preserve">Q1485</t>
  </si>
  <si>
    <t xml:space="preserve">Dernier point sur R-co Target 2027 HY, et non sur le fonds précédent : l’expertise de gestion de deuxième niveau ?</t>
  </si>
  <si>
    <t xml:space="preserve">Résultat Pour le fonds « R-co Target 2027 HY », l’expertise de gestion de deuxième niveau est : High Yield Détails complémentaires Cette valeur correspond au niveau 2 de la hiérarchie d’expertise de gestion renseignée sur la fiche du fonds.</t>
  </si>
  <si>
    <t xml:space="preserve">Q1486</t>
  </si>
  <si>
    <t xml:space="preserve">C298</t>
  </si>
  <si>
    <t xml:space="preserve">Pour R-co Thematic Family Businesses, quelle valeur est renseignée pour l’univers d’investissement renseigné ?</t>
  </si>
  <si>
    <t xml:space="preserve">BKXE Index;SCXT Index</t>
  </si>
  <si>
    <t xml:space="preserve">Résultat Pour le fonds R-co Thematic Family Businesses, la valeur renseignée pour l’Univers d’investissement est : BKXE Index ; SCXT Index Détails complémentaires Le fonds est trouvé en statut Production et l’univers d’investissement enregistré est « BKXE Index;SCXT Index ».</t>
  </si>
  <si>
    <t xml:space="preserve">Q1487</t>
  </si>
  <si>
    <t xml:space="preserve">Toujours pour ce produit : l’indicateur de frais de gestion spécifiques, sans l’interpréter comme un taux ?</t>
  </si>
  <si>
    <t xml:space="preserve">Résultat Pour le fonds R-co Thematic Family Businesses, l’indicateur « frais de gestion spécifiques » est renseigné à : Non Détails complémentaires Il s’agit d’un indicateur booléen (Oui/Non), et la valeur enregistrée est « Non ».</t>
  </si>
  <si>
    <t xml:space="preserve">Q1488</t>
  </si>
  <si>
    <t xml:space="preserve">Peux-tu retrouver l’indicateur du label Towards Sustainability ?</t>
  </si>
  <si>
    <t xml:space="preserve">Résultat Pour le fonds R-co Thematic Family Businesses, l’indicateur du label Towards Sustainability est : Non Détails complémentaires La valeur enregistrée pour cet indicateur est « Non ».</t>
  </si>
  <si>
    <t xml:space="preserve">Q1489</t>
  </si>
  <si>
    <t xml:space="preserve">Je passe à la rubrique suivante : la mention relative au high water mark ?</t>
  </si>
  <si>
    <t xml:space="preserve">Résultat Pour le fonds R-co Thematic Family Businesses, la mention relative au High Water Mark est : Pas de high water mark Détails complémentaires Aucun mécanisme de High Water Mark n’est renseigné pour ce fonds.</t>
  </si>
  <si>
    <t xml:space="preserve">Q1490</t>
  </si>
  <si>
    <t xml:space="preserve">Et concernant le deuxième gérant suppléant, que dit la fiche ?</t>
  </si>
  <si>
    <t xml:space="preserve">SEYDOUX Alban</t>
  </si>
  <si>
    <t xml:space="preserve">Résultat Pour le fonds R-co Thematic Family Businesses, le deuxième gérant suppléant renseigné est : SEYDOUX Alban Détails complémentaires La fiche du fonds en Production référence Alban SEYDOUX comme deuxième gérant suppléant.</t>
  </si>
  <si>
    <t xml:space="preserve">Q1491</t>
  </si>
  <si>
    <t xml:space="preserve">C299</t>
  </si>
  <si>
    <t xml:space="preserve">Dans la documentation produit de R-co Valor, que dois-je reprendre pour l’indicateur de tarification all-in ?</t>
  </si>
  <si>
    <t xml:space="preserve">Résultat Information trouvée Pour le fonds R-co Valor, l’indicateur de tarification all-in est renseigné à « Oui ». Détails complémentaires Dans la documentation produit de R-co Valor, vous devez donc reprendre l’indicateur de tarification all-in avec la valeur : « Oui ».</t>
  </si>
  <si>
    <t xml:space="preserve">Q1492</t>
  </si>
  <si>
    <t xml:space="preserve">Même fonds, autre point : le profil d’investisseur type en français ?</t>
  </si>
  <si>
    <t xml:space="preserve">Résultat Information trouvée Pour R-co Valor, le profil d’investisseur type en français est : « Cet OPCVM s’adresse aux investisseurs qui souhaitent disposer d’un support d’investissement dont l’allocation diversifiée permet notamment, en fonction des opportunités de marché, d’être exposés aux produits de taux et/ou aux produits d’actions. »</t>
  </si>
  <si>
    <t xml:space="preserve">Q1493</t>
  </si>
  <si>
    <t xml:space="preserve">Passons à R-co Conviction High Yield SD Euro. Quelle information as-tu pour l’administrateur du fonds ?</t>
  </si>
  <si>
    <t xml:space="preserve">Résultat Information trouvée Pour le fonds R-co Conviction High Yield SD Euro, l’administrateur du fonds est : Caceis Fund Administration Détails complémentaires Aucune autre information complémentaire sur l’administrateur n’a été demandée.</t>
  </si>
  <si>
    <t xml:space="preserve">Q1494</t>
  </si>
  <si>
    <t xml:space="preserve">Dans la rubrique esg de ce produit, quelle valeur est enregistrée pour la thématique ESG principale déclarée dans l’EET ?</t>
  </si>
  <si>
    <t xml:space="preserve">Résultat Information trouvée Pour le fonds R-co Conviction High Yield SD Euro, aucune valeur n’est renseignée pour la thématique ESG principale déclarée dans l’EET. Détails complémentaires Les champs correspondant aux thématiques ESG EET ne contiennent pas de valeur enregistrée pour ce fonds dans les données disponibles.</t>
  </si>
  <si>
    <t xml:space="preserve">Q1495</t>
  </si>
  <si>
    <t xml:space="preserve">Reprenons R-co Valor pour terminer : peux-tu vérifier le statut métier du produit dans Product Info ?</t>
  </si>
  <si>
    <t xml:space="preserve">Résultat Information trouvée Pour le fonds R-co Valor, le statut métier actif dans Product Info est : Production Détails complémentaires Plusieurs versions historiques du fonds existent également dans le référentiel avec le statut « Historisé », mais la version actuellement en vigueur est bien en statut « Production ».</t>
  </si>
  <si>
    <t xml:space="preserve">Q1496</t>
  </si>
  <si>
    <t xml:space="preserve">C300</t>
  </si>
  <si>
    <t xml:space="preserve">R-co WM Equilibrium</t>
  </si>
  <si>
    <t xml:space="preserve">Sur R-co WM Equilibrium, j’ai besoin de l’indicateur de rétrocessions sur OPC de tête pour une réponse RFI.</t>
  </si>
  <si>
    <t xml:space="preserve">Je n’ai pas identifié de demande dans votre message. Pouvez-vous indiquer le fonds, la part, le gérant, le code ISIN, le pays d’enregistrement ou l’information produit que vous recherchez ?</t>
  </si>
  <si>
    <t xml:space="preserve">Q1497</t>
  </si>
  <si>
    <t xml:space="preserve">Peux-tu préciser la moyenne triennale des coûts de transaction implicites ex ante ?</t>
  </si>
  <si>
    <t xml:space="preserve">Résultat La moyenne triennale des coûts de transaction implicites ex ante correspond à l’estimation moyenne, sur une période de trois ans, des coûts de transaction implicites qui devraient être supportés par un portefeuille lors de l’achat ou de la vente d’instruments financiers. Ces coûts implicites ne sont généralement pas facturés directement. Ils reflètent notamment : L’impact de marché des ordres d’achat ou de vente. L’écart entre le prix théorique et le prix réellement obtenu lors de l’exécution (slippage). Les effets liés à la liquidité du marché. Le terme « ex ante » signifie qu’il s’agit d’une estimation prévisionnelle utilisée dans les documents réglementaires et les reportings de coûts, par opposition aux coûts « ex post » qui sont calculés à partir des transactions effectivement réalisées. Détails complémentaires La moyenne sur trois ans permet de lisser les variations annuelles et de fournir une estimation plus représentative des coûts de transaction implicites susceptibles d’être supportés par les investisseurs.</t>
  </si>
  <si>
    <t xml:space="preserve">Q1498</t>
  </si>
  <si>
    <t xml:space="preserve">Pour Fourcats Investment cette fois, que trouve-t-on concernant le gestionnaire par délégation indiqué ?</t>
  </si>
  <si>
    <t xml:space="preserve">Q1499</t>
  </si>
  <si>
    <t xml:space="preserve">Dans la rubrique dates de ce produit, quelle valeur est enregistrée pour la date d’agrément renseignée ?</t>
  </si>
  <si>
    <t xml:space="preserve">2024-10-23 22:00:00</t>
  </si>
  <si>
    <t xml:space="preserve">Résultat Pour le produit Fourcats Investment, la date d’agrément enregistrée est le 24 octobre 2024. Détails complémentaires Cette information correspond à la valeur renseignée dans la rubrique des dates du produit.</t>
  </si>
  <si>
    <t xml:space="preserve">Q1500</t>
  </si>
  <si>
    <t xml:space="preserve">Dernier point sur R-co WM Equilibrium, et non sur le fonds précédent : la part minimale présentant des caractéristiques environnementales ou sociales dans l’EET ?</t>
  </si>
  <si>
    <t xml:space="preserve">Résultat Pour le fonds R-co WM Equilibrium, la part minimale présentant des caractéristiques environnementales ou sociales dans l’EET est de 60 %. Détails complémentaires Cette valeur correspond à l’indicateur EET relatif à la proportion minimale d’investissements présentant des caractéristiques environnementales ou sociales.</t>
  </si>
  <si>
    <t xml:space="preserve">Résultats par famille de champs</t>
  </si>
  <si>
    <t xml:space="preserve">Familles triées de la plus faible à la plus forte (% correct). Regroupement des champs : voir LISEZ-MOI.</t>
  </si>
  <si>
    <t xml:space="preserve">Notées</t>
  </si>
  <si>
    <t xml:space="preserve">« Aucune info » à tort</t>
  </si>
  <si>
    <t xml:space="preserve">Valeur fausse</t>
  </si>
  <si>
    <t xml:space="preserve">% correct</t>
  </si>
  <si>
    <t xml:space="preserve">% aucune info</t>
  </si>
  <si>
    <t xml:space="preserve">% faux</t>
  </si>
  <si>
    <t xml:space="preserve">% hors sujet</t>
  </si>
  <si>
    <t xml:space="preserve">Latence moy. (s)</t>
  </si>
  <si>
    <t xml:space="preserve">Résultats par tour de conversation</t>
  </si>
  <si>
    <t xml:space="preserve">Tour = position de la question dans sa conversation de 5 questions.</t>
  </si>
  <si>
    <t xml:space="preserve">Résultats par champ</t>
  </si>
  <si>
    <t xml:space="preserve">Triés du plus faible au plus fort. Interpréter avec prudence sous 8 questions notées.</t>
  </si>
  <si>
    <t xml:space="preserve">Résultats par fonds</t>
  </si>
  <si>
    <t xml:space="preserve">Fonds interrogés sur au moins 5 questions à valeur connue, du plus faible au plus fort.</t>
  </si>
  <si>
    <t xml:space="preserve">Fonds</t>
  </si>
  <si>
    <t xml:space="preserve">Résultats par groupe de fonds</t>
  </si>
  <si>
    <t xml:space="preserve">Croisements</t>
  </si>
  <si>
    <t xml:space="preserve">% de réponses justes par famille et par tour (questions à valeur connue).</t>
  </si>
  <si>
    <t xml:space="preserve">Famille \ Tour</t>
  </si>
  <si>
    <t xml:space="preserve">Tour 1</t>
  </si>
  <si>
    <t xml:space="preserve">Tour 2</t>
  </si>
  <si>
    <t xml:space="preserve">Tour 3</t>
  </si>
  <si>
    <t xml:space="preserve">Tour 4</t>
  </si>
  <si>
    <t xml:space="preserve">Tour 5</t>
  </si>
  <si>
    <t xml:space="preserve">Tous tours</t>
  </si>
  <si>
    <t xml:space="preserve">Nombre de réponses par famille et par verdict (toutes questions)</t>
  </si>
  <si>
    <t xml:space="preserve">Famille \ Verdict</t>
  </si>
  <si>
    <t xml:space="preserve">Septembre (100 questions par chat) contre octobre (chat neuf par conversation)</t>
  </si>
  <si>
    <t xml:space="preserve">Mêmes questions, mêmes règles de notation, premier chat raté du 28/09 exclu (colonne « Comparable septembre » de DONNEES). Sous 15 questions, l’écart n’est pas significatif.</t>
  </si>
  <si>
    <t xml:space="preserve">Notées sept.</t>
  </si>
  <si>
    <t xml:space="preserve">% correct sept.</t>
  </si>
  <si>
    <t xml:space="preserve">Notées oct.</t>
  </si>
  <si>
    <t xml:space="preserve">% correct oct.</t>
  </si>
  <si>
    <t xml:space="preserve">Écart (pts)</t>
  </si>
  <si>
    <t xml:space="preserve">Ensemble</t>
  </si>
  <si>
    <t xml:space="preserve">Passage de verdict septembre → octobre (questions comparables)</t>
  </si>
  <si>
    <t xml:space="preserve">Septembre \ Octobre</t>
  </si>
  <si>
    <t xml:space="preserve">Valeurs fausses et réponses hors sujet</t>
  </si>
  <si>
    <t xml:space="preserve">Une ligne par réponse. Le type d’erreur regroupe les valeurs fausses en schémas.</t>
  </si>
  <si>
    <t xml:space="preserve">Type</t>
  </si>
  <si>
    <t xml:space="preserve">Valeur attendue</t>
  </si>
  <si>
    <t xml:space="preserve">Type d’erreur</t>
  </si>
  <si>
    <t xml:space="preserve">Réponse sur un autre fonds</t>
  </si>
  <si>
    <t xml:space="preserve">Frais et coûts : autre valeur ou coût voisin</t>
  </si>
  <si>
    <t xml:space="preserve">ESG / EET : champ voisin ou autre valeur</t>
  </si>
  <si>
    <t xml:space="preserve">Autre valeur</t>
  </si>
  <si>
    <t xml:space="preserve">Oui / non inversé</t>
  </si>
  <si>
    <t xml:space="preserve">Autre intervenant</t>
  </si>
  <si>
    <t xml:space="preserve">Niveau d'expertise voisin</t>
  </si>
  <si>
    <t xml:space="preserve">Id</t>
  </si>
  <si>
    <t xml:space="preserve">Statut</t>
  </si>
  <si>
    <t xml:space="preserve">Début (Paris)</t>
  </si>
  <si>
    <t xml:space="preserve">Heure</t>
  </si>
  <si>
    <t xml:space="preserve">Erreur</t>
  </si>
  <si>
    <t xml:space="preserve">COMPLETE</t>
  </si>
  <si>
    <t xml:space="preserve">FAILED</t>
  </si>
  <si>
    <t xml:space="preserve">AnswerTimeout: Pas de réponse finale stable en 360 s</t>
  </si>
  <si>
    <t xml:space="preserve">SendError: Saisie non confirmée dans la zone de message ; rien n'a été envoyé</t>
  </si>
  <si>
    <t xml:space="preserve">ABORTED</t>
  </si>
  <si>
    <t xml:space="preserve">Ctrl+C</t>
  </si>
  <si>
    <t xml:space="preserve">TimeoutError: Locator.click: Timeout 15000ms exceeded.
Call log:
  - waiting for locator("[contenteditable=\"true\"][aria-label=\"Message Product Info Assistant\"]").first
    - locator resolved to &lt;span tabindex="0" role="textbox" spellcheck="false" contenteditable="true" data-copilot-initial-focus="" id="m365-chat-editor-target-element" aria-describedby="chat-input-placeholder" aria-label="Message Product Info Assistant" data-placeholder="Message Product Info Assistant" class="fai-EditorInput__input r18fti29 r18aquq2 ___dilz7s0 f1pe8h68 f1239lcr fv5qcn6 f1a3p1vp fdm3o16 fkmyikg f1tudvs5 fajf0s3 foj4gy fm35wft f1nuhv3l"&gt;&lt;/span&gt;
  - attempting click action
    - waiting for element to be visible, enabled and stable
    - element is visible, enabled and stable
    - scrolling into view if needed
    - done scrolling
    - performing click action
    - click action done
    - waiting for scheduled navigations to finish
</t>
  </si>
  <si>
    <t xml:space="preserve">arrêt du script</t>
  </si>
  <si>
    <t xml:space="preserve">TimeoutError: Locator.click: Timeout 15000ms exceeded.
Call log:
  - waiting for locator("[contenteditable=\"true\"][aria-label=\"Message Product Info Assistant\"]").first
    - locator resolved to &lt;span dir="ltr" tabindex="0" role="textbox" spellcheck="false" contenteditable="true" data-lexical-editor="true" data-copilot-initial-focus="" id="m365-chat-editor-target-element" aria-describedby="chat-input-placeholder" aria-label="Message Product Info Assistant" data-placeholder="Message Product Info Assistant" class="fai-EditorInput__input r18fti29 r18aquq2 ___dilz7s0 f1pe8h68 f1239lcr fv5qcn6 f1a3p1vp fdm3o16 fkmyikg f1tudvs5 fajf0s3 foj4gy fm35wft f1nuhv3l"&gt;…&lt;/span&gt;
</t>
  </si>
  <si>
    <t xml:space="preserve">AgentTechnicalError: TECH_ERROR: Product Info Assistant said:
Oops! Something happened. Can you try again?Share feedback
Product Info Assistant said:
O</t>
  </si>
  <si>
    <t xml:space="preserve">Fiabilité de la collecte et temps de réponse</t>
  </si>
  <si>
    <t xml:space="preserve">Chats ouverts par heure (heure de Paris). Un échec = aucune réponse stable au premier message en 6 minutes, presque toujours.</t>
  </si>
  <si>
    <t xml:space="preserve">Complets</t>
  </si>
  <si>
    <t xml:space="preserve">Interrompus</t>
  </si>
  <si>
    <t xml:space="preserve">% interrompus</t>
  </si>
  <si>
    <t xml:space="preserve">Libellé</t>
  </si>
  <si>
    <t xml:space="preserve">14/10 18h</t>
  </si>
  <si>
    <t xml:space="preserve">14/10 19h</t>
  </si>
  <si>
    <t xml:space="preserve">14/10 20h</t>
  </si>
  <si>
    <t xml:space="preserve">14/10 21h</t>
  </si>
  <si>
    <t xml:space="preserve">14/10 22h</t>
  </si>
  <si>
    <t xml:space="preserve">14/10 23h</t>
  </si>
  <si>
    <t xml:space="preserve">15/10 00h</t>
  </si>
  <si>
    <t xml:space="preserve">15/10 01h</t>
  </si>
  <si>
    <t xml:space="preserve">15/10 09h</t>
  </si>
  <si>
    <t xml:space="preserve">15/10 10h</t>
  </si>
  <si>
    <t xml:space="preserve">15/10 11h</t>
  </si>
  <si>
    <t xml:space="preserve">15/10 12h</t>
  </si>
  <si>
    <t xml:space="preserve">15/10 13h</t>
  </si>
  <si>
    <t xml:space="preserve">15/10 14h</t>
  </si>
  <si>
    <t xml:space="preserve">15/10 15h</t>
  </si>
  <si>
    <t xml:space="preserve">15/10 16h</t>
  </si>
  <si>
    <t xml:space="preserve">15/10 17h</t>
  </si>
  <si>
    <t xml:space="preserve">15/10 18h</t>
  </si>
  <si>
    <t xml:space="preserve">15/10 19h</t>
  </si>
  <si>
    <t xml:space="preserve">15/10 20h</t>
  </si>
  <si>
    <t xml:space="preserve">15/10 21h</t>
  </si>
  <si>
    <t xml:space="preserve">15/10 22h</t>
  </si>
  <si>
    <t xml:space="preserve">15/10 23h</t>
  </si>
  <si>
    <t xml:space="preserve">16/10 00h</t>
  </si>
  <si>
    <t xml:space="preserve">16/10 01h</t>
  </si>
  <si>
    <t xml:space="preserve">16/10 02h</t>
  </si>
  <si>
    <t xml:space="preserve">16/10 03h</t>
  </si>
  <si>
    <t xml:space="preserve">16/10 04h</t>
  </si>
  <si>
    <t xml:space="preserve">Latence par tour</t>
  </si>
  <si>
    <t xml:space="preserve">Latence médiane (s)</t>
  </si>
  <si>
    <t xml:space="preserve">Médianes calculées à l’export (Excel ne fournit pas de MEDIANE conditionnelle simple).</t>
  </si>
</sst>
</file>

<file path=xl/styles.xml><?xml version="1.0" encoding="utf-8"?>
<styleSheet xmlns="http://schemas.openxmlformats.org/spreadsheetml/2006/main">
  <numFmts count="9">
    <numFmt numFmtId="164" formatCode="General"/>
    <numFmt numFmtId="165" formatCode="0"/>
    <numFmt numFmtId="166" formatCode="0.0%"/>
    <numFmt numFmtId="167" formatCode="0.0"/>
    <numFmt numFmtId="168" formatCode="General"/>
    <numFmt numFmtId="169" formatCode="dd/mm/yyyy\ hh:mm"/>
    <numFmt numFmtId="170" formatCode="0%"/>
    <numFmt numFmtId="171" formatCode="\+0.0;\-0.0;0.0"/>
    <numFmt numFmtId="172" formatCode="dd/mm\ hh\h"/>
  </numFmts>
  <fonts count="11">
    <font>
      <sz val="11"/>
      <color theme="1"/>
      <name val="Calibri"/>
      <family val="2"/>
      <charset val="1"/>
    </font>
    <font>
      <sz val="10"/>
      <name val="Arial"/>
      <family val="0"/>
    </font>
    <font>
      <sz val="10"/>
      <name val="Arial"/>
      <family val="0"/>
    </font>
    <font>
      <sz val="10"/>
      <name val="Arial"/>
      <family val="0"/>
    </font>
    <font>
      <b val="true"/>
      <sz val="15"/>
      <color rgb="FF14213D"/>
      <name val="Arial"/>
      <family val="0"/>
      <charset val="1"/>
    </font>
    <font>
      <i val="true"/>
      <sz val="9"/>
      <color rgb="FF52514E"/>
      <name val="Arial"/>
      <family val="0"/>
      <charset val="1"/>
    </font>
    <font>
      <b val="true"/>
      <sz val="10"/>
      <color rgb="FFFFFFFF"/>
      <name val="Arial"/>
      <family val="0"/>
      <charset val="1"/>
    </font>
    <font>
      <sz val="10"/>
      <name val="Arial"/>
      <family val="0"/>
      <charset val="1"/>
    </font>
    <font>
      <b val="true"/>
      <sz val="10"/>
      <name val="Arial"/>
      <family val="0"/>
      <charset val="1"/>
    </font>
    <font>
      <b val="true"/>
      <sz val="18"/>
      <color rgb="FF000000"/>
      <name val="Calibri"/>
      <family val="2"/>
    </font>
    <font>
      <sz val="10"/>
      <color rgb="FF000000"/>
      <name val="Calibri"/>
      <family val="2"/>
    </font>
  </fonts>
  <fills count="11">
    <fill>
      <patternFill patternType="none"/>
    </fill>
    <fill>
      <patternFill patternType="gray125"/>
    </fill>
    <fill>
      <patternFill patternType="solid">
        <fgColor rgb="FF14213D"/>
        <bgColor rgb="FF003366"/>
      </patternFill>
    </fill>
    <fill>
      <patternFill patternType="solid">
        <fgColor rgb="FFD9F2E8"/>
        <bgColor rgb="FFE6F0FC"/>
      </patternFill>
    </fill>
    <fill>
      <patternFill patternType="solid">
        <fgColor rgb="FFFBEBC7"/>
        <bgColor rgb="FFFBE3D9"/>
      </patternFill>
    </fill>
    <fill>
      <patternFill patternType="solid">
        <fgColor rgb="FFF6D5D5"/>
        <bgColor rgb="FFFBE3D9"/>
      </patternFill>
    </fill>
    <fill>
      <patternFill patternType="solid">
        <fgColor rgb="FFD6E6F8"/>
        <bgColor rgb="FFD9F2E8"/>
      </patternFill>
    </fill>
    <fill>
      <patternFill patternType="solid">
        <fgColor rgb="FFE6F0FC"/>
        <bgColor rgb="FFF2F1EC"/>
      </patternFill>
    </fill>
    <fill>
      <patternFill patternType="solid">
        <fgColor rgb="FFFBE3D9"/>
        <bgColor rgb="FFFBEBC7"/>
      </patternFill>
    </fill>
    <fill>
      <patternFill patternType="solid">
        <fgColor rgb="FFECEBE7"/>
        <bgColor rgb="FFF2F1EC"/>
      </patternFill>
    </fill>
    <fill>
      <patternFill patternType="solid">
        <fgColor rgb="FFF2F1EC"/>
        <bgColor rgb="FFECEBE7"/>
      </patternFill>
    </fill>
  </fills>
  <borders count="2">
    <border diagonalUp="false" diagonalDown="false">
      <left/>
      <right/>
      <top/>
      <bottom/>
      <diagonal/>
    </border>
    <border diagonalUp="false" diagonalDown="false">
      <left/>
      <right/>
      <top/>
      <bottom style="thin">
        <color rgb="FFE1E0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7" fillId="5" borderId="0" xfId="0" applyFont="true" applyBorder="false" applyAlignment="false" applyProtection="false">
      <alignment horizontal="general" vertical="bottom" textRotation="0" wrapText="false" indent="0" shrinkToFit="false"/>
      <protection locked="tru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4" fontId="7" fillId="7" borderId="0" xfId="0" applyFont="true" applyBorder="false" applyAlignment="false" applyProtection="false">
      <alignment horizontal="general" vertical="bottom" textRotation="0" wrapText="false" indent="0" shrinkToFit="false"/>
      <protection locked="true" hidden="false"/>
    </xf>
    <xf numFmtId="164" fontId="7" fillId="8" borderId="0" xfId="0" applyFont="true" applyBorder="false" applyAlignment="false" applyProtection="false">
      <alignment horizontal="general" vertical="bottom" textRotation="0" wrapText="false" indent="0" shrinkToFit="false"/>
      <protection locked="true" hidden="false"/>
    </xf>
    <xf numFmtId="164" fontId="7" fillId="9" borderId="0" xfId="0" applyFont="true" applyBorder="false" applyAlignment="false" applyProtection="false">
      <alignment horizontal="general" vertical="bottom" textRotation="0" wrapText="false" indent="0" shrinkToFit="false"/>
      <protection locked="true" hidden="false"/>
    </xf>
    <xf numFmtId="164" fontId="7" fillId="1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71" fontId="8" fillId="0" borderId="1" xfId="0" applyFont="true" applyBorder="true" applyAlignment="false" applyProtection="false">
      <alignment horizontal="general" vertical="bottom" textRotation="0" wrapText="false" indent="0" shrinkToFit="false"/>
      <protection locked="true" hidden="false"/>
    </xf>
    <xf numFmtId="164" fontId="7" fillId="6" borderId="0" xfId="0" applyFont="true" applyBorder="false" applyAlignment="true" applyProtection="false">
      <alignment horizontal="general" vertical="top" textRotation="0" wrapText="true" indent="0" shrinkToFit="false"/>
      <protection locked="true" hidden="false"/>
    </xf>
    <xf numFmtId="164" fontId="7" fillId="5" borderId="0" xfId="0" applyFont="true" applyBorder="false" applyAlignment="true" applyProtection="false">
      <alignment horizontal="general" vertical="top" textRotation="0" wrapText="tru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9">
    <dxf>
      <fill>
        <patternFill patternType="solid">
          <fgColor rgb="FF14213D"/>
          <bgColor rgb="FF000000"/>
        </patternFill>
      </fill>
    </dxf>
    <dxf>
      <fill>
        <patternFill patternType="solid">
          <bgColor rgb="FF000000"/>
        </patternFill>
      </fill>
    </dxf>
    <dxf>
      <fill>
        <patternFill patternType="solid">
          <fgColor rgb="FFFFFFFF"/>
          <bgColor rgb="FF000000"/>
        </patternFill>
      </fill>
    </dxf>
    <dxf>
      <fill>
        <patternFill patternType="solid">
          <fgColor rgb="FFD6E6F8"/>
          <bgColor rgb="FF000000"/>
        </patternFill>
      </fill>
    </dxf>
    <dxf>
      <fill>
        <patternFill patternType="solid">
          <fgColor rgb="FFD9F2E8"/>
          <bgColor rgb="FF000000"/>
        </patternFill>
      </fill>
    </dxf>
    <dxf>
      <fill>
        <patternFill patternType="solid">
          <fgColor rgb="FFE6F0FC"/>
          <bgColor rgb="FF000000"/>
        </patternFill>
      </fill>
    </dxf>
    <dxf>
      <fill>
        <patternFill patternType="solid">
          <fgColor rgb="FFECEBE7"/>
          <bgColor rgb="FF000000"/>
        </patternFill>
      </fill>
    </dxf>
    <dxf>
      <fill>
        <patternFill patternType="solid">
          <fgColor rgb="FFF2F1EC"/>
          <bgColor rgb="FF000000"/>
        </patternFill>
      </fill>
    </dxf>
    <dxf>
      <fill>
        <patternFill patternType="solid">
          <fgColor rgb="FFF6D5D5"/>
          <bgColor rgb="FF000000"/>
        </patternFill>
      </fill>
    </dxf>
    <dxf>
      <fill>
        <patternFill patternType="solid">
          <fgColor rgb="FFFBE3D9"/>
          <bgColor rgb="FF000000"/>
        </patternFill>
      </fill>
    </dxf>
    <dxf>
      <fill>
        <patternFill patternType="solid">
          <fgColor rgb="FFFBEBC7"/>
          <bgColor rgb="FF000000"/>
        </patternFill>
      </fill>
    </dxf>
    <dxf>
      <fill>
        <patternFill>
          <bgColor rgb="FFD9F2E8"/>
        </patternFill>
      </fill>
    </dxf>
    <dxf>
      <fill>
        <patternFill>
          <bgColor rgb="FFFBEBC7"/>
        </patternFill>
      </fill>
    </dxf>
    <dxf>
      <fill>
        <patternFill>
          <bgColor rgb="FFF6D5D5"/>
        </patternFill>
      </fill>
    </dxf>
    <dxf>
      <fill>
        <patternFill>
          <bgColor rgb="FFD6E6F8"/>
        </patternFill>
      </fill>
    </dxf>
    <dxf>
      <fill>
        <patternFill>
          <bgColor rgb="FFE6F0FC"/>
        </patternFill>
      </fill>
    </dxf>
    <dxf>
      <fill>
        <patternFill>
          <bgColor rgb="FFFBE3D9"/>
        </patternFill>
      </fill>
    </dxf>
    <dxf>
      <fill>
        <patternFill>
          <bgColor rgb="FFECEBE7"/>
        </patternFill>
      </fill>
    </dxf>
    <dxf>
      <fill>
        <patternFill>
          <bgColor rgb="FFF2F1EC"/>
        </patternFill>
      </fill>
    </dxf>
  </dxfs>
  <colors>
    <indexedColors>
      <rgbColor rgb="FF000000"/>
      <rgbColor rgb="FFFFFFFF"/>
      <rgbColor rgb="FFFF0000"/>
      <rgbColor rgb="FF00FF00"/>
      <rgbColor rgb="FF0000FF"/>
      <rgbColor rgb="FFF2F1EC"/>
      <rgbColor rgb="FFFF00FF"/>
      <rgbColor rgb="FF00FFFF"/>
      <rgbColor rgb="FF800000"/>
      <rgbColor rgb="FF008000"/>
      <rgbColor rgb="FF000080"/>
      <rgbColor rgb="FF808000"/>
      <rgbColor rgb="FF800080"/>
      <rgbColor rgb="FF008080"/>
      <rgbColor rgb="FFC3C2B7"/>
      <rgbColor rgb="FF878787"/>
      <rgbColor rgb="FF9999FF"/>
      <rgbColor rgb="FFD03B3B"/>
      <rgbColor rgb="FFFBEBC7"/>
      <rgbColor rgb="FFD9F2E8"/>
      <rgbColor rgb="FF660066"/>
      <rgbColor rgb="FFEC835A"/>
      <rgbColor rgb="FF0066CC"/>
      <rgbColor rgb="FFD9D9D9"/>
      <rgbColor rgb="FF000080"/>
      <rgbColor rgb="FFFF00FF"/>
      <rgbColor rgb="FFF9F9F9"/>
      <rgbColor rgb="FF00FFFF"/>
      <rgbColor rgb="FF800080"/>
      <rgbColor rgb="FF800000"/>
      <rgbColor rgb="FF008080"/>
      <rgbColor rgb="FF0000FF"/>
      <rgbColor rgb="FF00CCFF"/>
      <rgbColor rgb="FFE6F0FC"/>
      <rgbColor rgb="FFD6E6F8"/>
      <rgbColor rgb="FFFBE3D9"/>
      <rgbColor rgb="FF86B6EF"/>
      <rgbColor rgb="FFE1E0D9"/>
      <rgbColor rgb="FFECEBE7"/>
      <rgbColor rgb="FFF6D5D5"/>
      <rgbColor rgb="FF2A78D6"/>
      <rgbColor rgb="FF33CCCC"/>
      <rgbColor rgb="FF99CC00"/>
      <rgbColor rgb="FFFFCC00"/>
      <rgbColor rgb="FFE09A00"/>
      <rgbColor rgb="FFFF6600"/>
      <rgbColor rgb="FF4F81BD"/>
      <rgbColor rgb="FF898781"/>
      <rgbColor rgb="FF003366"/>
      <rgbColor rgb="FF1BAF7A"/>
      <rgbColor rgb="FF003300"/>
      <rgbColor rgb="FF333300"/>
      <rgbColor rgb="FF993300"/>
      <rgbColor rgb="FF993366"/>
      <rgbColor rgb="FF52514E"/>
      <rgbColor rgb="FF1421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Répartition des 1 500 réponses</a:t>
            </a:r>
          </a:p>
        </c:rich>
      </c:tx>
      <c:overlay val="0"/>
      <c:spPr>
        <a:noFill/>
        <a:ln w="0">
          <a:noFill/>
        </a:ln>
      </c:spPr>
    </c:title>
    <c:autoTitleDeleted val="0"/>
    <c:plotArea>
      <c:barChart>
        <c:barDir val="bar"/>
        <c:grouping val="clustered"/>
        <c:varyColors val="0"/>
        <c:ser>
          <c:idx val="0"/>
          <c:order val="0"/>
          <c:tx>
            <c:strRef>
              <c:f>SYNTHESE!B21</c:f>
              <c:strCache>
                <c:ptCount val="1"/>
                <c:pt idx="0">
                  <c:v>Réponses</c:v>
                </c:pt>
              </c:strCache>
            </c:strRef>
          </c:tx>
          <c:spPr>
            <a:solidFill>
              <a:srgbClr val="4f81bd"/>
            </a:solidFill>
            <a:ln w="9360">
              <a:solidFill>
                <a:srgbClr val="f9f9f9"/>
              </a:solidFill>
              <a:round/>
            </a:ln>
          </c:spPr>
          <c:invertIfNegative val="0"/>
          <c:dPt>
            <c:idx val="0"/>
            <c:invertIfNegative val="0"/>
            <c:spPr>
              <a:solidFill>
                <a:srgbClr val="1baf7a"/>
              </a:solidFill>
              <a:ln w="9360">
                <a:noFill/>
              </a:ln>
            </c:spPr>
          </c:dPt>
          <c:dPt>
            <c:idx val="1"/>
            <c:invertIfNegative val="0"/>
            <c:spPr>
              <a:solidFill>
                <a:srgbClr val="e09a00"/>
              </a:solidFill>
              <a:ln w="9360">
                <a:noFill/>
              </a:ln>
            </c:spPr>
          </c:dPt>
          <c:dPt>
            <c:idx val="2"/>
            <c:invertIfNegative val="0"/>
            <c:spPr>
              <a:solidFill>
                <a:srgbClr val="d03b3b"/>
              </a:solidFill>
              <a:ln w="9360">
                <a:noFill/>
              </a:ln>
            </c:spPr>
          </c:dPt>
          <c:dPt>
            <c:idx val="3"/>
            <c:invertIfNegative val="0"/>
            <c:spPr>
              <a:solidFill>
                <a:srgbClr val="2a78d6"/>
              </a:solidFill>
              <a:ln w="9360">
                <a:noFill/>
              </a:ln>
            </c:spPr>
          </c:dPt>
          <c:dPt>
            <c:idx val="4"/>
            <c:invertIfNegative val="0"/>
            <c:spPr>
              <a:solidFill>
                <a:srgbClr val="86b6ef"/>
              </a:solidFill>
              <a:ln w="9360">
                <a:noFill/>
              </a:ln>
            </c:spPr>
          </c:dPt>
          <c:dPt>
            <c:idx val="5"/>
            <c:invertIfNegative val="0"/>
            <c:spPr>
              <a:solidFill>
                <a:srgbClr val="ec835a"/>
              </a:solidFill>
              <a:ln w="9360">
                <a:noFill/>
              </a:ln>
            </c:spPr>
          </c:dPt>
          <c:dPt>
            <c:idx val="6"/>
            <c:invertIfNegative val="0"/>
            <c:spPr>
              <a:solidFill>
                <a:srgbClr val="898781"/>
              </a:solidFill>
              <a:ln w="9360">
                <a:noFill/>
              </a:ln>
            </c:spPr>
          </c:dPt>
          <c:dPt>
            <c:idx val="7"/>
            <c:invertIfNegative val="0"/>
            <c:spPr>
              <a:solidFill>
                <a:srgbClr val="c3c2b7"/>
              </a:solidFill>
              <a:ln w="9360">
                <a:noFill/>
              </a:ln>
            </c:spPr>
          </c:dPt>
          <c:dLbls>
            <c:dLbl>
              <c:idx val="0"/>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2"/>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3"/>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4"/>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5"/>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6"/>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7"/>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SYNTHESE!$A$22:$A$29</c:f>
              <c:strCache>
                <c:ptCount val="8"/>
                <c:pt idx="0">
                  <c:v>Correct</c:v>
                </c:pt>
                <c:pt idx="1">
                  <c:v>Pas d’info à tort</c:v>
                </c:pt>
                <c:pt idx="2">
                  <c:v>Incorrect</c:v>
                </c:pt>
                <c:pt idx="3">
                  <c:v>Hors sujet</c:v>
                </c:pt>
                <c:pt idx="4">
                  <c:v>Abstention correcte</c:v>
                </c:pt>
                <c:pt idx="5">
                  <c:v>Valeur sur cellule vide</c:v>
                </c:pt>
                <c:pt idx="6">
                  <c:v>Échec technique</c:v>
                </c:pt>
                <c:pt idx="7">
                  <c:v>Non capturé</c:v>
                </c:pt>
              </c:strCache>
            </c:strRef>
          </c:cat>
          <c:val>
            <c:numRef>
              <c:f>SYNTHESE!$B$22:$B$29</c:f>
              <c:numCache>
                <c:formatCode>General</c:formatCode>
                <c:ptCount val="8"/>
                <c:pt idx="0">
                  <c:v>1107</c:v>
                </c:pt>
                <c:pt idx="1">
                  <c:v>186</c:v>
                </c:pt>
                <c:pt idx="2">
                  <c:v>49</c:v>
                </c:pt>
                <c:pt idx="3">
                  <c:v>26</c:v>
                </c:pt>
                <c:pt idx="4">
                  <c:v>111</c:v>
                </c:pt>
                <c:pt idx="5">
                  <c:v>4</c:v>
                </c:pt>
                <c:pt idx="6">
                  <c:v>2</c:v>
                </c:pt>
                <c:pt idx="7">
                  <c:v>15</c:v>
                </c:pt>
              </c:numCache>
            </c:numRef>
          </c:val>
        </c:ser>
        <c:gapWidth val="40"/>
        <c:overlap val="0"/>
        <c:axId val="72322991"/>
        <c:axId val="69505955"/>
      </c:barChart>
      <c:catAx>
        <c:axId val="72322991"/>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505955"/>
        <c:crosses val="autoZero"/>
        <c:auto val="1"/>
        <c:lblAlgn val="ctr"/>
        <c:lblOffset val="100"/>
        <c:noMultiLvlLbl val="0"/>
      </c:catAx>
      <c:valAx>
        <c:axId val="69505955"/>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232299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Résultats par famille de champs : répartition des réponses notées</a:t>
            </a:r>
          </a:p>
        </c:rich>
      </c:tx>
      <c:overlay val="0"/>
      <c:spPr>
        <a:noFill/>
        <a:ln w="0">
          <a:noFill/>
        </a:ln>
      </c:spPr>
    </c:title>
    <c:autoTitleDeleted val="0"/>
    <c:plotArea>
      <c:barChart>
        <c:barDir val="bar"/>
        <c:grouping val="percentStacked"/>
        <c:varyColors val="0"/>
        <c:ser>
          <c:idx val="0"/>
          <c:order val="0"/>
          <c:tx>
            <c:strRef>
              <c:f>PAR_FAMILLE!C4</c:f>
              <c:strCache>
                <c:ptCount val="1"/>
                <c:pt idx="0">
                  <c:v>Correct</c:v>
                </c:pt>
              </c:strCache>
            </c:strRef>
          </c:tx>
          <c:spPr>
            <a:solidFill>
              <a:srgbClr val="1baf7a"/>
            </a:solidFill>
            <a:ln w="936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PAR_FAMILLE!$A$5:$A$15</c:f>
              <c:strCache>
                <c:ptCount val="11"/>
                <c:pt idx="0">
                  <c:v>Risque</c:v>
                </c:pt>
                <c:pt idx="1">
                  <c:v>ESG / EET</c:v>
                </c:pt>
                <c:pt idx="2">
                  <c:v>Expertise et gamme</c:v>
                </c:pt>
                <c:pt idx="3">
                  <c:v>Frais et coûts</c:v>
                </c:pt>
                <c:pt idx="4">
                  <c:v>Textes longs</c:v>
                </c:pt>
                <c:pt idx="5">
                  <c:v>Juridique et réglementaire</c:v>
                </c:pt>
                <c:pt idx="6">
                  <c:v>Autres</c:v>
                </c:pt>
                <c:pt idx="7">
                  <c:v>Intervenants</c:v>
                </c:pt>
                <c:pt idx="8">
                  <c:v>Dates et VL</c:v>
                </c:pt>
                <c:pt idx="9">
                  <c:v>Identifiants</c:v>
                </c:pt>
                <c:pt idx="10">
                  <c:v>Gérants et dates de gestion</c:v>
                </c:pt>
              </c:strCache>
            </c:strRef>
          </c:cat>
          <c:val>
            <c:numRef>
              <c:f>PAR_FAMILLE!$C$5:$C$15</c:f>
              <c:numCache>
                <c:formatCode>General</c:formatCode>
                <c:ptCount val="11"/>
                <c:pt idx="0">
                  <c:v>53</c:v>
                </c:pt>
                <c:pt idx="1">
                  <c:v>203</c:v>
                </c:pt>
                <c:pt idx="2">
                  <c:v>107</c:v>
                </c:pt>
                <c:pt idx="3">
                  <c:v>159</c:v>
                </c:pt>
                <c:pt idx="4">
                  <c:v>66</c:v>
                </c:pt>
                <c:pt idx="5">
                  <c:v>149</c:v>
                </c:pt>
                <c:pt idx="6">
                  <c:v>59</c:v>
                </c:pt>
                <c:pt idx="7">
                  <c:v>164</c:v>
                </c:pt>
                <c:pt idx="8">
                  <c:v>46</c:v>
                </c:pt>
                <c:pt idx="9">
                  <c:v>19</c:v>
                </c:pt>
                <c:pt idx="10">
                  <c:v>82</c:v>
                </c:pt>
              </c:numCache>
            </c:numRef>
          </c:val>
        </c:ser>
        <c:ser>
          <c:idx val="1"/>
          <c:order val="1"/>
          <c:tx>
            <c:strRef>
              <c:f>PAR_FAMILLE!D4</c:f>
              <c:strCache>
                <c:ptCount val="1"/>
                <c:pt idx="0">
                  <c:v>« Aucune info » à tort</c:v>
                </c:pt>
              </c:strCache>
            </c:strRef>
          </c:tx>
          <c:spPr>
            <a:solidFill>
              <a:srgbClr val="e09a00"/>
            </a:solidFill>
            <a:ln w="936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PAR_FAMILLE!$A$5:$A$15</c:f>
              <c:strCache>
                <c:ptCount val="11"/>
                <c:pt idx="0">
                  <c:v>Risque</c:v>
                </c:pt>
                <c:pt idx="1">
                  <c:v>ESG / EET</c:v>
                </c:pt>
                <c:pt idx="2">
                  <c:v>Expertise et gamme</c:v>
                </c:pt>
                <c:pt idx="3">
                  <c:v>Frais et coûts</c:v>
                </c:pt>
                <c:pt idx="4">
                  <c:v>Textes longs</c:v>
                </c:pt>
                <c:pt idx="5">
                  <c:v>Juridique et réglementaire</c:v>
                </c:pt>
                <c:pt idx="6">
                  <c:v>Autres</c:v>
                </c:pt>
                <c:pt idx="7">
                  <c:v>Intervenants</c:v>
                </c:pt>
                <c:pt idx="8">
                  <c:v>Dates et VL</c:v>
                </c:pt>
                <c:pt idx="9">
                  <c:v>Identifiants</c:v>
                </c:pt>
                <c:pt idx="10">
                  <c:v>Gérants et dates de gestion</c:v>
                </c:pt>
              </c:strCache>
            </c:strRef>
          </c:cat>
          <c:val>
            <c:numRef>
              <c:f>PAR_FAMILLE!$D$5:$D$15</c:f>
              <c:numCache>
                <c:formatCode>General</c:formatCode>
                <c:ptCount val="11"/>
                <c:pt idx="0">
                  <c:v>56</c:v>
                </c:pt>
                <c:pt idx="1">
                  <c:v>38</c:v>
                </c:pt>
                <c:pt idx="2">
                  <c:v>22</c:v>
                </c:pt>
                <c:pt idx="3">
                  <c:v>16</c:v>
                </c:pt>
                <c:pt idx="4">
                  <c:v>11</c:v>
                </c:pt>
                <c:pt idx="5">
                  <c:v>13</c:v>
                </c:pt>
                <c:pt idx="6">
                  <c:v>7</c:v>
                </c:pt>
                <c:pt idx="7">
                  <c:v>15</c:v>
                </c:pt>
                <c:pt idx="8">
                  <c:v>3</c:v>
                </c:pt>
                <c:pt idx="9">
                  <c:v>1</c:v>
                </c:pt>
                <c:pt idx="10">
                  <c:v>4</c:v>
                </c:pt>
              </c:numCache>
            </c:numRef>
          </c:val>
        </c:ser>
        <c:ser>
          <c:idx val="2"/>
          <c:order val="2"/>
          <c:tx>
            <c:strRef>
              <c:f>PAR_FAMILLE!E4</c:f>
              <c:strCache>
                <c:ptCount val="1"/>
                <c:pt idx="0">
                  <c:v>Valeur fausse</c:v>
                </c:pt>
              </c:strCache>
            </c:strRef>
          </c:tx>
          <c:spPr>
            <a:solidFill>
              <a:srgbClr val="d03b3b"/>
            </a:solidFill>
            <a:ln w="936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PAR_FAMILLE!$A$5:$A$15</c:f>
              <c:strCache>
                <c:ptCount val="11"/>
                <c:pt idx="0">
                  <c:v>Risque</c:v>
                </c:pt>
                <c:pt idx="1">
                  <c:v>ESG / EET</c:v>
                </c:pt>
                <c:pt idx="2">
                  <c:v>Expertise et gamme</c:v>
                </c:pt>
                <c:pt idx="3">
                  <c:v>Frais et coûts</c:v>
                </c:pt>
                <c:pt idx="4">
                  <c:v>Textes longs</c:v>
                </c:pt>
                <c:pt idx="5">
                  <c:v>Juridique et réglementaire</c:v>
                </c:pt>
                <c:pt idx="6">
                  <c:v>Autres</c:v>
                </c:pt>
                <c:pt idx="7">
                  <c:v>Intervenants</c:v>
                </c:pt>
                <c:pt idx="8">
                  <c:v>Dates et VL</c:v>
                </c:pt>
                <c:pt idx="9">
                  <c:v>Identifiants</c:v>
                </c:pt>
                <c:pt idx="10">
                  <c:v>Gérants et dates de gestion</c:v>
                </c:pt>
              </c:strCache>
            </c:strRef>
          </c:cat>
          <c:val>
            <c:numRef>
              <c:f>PAR_FAMILLE!$E$5:$E$15</c:f>
              <c:numCache>
                <c:formatCode>General</c:formatCode>
                <c:ptCount val="11"/>
                <c:pt idx="0">
                  <c:v>0</c:v>
                </c:pt>
                <c:pt idx="1">
                  <c:v>17</c:v>
                </c:pt>
                <c:pt idx="2">
                  <c:v>4</c:v>
                </c:pt>
                <c:pt idx="3">
                  <c:v>14</c:v>
                </c:pt>
                <c:pt idx="4">
                  <c:v>1</c:v>
                </c:pt>
                <c:pt idx="5">
                  <c:v>6</c:v>
                </c:pt>
                <c:pt idx="6">
                  <c:v>1</c:v>
                </c:pt>
                <c:pt idx="7">
                  <c:v>3</c:v>
                </c:pt>
                <c:pt idx="8">
                  <c:v>1</c:v>
                </c:pt>
                <c:pt idx="9">
                  <c:v>1</c:v>
                </c:pt>
                <c:pt idx="10">
                  <c:v>1</c:v>
                </c:pt>
              </c:numCache>
            </c:numRef>
          </c:val>
        </c:ser>
        <c:ser>
          <c:idx val="3"/>
          <c:order val="3"/>
          <c:tx>
            <c:strRef>
              <c:f>PAR_FAMILLE!F4</c:f>
              <c:strCache>
                <c:ptCount val="1"/>
                <c:pt idx="0">
                  <c:v>Hors sujet</c:v>
                </c:pt>
              </c:strCache>
            </c:strRef>
          </c:tx>
          <c:spPr>
            <a:solidFill>
              <a:srgbClr val="2a78d6"/>
            </a:solidFill>
            <a:ln w="936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PAR_FAMILLE!$A$5:$A$15</c:f>
              <c:strCache>
                <c:ptCount val="11"/>
                <c:pt idx="0">
                  <c:v>Risque</c:v>
                </c:pt>
                <c:pt idx="1">
                  <c:v>ESG / EET</c:v>
                </c:pt>
                <c:pt idx="2">
                  <c:v>Expertise et gamme</c:v>
                </c:pt>
                <c:pt idx="3">
                  <c:v>Frais et coûts</c:v>
                </c:pt>
                <c:pt idx="4">
                  <c:v>Textes longs</c:v>
                </c:pt>
                <c:pt idx="5">
                  <c:v>Juridique et réglementaire</c:v>
                </c:pt>
                <c:pt idx="6">
                  <c:v>Autres</c:v>
                </c:pt>
                <c:pt idx="7">
                  <c:v>Intervenants</c:v>
                </c:pt>
                <c:pt idx="8">
                  <c:v>Dates et VL</c:v>
                </c:pt>
                <c:pt idx="9">
                  <c:v>Identifiants</c:v>
                </c:pt>
                <c:pt idx="10">
                  <c:v>Gérants et dates de gestion</c:v>
                </c:pt>
              </c:strCache>
            </c:strRef>
          </c:cat>
          <c:val>
            <c:numRef>
              <c:f>PAR_FAMILLE!$F$5:$F$15</c:f>
              <c:numCache>
                <c:formatCode>General</c:formatCode>
                <c:ptCount val="11"/>
                <c:pt idx="0">
                  <c:v>1</c:v>
                </c:pt>
                <c:pt idx="1">
                  <c:v>4</c:v>
                </c:pt>
                <c:pt idx="2">
                  <c:v>2</c:v>
                </c:pt>
                <c:pt idx="3">
                  <c:v>3</c:v>
                </c:pt>
                <c:pt idx="4">
                  <c:v>1</c:v>
                </c:pt>
                <c:pt idx="5">
                  <c:v>4</c:v>
                </c:pt>
                <c:pt idx="6">
                  <c:v>1</c:v>
                </c:pt>
                <c:pt idx="7">
                  <c:v>4</c:v>
                </c:pt>
                <c:pt idx="8">
                  <c:v>2</c:v>
                </c:pt>
                <c:pt idx="9">
                  <c:v>0</c:v>
                </c:pt>
                <c:pt idx="10">
                  <c:v>1</c:v>
                </c:pt>
              </c:numCache>
            </c:numRef>
          </c:val>
        </c:ser>
        <c:gapWidth val="40"/>
        <c:overlap val="100"/>
        <c:axId val="59572109"/>
        <c:axId val="31754991"/>
      </c:barChart>
      <c:catAx>
        <c:axId val="59572109"/>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754991"/>
        <c:crosses val="autoZero"/>
        <c:auto val="1"/>
        <c:lblAlgn val="ctr"/>
        <c:lblOffset val="100"/>
        <c:noMultiLvlLbl val="0"/>
      </c:catAx>
      <c:valAx>
        <c:axId val="31754991"/>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957210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Résultats par tour de conversation : répartition des réponses notées</a:t>
            </a:r>
          </a:p>
        </c:rich>
      </c:tx>
      <c:overlay val="0"/>
      <c:spPr>
        <a:noFill/>
        <a:ln w="0">
          <a:noFill/>
        </a:ln>
      </c:spPr>
    </c:title>
    <c:autoTitleDeleted val="0"/>
    <c:plotArea>
      <c:barChart>
        <c:barDir val="bar"/>
        <c:grouping val="percentStacked"/>
        <c:varyColors val="0"/>
        <c:ser>
          <c:idx val="0"/>
          <c:order val="0"/>
          <c:tx>
            <c:strRef>
              <c:f>PAR_TOUR!C4</c:f>
              <c:strCache>
                <c:ptCount val="1"/>
                <c:pt idx="0">
                  <c:v>Correct</c:v>
                </c:pt>
              </c:strCache>
            </c:strRef>
          </c:tx>
          <c:spPr>
            <a:solidFill>
              <a:srgbClr val="1baf7a"/>
            </a:solidFill>
            <a:ln w="936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PAR_TOUR!$A$5:$A$9</c:f>
              <c:strCache>
                <c:ptCount val="5"/>
                <c:pt idx="0">
                  <c:v>1</c:v>
                </c:pt>
                <c:pt idx="1">
                  <c:v>2</c:v>
                </c:pt>
                <c:pt idx="2">
                  <c:v>3</c:v>
                </c:pt>
                <c:pt idx="3">
                  <c:v>4</c:v>
                </c:pt>
                <c:pt idx="4">
                  <c:v>5</c:v>
                </c:pt>
              </c:strCache>
            </c:strRef>
          </c:cat>
          <c:val>
            <c:numRef>
              <c:f>PAR_TOUR!$C$5:$C$9</c:f>
              <c:numCache>
                <c:formatCode>General</c:formatCode>
                <c:ptCount val="5"/>
                <c:pt idx="0">
                  <c:v>235</c:v>
                </c:pt>
                <c:pt idx="1">
                  <c:v>237</c:v>
                </c:pt>
                <c:pt idx="2">
                  <c:v>201</c:v>
                </c:pt>
                <c:pt idx="3">
                  <c:v>186</c:v>
                </c:pt>
                <c:pt idx="4">
                  <c:v>248</c:v>
                </c:pt>
              </c:numCache>
            </c:numRef>
          </c:val>
        </c:ser>
        <c:ser>
          <c:idx val="1"/>
          <c:order val="1"/>
          <c:tx>
            <c:strRef>
              <c:f>PAR_TOUR!D4</c:f>
              <c:strCache>
                <c:ptCount val="1"/>
                <c:pt idx="0">
                  <c:v>« Aucune info » à tort</c:v>
                </c:pt>
              </c:strCache>
            </c:strRef>
          </c:tx>
          <c:spPr>
            <a:solidFill>
              <a:srgbClr val="e09a00"/>
            </a:solidFill>
            <a:ln w="936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PAR_TOUR!$A$5:$A$9</c:f>
              <c:strCache>
                <c:ptCount val="5"/>
                <c:pt idx="0">
                  <c:v>1</c:v>
                </c:pt>
                <c:pt idx="1">
                  <c:v>2</c:v>
                </c:pt>
                <c:pt idx="2">
                  <c:v>3</c:v>
                </c:pt>
                <c:pt idx="3">
                  <c:v>4</c:v>
                </c:pt>
                <c:pt idx="4">
                  <c:v>5</c:v>
                </c:pt>
              </c:strCache>
            </c:strRef>
          </c:cat>
          <c:val>
            <c:numRef>
              <c:f>PAR_TOUR!$D$5:$D$9</c:f>
              <c:numCache>
                <c:formatCode>General</c:formatCode>
                <c:ptCount val="5"/>
                <c:pt idx="0">
                  <c:v>43</c:v>
                </c:pt>
                <c:pt idx="1">
                  <c:v>40</c:v>
                </c:pt>
                <c:pt idx="2">
                  <c:v>46</c:v>
                </c:pt>
                <c:pt idx="3">
                  <c:v>25</c:v>
                </c:pt>
                <c:pt idx="4">
                  <c:v>32</c:v>
                </c:pt>
              </c:numCache>
            </c:numRef>
          </c:val>
        </c:ser>
        <c:ser>
          <c:idx val="2"/>
          <c:order val="2"/>
          <c:tx>
            <c:strRef>
              <c:f>PAR_TOUR!E4</c:f>
              <c:strCache>
                <c:ptCount val="1"/>
                <c:pt idx="0">
                  <c:v>Valeur fausse</c:v>
                </c:pt>
              </c:strCache>
            </c:strRef>
          </c:tx>
          <c:spPr>
            <a:solidFill>
              <a:srgbClr val="d03b3b"/>
            </a:solidFill>
            <a:ln w="936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PAR_TOUR!$A$5:$A$9</c:f>
              <c:strCache>
                <c:ptCount val="5"/>
                <c:pt idx="0">
                  <c:v>1</c:v>
                </c:pt>
                <c:pt idx="1">
                  <c:v>2</c:v>
                </c:pt>
                <c:pt idx="2">
                  <c:v>3</c:v>
                </c:pt>
                <c:pt idx="3">
                  <c:v>4</c:v>
                </c:pt>
                <c:pt idx="4">
                  <c:v>5</c:v>
                </c:pt>
              </c:strCache>
            </c:strRef>
          </c:cat>
          <c:val>
            <c:numRef>
              <c:f>PAR_TOUR!$E$5:$E$9</c:f>
              <c:numCache>
                <c:formatCode>General</c:formatCode>
                <c:ptCount val="5"/>
                <c:pt idx="0">
                  <c:v>9</c:v>
                </c:pt>
                <c:pt idx="1">
                  <c:v>11</c:v>
                </c:pt>
                <c:pt idx="2">
                  <c:v>8</c:v>
                </c:pt>
                <c:pt idx="3">
                  <c:v>6</c:v>
                </c:pt>
                <c:pt idx="4">
                  <c:v>15</c:v>
                </c:pt>
              </c:numCache>
            </c:numRef>
          </c:val>
        </c:ser>
        <c:ser>
          <c:idx val="3"/>
          <c:order val="3"/>
          <c:tx>
            <c:strRef>
              <c:f>PAR_TOUR!F4</c:f>
              <c:strCache>
                <c:ptCount val="1"/>
                <c:pt idx="0">
                  <c:v>Hors sujet</c:v>
                </c:pt>
              </c:strCache>
            </c:strRef>
          </c:tx>
          <c:spPr>
            <a:solidFill>
              <a:srgbClr val="2a78d6"/>
            </a:solidFill>
            <a:ln w="936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PAR_TOUR!$A$5:$A$9</c:f>
              <c:strCache>
                <c:ptCount val="5"/>
                <c:pt idx="0">
                  <c:v>1</c:v>
                </c:pt>
                <c:pt idx="1">
                  <c:v>2</c:v>
                </c:pt>
                <c:pt idx="2">
                  <c:v>3</c:v>
                </c:pt>
                <c:pt idx="3">
                  <c:v>4</c:v>
                </c:pt>
                <c:pt idx="4">
                  <c:v>5</c:v>
                </c:pt>
              </c:strCache>
            </c:strRef>
          </c:cat>
          <c:val>
            <c:numRef>
              <c:f>PAR_TOUR!$F$5:$F$9</c:f>
              <c:numCache>
                <c:formatCode>General</c:formatCode>
                <c:ptCount val="5"/>
                <c:pt idx="0">
                  <c:v>9</c:v>
                </c:pt>
                <c:pt idx="1">
                  <c:v>9</c:v>
                </c:pt>
                <c:pt idx="2">
                  <c:v>1</c:v>
                </c:pt>
                <c:pt idx="3">
                  <c:v>2</c:v>
                </c:pt>
                <c:pt idx="4">
                  <c:v>2</c:v>
                </c:pt>
              </c:numCache>
            </c:numRef>
          </c:val>
        </c:ser>
        <c:gapWidth val="40"/>
        <c:overlap val="100"/>
        <c:axId val="22210865"/>
        <c:axId val="15510424"/>
      </c:barChart>
      <c:catAx>
        <c:axId val="22210865"/>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5510424"/>
        <c:crosses val="autoZero"/>
        <c:auto val="1"/>
        <c:lblAlgn val="ctr"/>
        <c:lblOffset val="100"/>
        <c:noMultiLvlLbl val="0"/>
      </c:catAx>
      <c:valAx>
        <c:axId val="15510424"/>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2210865"/>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 de réponses justes sur les mêmes questions</a:t>
            </a:r>
          </a:p>
        </c:rich>
      </c:tx>
      <c:overlay val="0"/>
      <c:spPr>
        <a:noFill/>
        <a:ln w="0">
          <a:noFill/>
        </a:ln>
      </c:spPr>
    </c:title>
    <c:autoTitleDeleted val="0"/>
    <c:plotArea>
      <c:barChart>
        <c:barDir val="bar"/>
        <c:grouping val="clustered"/>
        <c:varyColors val="0"/>
        <c:ser>
          <c:idx val="0"/>
          <c:order val="0"/>
          <c:tx>
            <c:strRef>
              <c:f>COMPARAISON_SEPT!C4</c:f>
              <c:strCache>
                <c:ptCount val="1"/>
                <c:pt idx="0">
                  <c:v>% correct sept.</c:v>
                </c:pt>
              </c:strCache>
            </c:strRef>
          </c:tx>
          <c:spPr>
            <a:solidFill>
              <a:srgbClr val="898781"/>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COMPARAISON_SEPT!$A$5:$A$16</c:f>
              <c:strCache>
                <c:ptCount val="12"/>
                <c:pt idx="0">
                  <c:v>Risque</c:v>
                </c:pt>
                <c:pt idx="1">
                  <c:v>ESG / EET</c:v>
                </c:pt>
                <c:pt idx="2">
                  <c:v>Expertise et gamme</c:v>
                </c:pt>
                <c:pt idx="3">
                  <c:v>Frais et coûts</c:v>
                </c:pt>
                <c:pt idx="4">
                  <c:v>Textes longs</c:v>
                </c:pt>
                <c:pt idx="5">
                  <c:v>Juridique et réglementaire</c:v>
                </c:pt>
                <c:pt idx="6">
                  <c:v>Autres</c:v>
                </c:pt>
                <c:pt idx="7">
                  <c:v>Intervenants</c:v>
                </c:pt>
                <c:pt idx="8">
                  <c:v>Dates et VL</c:v>
                </c:pt>
                <c:pt idx="9">
                  <c:v>Identifiants</c:v>
                </c:pt>
                <c:pt idx="10">
                  <c:v>Gérants et dates de gestion</c:v>
                </c:pt>
                <c:pt idx="11">
                  <c:v>Ensemble</c:v>
                </c:pt>
              </c:strCache>
            </c:strRef>
          </c:cat>
          <c:val>
            <c:numRef>
              <c:f>COMPARAISON_SEPT!$C$5:$C$16</c:f>
              <c:numCache>
                <c:formatCode>0.0%</c:formatCode>
                <c:ptCount val="12"/>
                <c:pt idx="0">
                  <c:v>0.351351351351351</c:v>
                </c:pt>
                <c:pt idx="1">
                  <c:v>0.783505154639175</c:v>
                </c:pt>
                <c:pt idx="2">
                  <c:v>0.767123287671233</c:v>
                </c:pt>
                <c:pt idx="3">
                  <c:v>0.815789473684211</c:v>
                </c:pt>
                <c:pt idx="4">
                  <c:v>1</c:v>
                </c:pt>
                <c:pt idx="5">
                  <c:v>1</c:v>
                </c:pt>
                <c:pt idx="6">
                  <c:v>0.941176470588235</c:v>
                </c:pt>
                <c:pt idx="7">
                  <c:v>0.96875</c:v>
                </c:pt>
                <c:pt idx="8">
                  <c:v>1</c:v>
                </c:pt>
                <c:pt idx="9">
                  <c:v>1</c:v>
                </c:pt>
                <c:pt idx="10">
                  <c:v>0.982758620689655</c:v>
                </c:pt>
                <c:pt idx="11">
                  <c:v>0.860113421550095</c:v>
                </c:pt>
              </c:numCache>
            </c:numRef>
          </c:val>
        </c:ser>
        <c:ser>
          <c:idx val="1"/>
          <c:order val="1"/>
          <c:tx>
            <c:strRef>
              <c:f>COMPARAISON_SEPT!E4</c:f>
              <c:strCache>
                <c:ptCount val="1"/>
                <c:pt idx="0">
                  <c:v>% correct oct.</c:v>
                </c:pt>
              </c:strCache>
            </c:strRef>
          </c:tx>
          <c:spPr>
            <a:solidFill>
              <a:srgbClr val="1baf7a"/>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COMPARAISON_SEPT!$A$5:$A$16</c:f>
              <c:strCache>
                <c:ptCount val="12"/>
                <c:pt idx="0">
                  <c:v>Risque</c:v>
                </c:pt>
                <c:pt idx="1">
                  <c:v>ESG / EET</c:v>
                </c:pt>
                <c:pt idx="2">
                  <c:v>Expertise et gamme</c:v>
                </c:pt>
                <c:pt idx="3">
                  <c:v>Frais et coûts</c:v>
                </c:pt>
                <c:pt idx="4">
                  <c:v>Textes longs</c:v>
                </c:pt>
                <c:pt idx="5">
                  <c:v>Juridique et réglementaire</c:v>
                </c:pt>
                <c:pt idx="6">
                  <c:v>Autres</c:v>
                </c:pt>
                <c:pt idx="7">
                  <c:v>Intervenants</c:v>
                </c:pt>
                <c:pt idx="8">
                  <c:v>Dates et VL</c:v>
                </c:pt>
                <c:pt idx="9">
                  <c:v>Identifiants</c:v>
                </c:pt>
                <c:pt idx="10">
                  <c:v>Gérants et dates de gestion</c:v>
                </c:pt>
                <c:pt idx="11">
                  <c:v>Ensemble</c:v>
                </c:pt>
              </c:strCache>
            </c:strRef>
          </c:cat>
          <c:val>
            <c:numRef>
              <c:f>COMPARAISON_SEPT!$E$5:$E$16</c:f>
              <c:numCache>
                <c:formatCode>0.0%</c:formatCode>
                <c:ptCount val="12"/>
                <c:pt idx="0">
                  <c:v>0.368421052631579</c:v>
                </c:pt>
                <c:pt idx="1">
                  <c:v>0.78</c:v>
                </c:pt>
                <c:pt idx="2">
                  <c:v>0.864864864864865</c:v>
                </c:pt>
                <c:pt idx="3">
                  <c:v>0.918918918918919</c:v>
                </c:pt>
                <c:pt idx="4">
                  <c:v>0.8</c:v>
                </c:pt>
                <c:pt idx="5">
                  <c:v>0.9</c:v>
                </c:pt>
                <c:pt idx="6">
                  <c:v>0.882352941176471</c:v>
                </c:pt>
                <c:pt idx="7">
                  <c:v>0.885416666666667</c:v>
                </c:pt>
                <c:pt idx="8">
                  <c:v>0.888888888888889</c:v>
                </c:pt>
                <c:pt idx="9">
                  <c:v>0.857142857142857</c:v>
                </c:pt>
                <c:pt idx="10">
                  <c:v>0.913793103448276</c:v>
                </c:pt>
                <c:pt idx="11">
                  <c:v>0.831775700934579</c:v>
                </c:pt>
              </c:numCache>
            </c:numRef>
          </c:val>
        </c:ser>
        <c:gapWidth val="60"/>
        <c:overlap val="0"/>
        <c:axId val="60536150"/>
        <c:axId val="13935815"/>
      </c:barChart>
      <c:catAx>
        <c:axId val="60536150"/>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3935815"/>
        <c:crosses val="autoZero"/>
        <c:auto val="1"/>
        <c:lblAlgn val="ctr"/>
        <c:lblOffset val="100"/>
        <c:noMultiLvlLbl val="0"/>
      </c:catAx>
      <c:valAx>
        <c:axId val="13935815"/>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053615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Types d’erreur</a:t>
            </a:r>
          </a:p>
        </c:rich>
      </c:tx>
      <c:overlay val="0"/>
      <c:spPr>
        <a:noFill/>
        <a:ln w="0">
          <a:noFill/>
        </a:ln>
      </c:spPr>
    </c:title>
    <c:autoTitleDeleted val="0"/>
    <c:plotArea>
      <c:barChart>
        <c:barDir val="bar"/>
        <c:grouping val="clustered"/>
        <c:varyColors val="0"/>
        <c:ser>
          <c:idx val="0"/>
          <c:order val="0"/>
          <c:tx>
            <c:strRef>
              <c:f>ERREURS!M4</c:f>
              <c:strCache>
                <c:ptCount val="1"/>
                <c:pt idx="0">
                  <c:v>Réponses</c:v>
                </c:pt>
              </c:strCache>
            </c:strRef>
          </c:tx>
          <c:spPr>
            <a:solidFill>
              <a:srgbClr val="d03b3b"/>
            </a:solidFill>
            <a:ln w="9360">
              <a:solidFill>
                <a:srgbClr val="f9f9f9"/>
              </a:solidFill>
              <a:round/>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ERREURS!$L$5:$L$12</c:f>
              <c:strCache>
                <c:ptCount val="8"/>
                <c:pt idx="0">
                  <c:v>Réponse sur un autre fonds</c:v>
                </c:pt>
                <c:pt idx="1">
                  <c:v>Frais et coûts : autre valeur ou coût voisin</c:v>
                </c:pt>
                <c:pt idx="2">
                  <c:v>ESG / EET : champ voisin ou autre valeur</c:v>
                </c:pt>
                <c:pt idx="3">
                  <c:v>Autre valeur</c:v>
                </c:pt>
                <c:pt idx="4">
                  <c:v>Oui / non inversé</c:v>
                </c:pt>
                <c:pt idx="5">
                  <c:v>Autre intervenant</c:v>
                </c:pt>
                <c:pt idx="6">
                  <c:v>Niveau d'expertise voisin</c:v>
                </c:pt>
                <c:pt idx="7">
                  <c:v>Hors sujet</c:v>
                </c:pt>
              </c:strCache>
            </c:strRef>
          </c:cat>
          <c:val>
            <c:numRef>
              <c:f>ERREURS!$M$5:$M$12</c:f>
              <c:numCache>
                <c:formatCode>General</c:formatCode>
                <c:ptCount val="8"/>
                <c:pt idx="0">
                  <c:v>15</c:v>
                </c:pt>
                <c:pt idx="1">
                  <c:v>11</c:v>
                </c:pt>
                <c:pt idx="2">
                  <c:v>6</c:v>
                </c:pt>
                <c:pt idx="3">
                  <c:v>6</c:v>
                </c:pt>
                <c:pt idx="4">
                  <c:v>5</c:v>
                </c:pt>
                <c:pt idx="5">
                  <c:v>3</c:v>
                </c:pt>
                <c:pt idx="6">
                  <c:v>3</c:v>
                </c:pt>
                <c:pt idx="7">
                  <c:v>26</c:v>
                </c:pt>
              </c:numCache>
            </c:numRef>
          </c:val>
        </c:ser>
        <c:gapWidth val="40"/>
        <c:overlap val="0"/>
        <c:axId val="1405501"/>
        <c:axId val="53270621"/>
      </c:barChart>
      <c:catAx>
        <c:axId val="1405501"/>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3270621"/>
        <c:crosses val="autoZero"/>
        <c:auto val="1"/>
        <c:lblAlgn val="ctr"/>
        <c:lblOffset val="100"/>
        <c:noMultiLvlLbl val="0"/>
      </c:catAx>
      <c:valAx>
        <c:axId val="53270621"/>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40550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Chats ouverts par heure</a:t>
            </a:r>
          </a:p>
        </c:rich>
      </c:tx>
      <c:overlay val="0"/>
      <c:spPr>
        <a:noFill/>
        <a:ln w="0">
          <a:noFill/>
        </a:ln>
      </c:spPr>
    </c:title>
    <c:autoTitleDeleted val="0"/>
    <c:plotArea>
      <c:barChart>
        <c:barDir val="col"/>
        <c:grouping val="stacked"/>
        <c:varyColors val="0"/>
        <c:ser>
          <c:idx val="0"/>
          <c:order val="0"/>
          <c:tx>
            <c:strRef>
              <c:f>COLLECTE!C4</c:f>
              <c:strCache>
                <c:ptCount val="1"/>
                <c:pt idx="0">
                  <c:v>Complets</c:v>
                </c:pt>
              </c:strCache>
            </c:strRef>
          </c:tx>
          <c:spPr>
            <a:solidFill>
              <a:srgbClr val="1baf7a"/>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COLLECTE!$F$5:$F$32</c:f>
              <c:strCache>
                <c:ptCount val="28"/>
                <c:pt idx="0">
                  <c:v>14/10 18h</c:v>
                </c:pt>
                <c:pt idx="1">
                  <c:v>14/10 19h</c:v>
                </c:pt>
                <c:pt idx="2">
                  <c:v>14/10 20h</c:v>
                </c:pt>
                <c:pt idx="3">
                  <c:v>14/10 21h</c:v>
                </c:pt>
                <c:pt idx="4">
                  <c:v>14/10 22h</c:v>
                </c:pt>
                <c:pt idx="5">
                  <c:v>14/10 23h</c:v>
                </c:pt>
                <c:pt idx="6">
                  <c:v>15/10 00h</c:v>
                </c:pt>
                <c:pt idx="7">
                  <c:v>15/10 01h</c:v>
                </c:pt>
                <c:pt idx="8">
                  <c:v>15/10 09h</c:v>
                </c:pt>
                <c:pt idx="9">
                  <c:v>15/10 10h</c:v>
                </c:pt>
                <c:pt idx="10">
                  <c:v>15/10 11h</c:v>
                </c:pt>
                <c:pt idx="11">
                  <c:v>15/10 12h</c:v>
                </c:pt>
                <c:pt idx="12">
                  <c:v>15/10 13h</c:v>
                </c:pt>
                <c:pt idx="13">
                  <c:v>15/10 14h</c:v>
                </c:pt>
                <c:pt idx="14">
                  <c:v>15/10 15h</c:v>
                </c:pt>
                <c:pt idx="15">
                  <c:v>15/10 16h</c:v>
                </c:pt>
                <c:pt idx="16">
                  <c:v>15/10 17h</c:v>
                </c:pt>
                <c:pt idx="17">
                  <c:v>15/10 18h</c:v>
                </c:pt>
                <c:pt idx="18">
                  <c:v>15/10 19h</c:v>
                </c:pt>
                <c:pt idx="19">
                  <c:v>15/10 20h</c:v>
                </c:pt>
                <c:pt idx="20">
                  <c:v>15/10 21h</c:v>
                </c:pt>
                <c:pt idx="21">
                  <c:v>15/10 22h</c:v>
                </c:pt>
                <c:pt idx="22">
                  <c:v>15/10 23h</c:v>
                </c:pt>
                <c:pt idx="23">
                  <c:v>16/10 00h</c:v>
                </c:pt>
                <c:pt idx="24">
                  <c:v>16/10 01h</c:v>
                </c:pt>
                <c:pt idx="25">
                  <c:v>16/10 02h</c:v>
                </c:pt>
                <c:pt idx="26">
                  <c:v>16/10 03h</c:v>
                </c:pt>
                <c:pt idx="27">
                  <c:v>16/10 04h</c:v>
                </c:pt>
              </c:strCache>
            </c:strRef>
          </c:cat>
          <c:val>
            <c:numRef>
              <c:f>COLLECTE!$C$5:$C$32</c:f>
              <c:numCache>
                <c:formatCode>General</c:formatCode>
                <c:ptCount val="28"/>
                <c:pt idx="0">
                  <c:v>1</c:v>
                </c:pt>
                <c:pt idx="1">
                  <c:v>7</c:v>
                </c:pt>
                <c:pt idx="2">
                  <c:v>3</c:v>
                </c:pt>
                <c:pt idx="3">
                  <c:v>2</c:v>
                </c:pt>
                <c:pt idx="4">
                  <c:v>0</c:v>
                </c:pt>
                <c:pt idx="5">
                  <c:v>2</c:v>
                </c:pt>
                <c:pt idx="6">
                  <c:v>1</c:v>
                </c:pt>
                <c:pt idx="7">
                  <c:v>0</c:v>
                </c:pt>
                <c:pt idx="8">
                  <c:v>6</c:v>
                </c:pt>
                <c:pt idx="9">
                  <c:v>14</c:v>
                </c:pt>
                <c:pt idx="10">
                  <c:v>9</c:v>
                </c:pt>
                <c:pt idx="11">
                  <c:v>3</c:v>
                </c:pt>
                <c:pt idx="12">
                  <c:v>6</c:v>
                </c:pt>
                <c:pt idx="13">
                  <c:v>23</c:v>
                </c:pt>
                <c:pt idx="14">
                  <c:v>22</c:v>
                </c:pt>
                <c:pt idx="15">
                  <c:v>22</c:v>
                </c:pt>
                <c:pt idx="16">
                  <c:v>19</c:v>
                </c:pt>
                <c:pt idx="17">
                  <c:v>16</c:v>
                </c:pt>
                <c:pt idx="18">
                  <c:v>19</c:v>
                </c:pt>
                <c:pt idx="19">
                  <c:v>11</c:v>
                </c:pt>
                <c:pt idx="20">
                  <c:v>19</c:v>
                </c:pt>
                <c:pt idx="21">
                  <c:v>12</c:v>
                </c:pt>
                <c:pt idx="22">
                  <c:v>16</c:v>
                </c:pt>
                <c:pt idx="23">
                  <c:v>16</c:v>
                </c:pt>
                <c:pt idx="24">
                  <c:v>8</c:v>
                </c:pt>
                <c:pt idx="25">
                  <c:v>15</c:v>
                </c:pt>
                <c:pt idx="26">
                  <c:v>17</c:v>
                </c:pt>
                <c:pt idx="27">
                  <c:v>8</c:v>
                </c:pt>
              </c:numCache>
            </c:numRef>
          </c:val>
        </c:ser>
        <c:ser>
          <c:idx val="1"/>
          <c:order val="1"/>
          <c:tx>
            <c:strRef>
              <c:f>COLLECTE!D4</c:f>
              <c:strCache>
                <c:ptCount val="1"/>
                <c:pt idx="0">
                  <c:v>Interrompus</c:v>
                </c:pt>
              </c:strCache>
            </c:strRef>
          </c:tx>
          <c:spPr>
            <a:solidFill>
              <a:srgbClr val="d03b3b"/>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COLLECTE!$F$5:$F$32</c:f>
              <c:strCache>
                <c:ptCount val="28"/>
                <c:pt idx="0">
                  <c:v>14/10 18h</c:v>
                </c:pt>
                <c:pt idx="1">
                  <c:v>14/10 19h</c:v>
                </c:pt>
                <c:pt idx="2">
                  <c:v>14/10 20h</c:v>
                </c:pt>
                <c:pt idx="3">
                  <c:v>14/10 21h</c:v>
                </c:pt>
                <c:pt idx="4">
                  <c:v>14/10 22h</c:v>
                </c:pt>
                <c:pt idx="5">
                  <c:v>14/10 23h</c:v>
                </c:pt>
                <c:pt idx="6">
                  <c:v>15/10 00h</c:v>
                </c:pt>
                <c:pt idx="7">
                  <c:v>15/10 01h</c:v>
                </c:pt>
                <c:pt idx="8">
                  <c:v>15/10 09h</c:v>
                </c:pt>
                <c:pt idx="9">
                  <c:v>15/10 10h</c:v>
                </c:pt>
                <c:pt idx="10">
                  <c:v>15/10 11h</c:v>
                </c:pt>
                <c:pt idx="11">
                  <c:v>15/10 12h</c:v>
                </c:pt>
                <c:pt idx="12">
                  <c:v>15/10 13h</c:v>
                </c:pt>
                <c:pt idx="13">
                  <c:v>15/10 14h</c:v>
                </c:pt>
                <c:pt idx="14">
                  <c:v>15/10 15h</c:v>
                </c:pt>
                <c:pt idx="15">
                  <c:v>15/10 16h</c:v>
                </c:pt>
                <c:pt idx="16">
                  <c:v>15/10 17h</c:v>
                </c:pt>
                <c:pt idx="17">
                  <c:v>15/10 18h</c:v>
                </c:pt>
                <c:pt idx="18">
                  <c:v>15/10 19h</c:v>
                </c:pt>
                <c:pt idx="19">
                  <c:v>15/10 20h</c:v>
                </c:pt>
                <c:pt idx="20">
                  <c:v>15/10 21h</c:v>
                </c:pt>
                <c:pt idx="21">
                  <c:v>15/10 22h</c:v>
                </c:pt>
                <c:pt idx="22">
                  <c:v>15/10 23h</c:v>
                </c:pt>
                <c:pt idx="23">
                  <c:v>16/10 00h</c:v>
                </c:pt>
                <c:pt idx="24">
                  <c:v>16/10 01h</c:v>
                </c:pt>
                <c:pt idx="25">
                  <c:v>16/10 02h</c:v>
                </c:pt>
                <c:pt idx="26">
                  <c:v>16/10 03h</c:v>
                </c:pt>
                <c:pt idx="27">
                  <c:v>16/10 04h</c:v>
                </c:pt>
              </c:strCache>
            </c:strRef>
          </c:cat>
          <c:val>
            <c:numRef>
              <c:f>COLLECTE!$D$5:$D$32</c:f>
              <c:numCache>
                <c:formatCode>General</c:formatCode>
                <c:ptCount val="28"/>
                <c:pt idx="0">
                  <c:v>2</c:v>
                </c:pt>
                <c:pt idx="1">
                  <c:v>7</c:v>
                </c:pt>
                <c:pt idx="2">
                  <c:v>8</c:v>
                </c:pt>
                <c:pt idx="3">
                  <c:v>9</c:v>
                </c:pt>
                <c:pt idx="4">
                  <c:v>7</c:v>
                </c:pt>
                <c:pt idx="5">
                  <c:v>8</c:v>
                </c:pt>
                <c:pt idx="6">
                  <c:v>7</c:v>
                </c:pt>
                <c:pt idx="7">
                  <c:v>8</c:v>
                </c:pt>
                <c:pt idx="8">
                  <c:v>0</c:v>
                </c:pt>
                <c:pt idx="9">
                  <c:v>4</c:v>
                </c:pt>
                <c:pt idx="10">
                  <c:v>6</c:v>
                </c:pt>
                <c:pt idx="11">
                  <c:v>6</c:v>
                </c:pt>
                <c:pt idx="12">
                  <c:v>7</c:v>
                </c:pt>
                <c:pt idx="13">
                  <c:v>0</c:v>
                </c:pt>
                <c:pt idx="14">
                  <c:v>0</c:v>
                </c:pt>
                <c:pt idx="15">
                  <c:v>1</c:v>
                </c:pt>
                <c:pt idx="16">
                  <c:v>2</c:v>
                </c:pt>
                <c:pt idx="17">
                  <c:v>2</c:v>
                </c:pt>
                <c:pt idx="18">
                  <c:v>2</c:v>
                </c:pt>
                <c:pt idx="19">
                  <c:v>5</c:v>
                </c:pt>
                <c:pt idx="20">
                  <c:v>3</c:v>
                </c:pt>
                <c:pt idx="21">
                  <c:v>5</c:v>
                </c:pt>
                <c:pt idx="22">
                  <c:v>4</c:v>
                </c:pt>
                <c:pt idx="23">
                  <c:v>4</c:v>
                </c:pt>
                <c:pt idx="24">
                  <c:v>6</c:v>
                </c:pt>
                <c:pt idx="25">
                  <c:v>4</c:v>
                </c:pt>
                <c:pt idx="26">
                  <c:v>3</c:v>
                </c:pt>
                <c:pt idx="27">
                  <c:v>1</c:v>
                </c:pt>
              </c:numCache>
            </c:numRef>
          </c:val>
        </c:ser>
        <c:gapWidth val="30"/>
        <c:overlap val="100"/>
        <c:axId val="99618921"/>
        <c:axId val="31800498"/>
      </c:barChart>
      <c:catAx>
        <c:axId val="9961892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800498"/>
        <c:crosses val="autoZero"/>
        <c:auto val="1"/>
        <c:lblAlgn val="ctr"/>
        <c:lblOffset val="100"/>
        <c:noMultiLvlLbl val="0"/>
      </c:catAx>
      <c:valAx>
        <c:axId val="31800498"/>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961892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Latence médiane par tour (s)</a:t>
            </a:r>
          </a:p>
        </c:rich>
      </c:tx>
      <c:overlay val="0"/>
      <c:spPr>
        <a:noFill/>
        <a:ln w="0">
          <a:noFill/>
        </a:ln>
      </c:spPr>
    </c:title>
    <c:autoTitleDeleted val="0"/>
    <c:plotArea>
      <c:barChart>
        <c:barDir val="col"/>
        <c:grouping val="clustered"/>
        <c:varyColors val="0"/>
        <c:ser>
          <c:idx val="0"/>
          <c:order val="0"/>
          <c:tx>
            <c:strRef>
              <c:f>COLLECTE!C35</c:f>
              <c:strCache>
                <c:ptCount val="1"/>
                <c:pt idx="0">
                  <c:v>Latence médiane (s)</c:v>
                </c:pt>
              </c:strCache>
            </c:strRef>
          </c:tx>
          <c:spPr>
            <a:solidFill>
              <a:srgbClr val="2a78d6"/>
            </a:solidFill>
            <a:ln w="9360">
              <a:solidFill>
                <a:srgbClr val="f9f9f9"/>
              </a:solidFill>
              <a:round/>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COLLECTE!$A$36:$A$40</c:f>
              <c:strCache>
                <c:ptCount val="5"/>
                <c:pt idx="0">
                  <c:v>1</c:v>
                </c:pt>
                <c:pt idx="1">
                  <c:v>2</c:v>
                </c:pt>
                <c:pt idx="2">
                  <c:v>3</c:v>
                </c:pt>
                <c:pt idx="3">
                  <c:v>4</c:v>
                </c:pt>
                <c:pt idx="4">
                  <c:v>5</c:v>
                </c:pt>
              </c:strCache>
            </c:strRef>
          </c:cat>
          <c:val>
            <c:numRef>
              <c:f>COLLECTE!$C$36:$C$40</c:f>
              <c:numCache>
                <c:formatCode>0.0</c:formatCode>
                <c:ptCount val="5"/>
                <c:pt idx="0">
                  <c:v>34.4</c:v>
                </c:pt>
                <c:pt idx="1">
                  <c:v>11.7</c:v>
                </c:pt>
                <c:pt idx="2">
                  <c:v>12</c:v>
                </c:pt>
                <c:pt idx="3">
                  <c:v>11.2</c:v>
                </c:pt>
                <c:pt idx="4">
                  <c:v>10.9</c:v>
                </c:pt>
              </c:numCache>
            </c:numRef>
          </c:val>
        </c:ser>
        <c:gapWidth val="60"/>
        <c:overlap val="0"/>
        <c:axId val="43446866"/>
        <c:axId val="34705682"/>
      </c:barChart>
      <c:catAx>
        <c:axId val="4344686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705682"/>
        <c:crosses val="autoZero"/>
        <c:auto val="1"/>
        <c:lblAlgn val="ctr"/>
        <c:lblOffset val="100"/>
        <c:noMultiLvlLbl val="0"/>
      </c:catAx>
      <c:valAx>
        <c:axId val="34705682"/>
        <c:scaling>
          <c:orientation val="minMax"/>
        </c:scaling>
        <c:delete val="0"/>
        <c:axPos val="l"/>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344686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
</Relationships>
</file>

<file path=xl/drawings/_rels/drawing4.xml.rels><?xml version="1.0" encoding="UTF-8"?>
<Relationships xmlns="http://schemas.openxmlformats.org/package/2006/relationships"><Relationship Id="rId1" Type="http://schemas.openxmlformats.org/officeDocument/2006/relationships/chart" Target="../charts/chart4.xml"/>
</Relationships>
</file>

<file path=xl/drawings/_rels/drawing5.xml.rels><?xml version="1.0" encoding="UTF-8"?>
<Relationships xmlns="http://schemas.openxmlformats.org/package/2006/relationships"><Relationship Id="rId1" Type="http://schemas.openxmlformats.org/officeDocument/2006/relationships/chart" Target="../charts/chart5.xml"/>
</Relationships>
</file>

<file path=xl/drawings/_rels/drawing7.xml.rels><?xml version="1.0" encoding="UTF-8"?>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1</xdr:row>
      <xdr:rowOff>145440</xdr:rowOff>
    </xdr:from>
    <xdr:to>
      <xdr:col>13</xdr:col>
      <xdr:colOff>255960</xdr:colOff>
      <xdr:row>16</xdr:row>
      <xdr:rowOff>167400</xdr:rowOff>
    </xdr:to>
    <xdr:graphicFrame>
      <xdr:nvGraphicFramePr>
        <xdr:cNvPr id="0" name="Chart 1"/>
        <xdr:cNvGraphicFramePr/>
      </xdr:nvGraphicFramePr>
      <xdr:xfrm>
        <a:off x="9210600" y="38088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0</xdr:colOff>
      <xdr:row>2</xdr:row>
      <xdr:rowOff>145440</xdr:rowOff>
    </xdr:from>
    <xdr:to>
      <xdr:col>24</xdr:col>
      <xdr:colOff>581400</xdr:colOff>
      <xdr:row>19</xdr:row>
      <xdr:rowOff>52200</xdr:rowOff>
    </xdr:to>
    <xdr:graphicFrame>
      <xdr:nvGraphicFramePr>
        <xdr:cNvPr id="1" name="Chart 1"/>
        <xdr:cNvGraphicFramePr/>
      </xdr:nvGraphicFramePr>
      <xdr:xfrm>
        <a:off x="10267920" y="571680"/>
        <a:ext cx="7919640" cy="3257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0</xdr:colOff>
      <xdr:row>2</xdr:row>
      <xdr:rowOff>145440</xdr:rowOff>
    </xdr:from>
    <xdr:to>
      <xdr:col>24</xdr:col>
      <xdr:colOff>581400</xdr:colOff>
      <xdr:row>15</xdr:row>
      <xdr:rowOff>76320</xdr:rowOff>
    </xdr:to>
    <xdr:graphicFrame>
      <xdr:nvGraphicFramePr>
        <xdr:cNvPr id="2" name="Chart 1"/>
        <xdr:cNvGraphicFramePr/>
      </xdr:nvGraphicFramePr>
      <xdr:xfrm>
        <a:off x="10267920" y="571680"/>
        <a:ext cx="791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2</xdr:row>
      <xdr:rowOff>145440</xdr:rowOff>
    </xdr:from>
    <xdr:to>
      <xdr:col>18</xdr:col>
      <xdr:colOff>473040</xdr:colOff>
      <xdr:row>22</xdr:row>
      <xdr:rowOff>182880</xdr:rowOff>
    </xdr:to>
    <xdr:graphicFrame>
      <xdr:nvGraphicFramePr>
        <xdr:cNvPr id="3" name="Chart 1"/>
        <xdr:cNvGraphicFramePr/>
      </xdr:nvGraphicFramePr>
      <xdr:xfrm>
        <a:off x="7518960" y="571680"/>
        <a:ext cx="719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9</xdr:row>
      <xdr:rowOff>90720</xdr:rowOff>
    </xdr:from>
    <xdr:to>
      <xdr:col>16</xdr:col>
      <xdr:colOff>400680</xdr:colOff>
      <xdr:row>16</xdr:row>
      <xdr:rowOff>423360</xdr:rowOff>
    </xdr:to>
    <xdr:graphicFrame>
      <xdr:nvGraphicFramePr>
        <xdr:cNvPr id="4" name="Chart 1"/>
        <xdr:cNvGraphicFramePr/>
      </xdr:nvGraphicFramePr>
      <xdr:xfrm>
        <a:off x="20770200" y="266688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2</xdr:row>
      <xdr:rowOff>145440</xdr:rowOff>
    </xdr:from>
    <xdr:to>
      <xdr:col>21</xdr:col>
      <xdr:colOff>78840</xdr:colOff>
      <xdr:row>19</xdr:row>
      <xdr:rowOff>34200</xdr:rowOff>
    </xdr:to>
    <xdr:graphicFrame>
      <xdr:nvGraphicFramePr>
        <xdr:cNvPr id="5" name="Chart 1"/>
        <xdr:cNvGraphicFramePr/>
      </xdr:nvGraphicFramePr>
      <xdr:xfrm>
        <a:off x="6039000" y="571680"/>
        <a:ext cx="863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32</xdr:row>
      <xdr:rowOff>33120</xdr:rowOff>
    </xdr:from>
    <xdr:to>
      <xdr:col>15</xdr:col>
      <xdr:colOff>147600</xdr:colOff>
      <xdr:row>44</xdr:row>
      <xdr:rowOff>154440</xdr:rowOff>
    </xdr:to>
    <xdr:graphicFrame>
      <xdr:nvGraphicFramePr>
        <xdr:cNvPr id="6" name="Chart 2"/>
        <xdr:cNvGraphicFramePr/>
      </xdr:nvGraphicFramePr>
      <xdr:xfrm>
        <a:off x="6039000" y="6286680"/>
        <a:ext cx="5039640" cy="25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1" name="Donnees" displayName="Donnees" ref="A1:T1501" headerRowCount="1" totalsRowCount="0" totalsRowShown="0">
  <autoFilter ref="A1:T1501"/>
  <tableColumns count="20">
    <tableColumn id="1" name="ID question"/>
    <tableColumn id="2" name="Conversation"/>
    <tableColumn id="3" name="Tour"/>
    <tableColumn id="4" name="Groupe"/>
    <tableColumn id="5" name="Famille de champs"/>
    <tableColumn id="6" name="Produit"/>
    <tableColumn id="7" name="Champ"/>
    <tableColumn id="8" name="Statut GT"/>
    <tableColumn id="9" name="Question posée"/>
    <tableColumn id="10" name="Valeur attendue (base)"/>
    <tableColumn id="11" name="Réponse de l’agent"/>
    <tableColumn id="12" name="Verdict"/>
    <tableColumn id="13" name="Motif"/>
    <tableColumn id="14" name="Source du verdict"/>
    <tableColumn id="15" name="Latence (s)"/>
    <tableColumn id="16" name="Tentative"/>
    <tableColumn id="17" name="Capture (heure de Paris)"/>
    <tableColumn id="18" name="Verdict septembre"/>
    <tableColumn id="19" name="Comparable septembre"/>
    <tableColumn id="20" name="Évolution"/>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10.xml.rels><?xml version="1.0" encoding="UTF-8"?>
<Relationships xmlns="http://schemas.openxmlformats.org/package/2006/relationships"><Relationship Id="rId1" Type="http://schemas.openxmlformats.org/officeDocument/2006/relationships/drawing" Target="../drawings/drawing4.xml"/>
</Relationships>
</file>

<file path=xl/worksheets/_rels/sheet11.xml.rels><?xml version="1.0" encoding="UTF-8"?>
<Relationships xmlns="http://schemas.openxmlformats.org/package/2006/relationships"><Relationship Id="rId1" Type="http://schemas.openxmlformats.org/officeDocument/2006/relationships/drawing" Target="../drawings/drawing5.xml"/>
</Relationships>
</file>

<file path=xl/worksheets/_rels/sheet12.xml.rels><?xml version="1.0" encoding="UTF-8"?>
<Relationships xmlns="http://schemas.openxmlformats.org/package/2006/relationships"><Relationship Id="rId1" Type="http://schemas.openxmlformats.org/officeDocument/2006/relationships/drawing" Target="../drawings/drawing6.xml"/>
</Relationships>
</file>

<file path=xl/worksheets/_rels/sheet13.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3" min="3" style="0" width="62"/>
  </cols>
  <sheetData>
    <row r="1" customFormat="false" ht="18.5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c r="B3" s="3" t="s">
        <v>3</v>
      </c>
      <c r="C3" s="3" t="s">
        <v>4</v>
      </c>
    </row>
    <row r="4" customFormat="false" ht="15" hidden="false" customHeight="false" outlineLevel="0" collapsed="false">
      <c r="A4" s="4" t="s">
        <v>5</v>
      </c>
      <c r="B4" s="5" t="n">
        <f aca="false">COUNTA(DONNEES!$A$2:$A$1501)</f>
        <v>1500</v>
      </c>
      <c r="C4" s="6"/>
    </row>
    <row r="5" customFormat="false" ht="15" hidden="false" customHeight="false" outlineLevel="0" collapsed="false">
      <c r="A5" s="4" t="s">
        <v>6</v>
      </c>
      <c r="B5" s="5" t="n">
        <f aca="false">B4-COUNTIFS(DONNEES!$L$2:$L$1501,"Non capturé")</f>
        <v>1485</v>
      </c>
      <c r="C5" s="6" t="s">
        <v>7</v>
      </c>
    </row>
    <row r="6" customFormat="false" ht="15" hidden="false" customHeight="false" outlineLevel="0" collapsed="false">
      <c r="A6" s="4" t="s">
        <v>8</v>
      </c>
      <c r="B6" s="5" t="n">
        <f aca="false">COUNTIFS(DONNEES!$H$2:$H$1501,"NOTABLE",DONNEES!$L$2:$L$1501,"Correct")+COUNTIFS(DONNEES!$H$2:$H$1501,"NOTABLE",DONNEES!$L$2:$L$1501,"Pas d’info à tort")+COUNTIFS(DONNEES!$H$2:$H$1501,"NOTABLE",DONNEES!$L$2:$L$1501,"Incorrect")+COUNTIFS(DONNEES!$H$2:$H$1501,"NOTABLE",DONNEES!$L$2:$L$1501,"Hors sujet")</f>
        <v>1365</v>
      </c>
      <c r="C6" s="6" t="s">
        <v>9</v>
      </c>
    </row>
    <row r="7" customFormat="false" ht="15" hidden="false" customHeight="false" outlineLevel="0" collapsed="false">
      <c r="A7" s="7" t="s">
        <v>10</v>
      </c>
      <c r="B7" s="8" t="n">
        <f aca="false">COUNTIFS(DONNEES!$H$2:$H$1501,"NOTABLE",DONNEES!$L$2:$L$1501,"Correct")/B6</f>
        <v>0.810989010989011</v>
      </c>
      <c r="C7" s="6" t="s">
        <v>11</v>
      </c>
    </row>
    <row r="8" customFormat="false" ht="15" hidden="false" customHeight="false" outlineLevel="0" collapsed="false">
      <c r="A8" s="7" t="s">
        <v>12</v>
      </c>
      <c r="B8" s="8" t="n">
        <f aca="false">COUNTIFS(DONNEES!$H$2:$H$1501,"NOTABLE",DONNEES!$L$2:$L$1501,"Pas d’info à tort")/B6</f>
        <v>0.136263736263736</v>
      </c>
      <c r="C8" s="6" t="s">
        <v>13</v>
      </c>
    </row>
    <row r="9" customFormat="false" ht="15" hidden="false" customHeight="false" outlineLevel="0" collapsed="false">
      <c r="A9" s="4" t="s">
        <v>14</v>
      </c>
      <c r="B9" s="8" t="n">
        <f aca="false">COUNTIFS(DONNEES!$H$2:$H$1501,"NOTABLE",DONNEES!$L$2:$L$1501,"Incorrect")/B6</f>
        <v>0.0358974358974359</v>
      </c>
      <c r="C9" s="6" t="s">
        <v>15</v>
      </c>
    </row>
    <row r="10" customFormat="false" ht="15" hidden="false" customHeight="false" outlineLevel="0" collapsed="false">
      <c r="A10" s="4" t="s">
        <v>16</v>
      </c>
      <c r="B10" s="8" t="n">
        <f aca="false">COUNTIFS(DONNEES!$H$2:$H$1501,"NOTABLE",DONNEES!$L$2:$L$1501,"Hors sujet")/B6</f>
        <v>0.0168498168498169</v>
      </c>
      <c r="C10" s="6" t="s">
        <v>17</v>
      </c>
    </row>
    <row r="11" customFormat="false" ht="15" hidden="false" customHeight="false" outlineLevel="0" collapsed="false">
      <c r="A11" s="4" t="s">
        <v>18</v>
      </c>
      <c r="B11" s="8" t="n">
        <f aca="false">COUNTIFS(DONNEES!$H$2:$H$1501,"NOTABLE",DONNEES!$L$2:$L$1501,"Correct")/(COUNTIFS(DONNEES!$H$2:$H$1501,"NOTABLE",DONNEES!$L$2:$L$1501,"Correct")+COUNTIFS(DONNEES!$H$2:$H$1501,"NOTABLE",DONNEES!$L$2:$L$1501,"Incorrect"))</f>
        <v>0.957612456747405</v>
      </c>
      <c r="C11" s="6" t="s">
        <v>19</v>
      </c>
    </row>
    <row r="12" customFormat="false" ht="15" hidden="false" customHeight="false" outlineLevel="0" collapsed="false">
      <c r="A12" s="4" t="s">
        <v>20</v>
      </c>
      <c r="B12" s="8" t="n">
        <f aca="false">COUNTIFS(DONNEES!$L$2:$L$1501,"Abstention correcte")/(COUNTIFS(DONNEES!$L$2:$L$1501,"Abstention correcte")+COUNTIFS(DONNEES!$L$2:$L$1501,"Valeur sur cellule vide"))</f>
        <v>0.965217391304348</v>
      </c>
      <c r="C12" s="6" t="s">
        <v>21</v>
      </c>
    </row>
    <row r="13" customFormat="false" ht="15" hidden="false" customHeight="false" outlineLevel="0" collapsed="false">
      <c r="A13" s="4" t="s">
        <v>22</v>
      </c>
      <c r="B13" s="9" t="n">
        <f aca="false">AVERAGE(DONNEES!$O$2:$O$1501)</f>
        <v>18.4527272727273</v>
      </c>
      <c r="C13" s="6" t="s">
        <v>23</v>
      </c>
    </row>
    <row r="14" customFormat="false" ht="15" hidden="false" customHeight="false" outlineLevel="0" collapsed="false">
      <c r="A14" s="4" t="s">
        <v>24</v>
      </c>
      <c r="B14" s="5" t="n">
        <f aca="false">COUNTA(TENTATIVES!$A$2:$A$422)</f>
        <v>421</v>
      </c>
      <c r="C14" s="6"/>
    </row>
    <row r="15" customFormat="false" ht="15" hidden="false" customHeight="false" outlineLevel="0" collapsed="false">
      <c r="A15" s="4" t="s">
        <v>25</v>
      </c>
      <c r="B15" s="5" t="n">
        <f aca="false">COUNTIFS(TENTATIVES!$D$2:$D$422,"FAILED")</f>
        <v>121</v>
      </c>
      <c r="C15" s="6" t="s">
        <v>26</v>
      </c>
    </row>
    <row r="16" customFormat="false" ht="15" hidden="false" customHeight="false" outlineLevel="0" collapsed="false">
      <c r="A16" s="4" t="s">
        <v>27</v>
      </c>
      <c r="B16" s="8" t="n">
        <f aca="false">COUNTIFS(DONNEES!$H$2:$H$1501,"NOTABLE",DONNEES!$S$2:$S$1501,"Oui",DONNEES!$R$2:$R$1501,"Correct")/(COUNTIFS(DONNEES!$H$2:$H$1501,"NOTABLE",DONNEES!$S$2:$S$1501,"Oui",DONNEES!$R$2:$R$1501,"Correct")+COUNTIFS(DONNEES!$H$2:$H$1501,"NOTABLE",DONNEES!$S$2:$S$1501,"Oui",DONNEES!$R$2:$R$1501,"Pas d’info à tort")+COUNTIFS(DONNEES!$H$2:$H$1501,"NOTABLE",DONNEES!$S$2:$S$1501,"Oui",DONNEES!$R$2:$R$1501,"Incorrect")+COUNTIFS(DONNEES!$H$2:$H$1501,"NOTABLE",DONNEES!$S$2:$S$1501,"Oui",DONNEES!$R$2:$R$1501,"Hors sujet"))</f>
        <v>0.860113421550095</v>
      </c>
      <c r="C16" s="6" t="s">
        <v>28</v>
      </c>
    </row>
    <row r="17" customFormat="false" ht="15" hidden="false" customHeight="false" outlineLevel="0" collapsed="false">
      <c r="A17" s="4" t="s">
        <v>29</v>
      </c>
      <c r="B17" s="8" t="n">
        <f aca="false">COUNTIFS(DONNEES!$H$2:$H$1501,"NOTABLE",DONNEES!$S$2:$S$1501,"Oui",DONNEES!$L$2:$L$1501,"Correct")/(COUNTIFS(DONNEES!$H$2:$H$1501,"NOTABLE",DONNEES!$L$2:$L$1501,"Correct",DONNEES!$S$2:$S$1501,"Oui")+COUNTIFS(DONNEES!$H$2:$H$1501,"NOTABLE",DONNEES!$L$2:$L$1501,"Pas d’info à tort",DONNEES!$S$2:$S$1501,"Oui")+COUNTIFS(DONNEES!$H$2:$H$1501,"NOTABLE",DONNEES!$L$2:$L$1501,"Incorrect",DONNEES!$S$2:$S$1501,"Oui")+COUNTIFS(DONNEES!$H$2:$H$1501,"NOTABLE",DONNEES!$L$2:$L$1501,"Hors sujet",DONNEES!$S$2:$S$1501,"Oui"))</f>
        <v>0.831775700934579</v>
      </c>
      <c r="C17" s="6" t="s">
        <v>30</v>
      </c>
    </row>
    <row r="18" customFormat="false" ht="15" hidden="false" customHeight="false" outlineLevel="0" collapsed="false">
      <c r="A18" s="4" t="s">
        <v>31</v>
      </c>
      <c r="B18" s="8" t="n">
        <f aca="false">1-(COMPARAISON_SEPT!B20+COMPARAISON_SEPT!C21+COMPARAISON_SEPT!D22+COMPARAISON_SEPT!E23)/SUM(COMPARAISON_SEPT!B20:E23)</f>
        <v>0.16888045540797</v>
      </c>
      <c r="C18" s="6" t="s">
        <v>32</v>
      </c>
    </row>
    <row r="20" customFormat="false" ht="15" hidden="false" customHeight="false" outlineLevel="0" collapsed="false">
      <c r="A20" s="10" t="s">
        <v>33</v>
      </c>
    </row>
    <row r="21" customFormat="false" ht="15" hidden="false" customHeight="false" outlineLevel="0" collapsed="false">
      <c r="A21" s="11" t="s">
        <v>34</v>
      </c>
      <c r="B21" s="11" t="s">
        <v>35</v>
      </c>
    </row>
    <row r="22" customFormat="false" ht="15" hidden="false" customHeight="false" outlineLevel="0" collapsed="false">
      <c r="A22" s="12" t="s">
        <v>36</v>
      </c>
      <c r="B22" s="13" t="n">
        <f aca="false">COUNTIFS(DONNEES!$L$2:$L$1501,"Correct")</f>
        <v>1107</v>
      </c>
    </row>
    <row r="23" customFormat="false" ht="15" hidden="false" customHeight="false" outlineLevel="0" collapsed="false">
      <c r="A23" s="14" t="s">
        <v>37</v>
      </c>
      <c r="B23" s="13" t="n">
        <f aca="false">COUNTIFS(DONNEES!$L$2:$L$1501,"Pas d’info à tort")</f>
        <v>186</v>
      </c>
    </row>
    <row r="24" customFormat="false" ht="15" hidden="false" customHeight="false" outlineLevel="0" collapsed="false">
      <c r="A24" s="15" t="s">
        <v>38</v>
      </c>
      <c r="B24" s="13" t="n">
        <f aca="false">COUNTIFS(DONNEES!$L$2:$L$1501,"Incorrect")</f>
        <v>49</v>
      </c>
    </row>
    <row r="25" customFormat="false" ht="15" hidden="false" customHeight="false" outlineLevel="0" collapsed="false">
      <c r="A25" s="16" t="s">
        <v>39</v>
      </c>
      <c r="B25" s="13" t="n">
        <f aca="false">COUNTIFS(DONNEES!$L$2:$L$1501,"Hors sujet")</f>
        <v>26</v>
      </c>
    </row>
    <row r="26" customFormat="false" ht="15" hidden="false" customHeight="false" outlineLevel="0" collapsed="false">
      <c r="A26" s="17" t="s">
        <v>40</v>
      </c>
      <c r="B26" s="13" t="n">
        <f aca="false">COUNTIFS(DONNEES!$L$2:$L$1501,"Abstention correcte")</f>
        <v>111</v>
      </c>
    </row>
    <row r="27" customFormat="false" ht="15" hidden="false" customHeight="false" outlineLevel="0" collapsed="false">
      <c r="A27" s="18" t="s">
        <v>41</v>
      </c>
      <c r="B27" s="13" t="n">
        <f aca="false">COUNTIFS(DONNEES!$L$2:$L$1501,"Valeur sur cellule vide")</f>
        <v>4</v>
      </c>
    </row>
    <row r="28" customFormat="false" ht="15" hidden="false" customHeight="false" outlineLevel="0" collapsed="false">
      <c r="A28" s="19" t="s">
        <v>42</v>
      </c>
      <c r="B28" s="13" t="n">
        <f aca="false">COUNTIFS(DONNEES!$L$2:$L$1501,"Échec technique")</f>
        <v>2</v>
      </c>
    </row>
    <row r="29" customFormat="false" ht="15" hidden="false" customHeight="false" outlineLevel="0" collapsed="false">
      <c r="A29" s="20" t="s">
        <v>43</v>
      </c>
      <c r="B29" s="13" t="n">
        <f aca="false">COUNTIFS(DONNEES!$L$2:$L$1501,"Non capturé")</f>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18.55" hidden="false" customHeight="false" outlineLevel="0" collapsed="false">
      <c r="A1" s="1" t="s">
        <v>44</v>
      </c>
    </row>
    <row r="3" customFormat="false" ht="15" hidden="false" customHeight="false" outlineLevel="0" collapsed="false">
      <c r="A3" s="10" t="s">
        <v>45</v>
      </c>
      <c r="B3" s="21"/>
    </row>
    <row r="4" customFormat="false" ht="15" hidden="false" customHeight="false" outlineLevel="0" collapsed="false">
      <c r="A4" s="13" t="s">
        <v>46</v>
      </c>
      <c r="B4" s="21" t="s">
        <v>47</v>
      </c>
    </row>
    <row r="5" customFormat="false" ht="15" hidden="false" customHeight="false" outlineLevel="0" collapsed="false">
      <c r="A5" s="13" t="s">
        <v>48</v>
      </c>
      <c r="B5" s="21" t="s">
        <v>49</v>
      </c>
    </row>
    <row r="6" customFormat="false" ht="15" hidden="false" customHeight="false" outlineLevel="0" collapsed="false">
      <c r="A6" s="13" t="s">
        <v>50</v>
      </c>
      <c r="B6" s="21" t="s">
        <v>51</v>
      </c>
    </row>
    <row r="7" customFormat="false" ht="15" hidden="false" customHeight="false" outlineLevel="0" collapsed="false">
      <c r="A7" s="13" t="s">
        <v>52</v>
      </c>
      <c r="B7" s="21" t="s">
        <v>53</v>
      </c>
    </row>
    <row r="8" customFormat="false" ht="15" hidden="false" customHeight="false" outlineLevel="0" collapsed="false">
      <c r="A8" s="13" t="s">
        <v>54</v>
      </c>
      <c r="B8" s="21" t="s">
        <v>55</v>
      </c>
    </row>
    <row r="9" customFormat="false" ht="15" hidden="false" customHeight="false" outlineLevel="0" collapsed="false">
      <c r="A9" s="13" t="s">
        <v>56</v>
      </c>
      <c r="B9" s="21" t="s">
        <v>57</v>
      </c>
    </row>
    <row r="10" customFormat="false" ht="15" hidden="false" customHeight="false" outlineLevel="0" collapsed="false">
      <c r="A10" s="13" t="s">
        <v>58</v>
      </c>
      <c r="B10" s="21" t="s">
        <v>59</v>
      </c>
    </row>
    <row r="11" customFormat="false" ht="15" hidden="false" customHeight="false" outlineLevel="0" collapsed="false">
      <c r="A11" s="10"/>
      <c r="B11" s="21"/>
    </row>
    <row r="12" customFormat="false" ht="15" hidden="false" customHeight="false" outlineLevel="0" collapsed="false">
      <c r="A12" s="10" t="s">
        <v>60</v>
      </c>
      <c r="B12" s="21"/>
    </row>
    <row r="13" customFormat="false" ht="15" hidden="false" customHeight="false" outlineLevel="0" collapsed="false">
      <c r="A13" s="12" t="s">
        <v>36</v>
      </c>
      <c r="B13" s="21" t="s">
        <v>61</v>
      </c>
    </row>
    <row r="14" customFormat="false" ht="15" hidden="false" customHeight="false" outlineLevel="0" collapsed="false">
      <c r="A14" s="14" t="s">
        <v>37</v>
      </c>
      <c r="B14" s="21" t="s">
        <v>62</v>
      </c>
    </row>
    <row r="15" customFormat="false" ht="15" hidden="false" customHeight="false" outlineLevel="0" collapsed="false">
      <c r="A15" s="15" t="s">
        <v>38</v>
      </c>
      <c r="B15" s="21" t="s">
        <v>63</v>
      </c>
    </row>
    <row r="16" customFormat="false" ht="15" hidden="false" customHeight="false" outlineLevel="0" collapsed="false">
      <c r="A16" s="16" t="s">
        <v>39</v>
      </c>
      <c r="B16" s="21" t="s">
        <v>64</v>
      </c>
    </row>
    <row r="17" customFormat="false" ht="15" hidden="false" customHeight="false" outlineLevel="0" collapsed="false">
      <c r="A17" s="17" t="s">
        <v>40</v>
      </c>
      <c r="B17" s="21" t="s">
        <v>65</v>
      </c>
    </row>
    <row r="18" customFormat="false" ht="15" hidden="false" customHeight="false" outlineLevel="0" collapsed="false">
      <c r="A18" s="18" t="s">
        <v>41</v>
      </c>
      <c r="B18" s="21" t="s">
        <v>66</v>
      </c>
    </row>
    <row r="19" customFormat="false" ht="15" hidden="false" customHeight="false" outlineLevel="0" collapsed="false">
      <c r="A19" s="19" t="s">
        <v>42</v>
      </c>
      <c r="B19" s="21" t="s">
        <v>67</v>
      </c>
    </row>
    <row r="20" customFormat="false" ht="15" hidden="false" customHeight="false" outlineLevel="0" collapsed="false">
      <c r="A20" s="20" t="s">
        <v>43</v>
      </c>
      <c r="B20" s="21" t="s">
        <v>68</v>
      </c>
    </row>
    <row r="21" customFormat="false" ht="15" hidden="false" customHeight="false" outlineLevel="0" collapsed="false">
      <c r="A21" s="10"/>
      <c r="B21" s="21"/>
    </row>
    <row r="22" customFormat="false" ht="15" hidden="false" customHeight="false" outlineLevel="0" collapsed="false">
      <c r="A22" s="10" t="s">
        <v>69</v>
      </c>
      <c r="B22" s="21" t="s">
        <v>70</v>
      </c>
    </row>
    <row r="23" customFormat="false" ht="15" hidden="false" customHeight="false" outlineLevel="0" collapsed="false">
      <c r="A23" s="10" t="s">
        <v>71</v>
      </c>
      <c r="B23" s="21" t="s">
        <v>72</v>
      </c>
    </row>
    <row r="24" customFormat="false" ht="15" hidden="false" customHeight="false" outlineLevel="0" collapsed="false">
      <c r="A24" s="10" t="s">
        <v>73</v>
      </c>
      <c r="B24" s="21" t="s">
        <v>74</v>
      </c>
    </row>
    <row r="25" customFormat="false" ht="79.85" hidden="false" customHeight="false" outlineLevel="0" collapsed="false">
      <c r="A25" s="10" t="s">
        <v>75</v>
      </c>
      <c r="B25" s="21" t="s">
        <v>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1"/>
    <col collapsed="false" customWidth="true" hidden="false" outlineLevel="0" max="3" min="3" style="0" width="6"/>
    <col collapsed="false" customWidth="true" hidden="false" outlineLevel="0" max="4" min="4" style="0" width="13"/>
    <col collapsed="false" customWidth="true" hidden="false" outlineLevel="0" max="5" min="5" style="0" width="24"/>
    <col collapsed="false" customWidth="true" hidden="false" outlineLevel="0" max="6" min="6" style="0" width="30"/>
    <col collapsed="false" customWidth="true" hidden="false" outlineLevel="0" max="7" min="7" style="0" width="32"/>
    <col collapsed="false" customWidth="true" hidden="false" outlineLevel="0" max="8" min="8" style="0" width="13"/>
    <col collapsed="false" customWidth="true" hidden="false" outlineLevel="0" max="9" min="9" style="0" width="55"/>
    <col collapsed="false" customWidth="true" hidden="false" outlineLevel="0" max="10" min="10" style="0" width="34"/>
    <col collapsed="false" customWidth="true" hidden="false" outlineLevel="0" max="11" min="11" style="0" width="70"/>
    <col collapsed="false" customWidth="true" hidden="false" outlineLevel="0" max="12" min="12" style="0" width="20"/>
    <col collapsed="false" customWidth="true" hidden="false" outlineLevel="0" max="13" min="13" style="0" width="40"/>
    <col collapsed="false" customWidth="true" hidden="false" outlineLevel="0" max="14" min="14" style="0" width="16"/>
    <col collapsed="false" customWidth="true" hidden="false" outlineLevel="0" max="15" min="15" style="0" width="10"/>
    <col collapsed="false" customWidth="true" hidden="false" outlineLevel="0" max="16" min="16" style="0" width="9"/>
    <col collapsed="false" customWidth="true" hidden="false" outlineLevel="0" max="17" min="17" style="0" width="18"/>
    <col collapsed="false" customWidth="true" hidden="false" outlineLevel="0" max="18" min="18" style="0" width="20"/>
    <col collapsed="false" customWidth="true" hidden="false" outlineLevel="0" max="20" min="19" style="0" width="12"/>
  </cols>
  <sheetData>
    <row r="1" customFormat="false" ht="46.25" hidden="false" customHeight="false" outlineLevel="0" collapsed="false">
      <c r="A1" s="3" t="s">
        <v>77</v>
      </c>
      <c r="B1" s="3" t="s">
        <v>78</v>
      </c>
      <c r="C1" s="3" t="s">
        <v>79</v>
      </c>
      <c r="D1" s="3" t="s">
        <v>80</v>
      </c>
      <c r="E1" s="3" t="s">
        <v>81</v>
      </c>
      <c r="F1" s="3" t="s">
        <v>82</v>
      </c>
      <c r="G1" s="3" t="s">
        <v>83</v>
      </c>
      <c r="H1" s="3" t="s">
        <v>84</v>
      </c>
      <c r="I1" s="3" t="s">
        <v>85</v>
      </c>
      <c r="J1" s="3" t="s">
        <v>86</v>
      </c>
      <c r="K1" s="3" t="s">
        <v>87</v>
      </c>
      <c r="L1" s="3" t="s">
        <v>34</v>
      </c>
      <c r="M1" s="3" t="s">
        <v>88</v>
      </c>
      <c r="N1" s="3" t="s">
        <v>71</v>
      </c>
      <c r="O1" s="3" t="s">
        <v>89</v>
      </c>
      <c r="P1" s="3" t="s">
        <v>90</v>
      </c>
      <c r="Q1" s="3" t="s">
        <v>91</v>
      </c>
      <c r="R1" s="3" t="s">
        <v>92</v>
      </c>
      <c r="S1" s="3" t="s">
        <v>93</v>
      </c>
      <c r="T1" s="3" t="s">
        <v>94</v>
      </c>
    </row>
    <row r="2" customFormat="false" ht="35.05" hidden="false" customHeight="false" outlineLevel="0" collapsed="false">
      <c r="A2" s="13" t="s">
        <v>95</v>
      </c>
      <c r="B2" s="13" t="s">
        <v>96</v>
      </c>
      <c r="C2" s="13" t="n">
        <v>1</v>
      </c>
      <c r="D2" s="13" t="s">
        <v>97</v>
      </c>
      <c r="E2" s="13" t="s">
        <v>98</v>
      </c>
      <c r="F2" s="13" t="s">
        <v>99</v>
      </c>
      <c r="G2" s="13" t="s">
        <v>100</v>
      </c>
      <c r="H2" s="13" t="s">
        <v>101</v>
      </c>
      <c r="I2" s="21" t="s">
        <v>102</v>
      </c>
      <c r="J2" s="21" t="s">
        <v>103</v>
      </c>
      <c r="K2" s="21" t="s">
        <v>104</v>
      </c>
      <c r="L2" s="22" t="s">
        <v>36</v>
      </c>
      <c r="M2" s="21" t="s">
        <v>105</v>
      </c>
      <c r="N2" s="13" t="s">
        <v>106</v>
      </c>
      <c r="O2" s="23" t="n">
        <v>60.48</v>
      </c>
      <c r="P2" s="13" t="n">
        <v>1</v>
      </c>
      <c r="Q2" s="24" t="n">
        <v>46309.78375</v>
      </c>
      <c r="R2" s="22" t="s">
        <v>36</v>
      </c>
      <c r="S2" s="13" t="s">
        <v>107</v>
      </c>
      <c r="T2" s="13" t="str">
        <f aca="false">IF(S2="Oui",IF(R2=L2,"Identique","Changé"),"")</f>
        <v>Identique</v>
      </c>
    </row>
    <row r="3" customFormat="false" ht="35.05" hidden="false" customHeight="false" outlineLevel="0" collapsed="false">
      <c r="A3" s="13" t="s">
        <v>108</v>
      </c>
      <c r="B3" s="13" t="s">
        <v>96</v>
      </c>
      <c r="C3" s="13" t="n">
        <v>2</v>
      </c>
      <c r="D3" s="13" t="s">
        <v>97</v>
      </c>
      <c r="E3" s="13" t="s">
        <v>98</v>
      </c>
      <c r="F3" s="13" t="s">
        <v>99</v>
      </c>
      <c r="G3" s="13" t="s">
        <v>109</v>
      </c>
      <c r="H3" s="13" t="s">
        <v>101</v>
      </c>
      <c r="I3" s="21" t="s">
        <v>110</v>
      </c>
      <c r="J3" s="21" t="s">
        <v>111</v>
      </c>
      <c r="K3" s="21" t="s">
        <v>112</v>
      </c>
      <c r="L3" s="22" t="s">
        <v>36</v>
      </c>
      <c r="M3" s="21" t="s">
        <v>105</v>
      </c>
      <c r="N3" s="13" t="s">
        <v>106</v>
      </c>
      <c r="O3" s="23" t="n">
        <v>12.74</v>
      </c>
      <c r="P3" s="13" t="n">
        <v>1</v>
      </c>
      <c r="Q3" s="24" t="n">
        <v>46309.7839930556</v>
      </c>
      <c r="R3" s="22" t="s">
        <v>36</v>
      </c>
      <c r="S3" s="13" t="s">
        <v>107</v>
      </c>
      <c r="T3" s="13" t="str">
        <f aca="false">IF(S3="Oui",IF(R3=L3,"Identique","Changé"),"")</f>
        <v>Identique</v>
      </c>
    </row>
    <row r="4" customFormat="false" ht="35.05" hidden="false" customHeight="false" outlineLevel="0" collapsed="false">
      <c r="A4" s="13" t="s">
        <v>113</v>
      </c>
      <c r="B4" s="13" t="s">
        <v>96</v>
      </c>
      <c r="C4" s="13" t="n">
        <v>3</v>
      </c>
      <c r="D4" s="13" t="s">
        <v>97</v>
      </c>
      <c r="E4" s="13" t="s">
        <v>114</v>
      </c>
      <c r="F4" s="13" t="s">
        <v>115</v>
      </c>
      <c r="G4" s="13" t="s">
        <v>116</v>
      </c>
      <c r="H4" s="13" t="s">
        <v>101</v>
      </c>
      <c r="I4" s="21" t="s">
        <v>117</v>
      </c>
      <c r="J4" s="21" t="s">
        <v>118</v>
      </c>
      <c r="K4" s="21" t="s">
        <v>119</v>
      </c>
      <c r="L4" s="22" t="s">
        <v>36</v>
      </c>
      <c r="M4" s="21" t="s">
        <v>120</v>
      </c>
      <c r="N4" s="13" t="s">
        <v>106</v>
      </c>
      <c r="O4" s="23" t="n">
        <v>8.9</v>
      </c>
      <c r="P4" s="13" t="n">
        <v>1</v>
      </c>
      <c r="Q4" s="24" t="n">
        <v>46309.7842013889</v>
      </c>
      <c r="R4" s="22" t="s">
        <v>36</v>
      </c>
      <c r="S4" s="13" t="s">
        <v>107</v>
      </c>
      <c r="T4" s="13" t="str">
        <f aca="false">IF(S4="Oui",IF(R4=L4,"Identique","Changé"),"")</f>
        <v>Identique</v>
      </c>
    </row>
    <row r="5" customFormat="false" ht="35.05" hidden="false" customHeight="false" outlineLevel="0" collapsed="false">
      <c r="A5" s="13" t="s">
        <v>121</v>
      </c>
      <c r="B5" s="13" t="s">
        <v>96</v>
      </c>
      <c r="C5" s="13" t="n">
        <v>4</v>
      </c>
      <c r="D5" s="13" t="s">
        <v>97</v>
      </c>
      <c r="E5" s="13" t="s">
        <v>122</v>
      </c>
      <c r="F5" s="13" t="s">
        <v>115</v>
      </c>
      <c r="G5" s="13" t="s">
        <v>123</v>
      </c>
      <c r="H5" s="13" t="s">
        <v>101</v>
      </c>
      <c r="I5" s="21" t="s">
        <v>124</v>
      </c>
      <c r="J5" s="21" t="s">
        <v>125</v>
      </c>
      <c r="K5" s="21" t="s">
        <v>126</v>
      </c>
      <c r="L5" s="22" t="s">
        <v>36</v>
      </c>
      <c r="M5" s="21" t="s">
        <v>120</v>
      </c>
      <c r="N5" s="13" t="s">
        <v>106</v>
      </c>
      <c r="O5" s="23" t="n">
        <v>11.01</v>
      </c>
      <c r="P5" s="13" t="n">
        <v>1</v>
      </c>
      <c r="Q5" s="24" t="n">
        <v>46309.7844212963</v>
      </c>
      <c r="R5" s="22" t="s">
        <v>36</v>
      </c>
      <c r="S5" s="13" t="s">
        <v>107</v>
      </c>
      <c r="T5" s="13" t="str">
        <f aca="false">IF(S5="Oui",IF(R5=L5,"Identique","Changé"),"")</f>
        <v>Identique</v>
      </c>
    </row>
    <row r="6" customFormat="false" ht="23.85" hidden="false" customHeight="false" outlineLevel="0" collapsed="false">
      <c r="A6" s="13" t="s">
        <v>127</v>
      </c>
      <c r="B6" s="13" t="s">
        <v>96</v>
      </c>
      <c r="C6" s="13" t="n">
        <v>5</v>
      </c>
      <c r="D6" s="13" t="s">
        <v>97</v>
      </c>
      <c r="E6" s="13" t="s">
        <v>128</v>
      </c>
      <c r="F6" s="13" t="s">
        <v>99</v>
      </c>
      <c r="G6" s="13" t="s">
        <v>129</v>
      </c>
      <c r="H6" s="13" t="s">
        <v>101</v>
      </c>
      <c r="I6" s="21" t="s">
        <v>130</v>
      </c>
      <c r="J6" s="21" t="s">
        <v>131</v>
      </c>
      <c r="K6" s="21" t="s">
        <v>132</v>
      </c>
      <c r="L6" s="22" t="s">
        <v>36</v>
      </c>
      <c r="M6" s="21" t="s">
        <v>120</v>
      </c>
      <c r="N6" s="13" t="s">
        <v>106</v>
      </c>
      <c r="O6" s="23" t="n">
        <v>12.01</v>
      </c>
      <c r="P6" s="13" t="n">
        <v>1</v>
      </c>
      <c r="Q6" s="24" t="n">
        <v>46309.7846643519</v>
      </c>
      <c r="R6" s="22" t="s">
        <v>36</v>
      </c>
      <c r="S6" s="13" t="s">
        <v>107</v>
      </c>
      <c r="T6" s="13" t="str">
        <f aca="false">IF(S6="Oui",IF(R6=L6,"Identique","Changé"),"")</f>
        <v>Identique</v>
      </c>
    </row>
    <row r="7" customFormat="false" ht="35.05" hidden="false" customHeight="false" outlineLevel="0" collapsed="false">
      <c r="A7" s="13" t="s">
        <v>133</v>
      </c>
      <c r="B7" s="13" t="s">
        <v>134</v>
      </c>
      <c r="C7" s="13" t="n">
        <v>1</v>
      </c>
      <c r="D7" s="13" t="s">
        <v>135</v>
      </c>
      <c r="E7" s="13" t="s">
        <v>114</v>
      </c>
      <c r="F7" s="13" t="s">
        <v>136</v>
      </c>
      <c r="G7" s="13" t="s">
        <v>116</v>
      </c>
      <c r="H7" s="13" t="s">
        <v>101</v>
      </c>
      <c r="I7" s="21" t="s">
        <v>137</v>
      </c>
      <c r="J7" s="21" t="s">
        <v>138</v>
      </c>
      <c r="K7" s="21" t="s">
        <v>139</v>
      </c>
      <c r="L7" s="22" t="s">
        <v>36</v>
      </c>
      <c r="M7" s="21" t="s">
        <v>120</v>
      </c>
      <c r="N7" s="13" t="s">
        <v>106</v>
      </c>
      <c r="O7" s="23" t="n">
        <v>49.27</v>
      </c>
      <c r="P7" s="13" t="n">
        <v>3</v>
      </c>
      <c r="Q7" s="24" t="n">
        <v>46309.7948611111</v>
      </c>
      <c r="R7" s="22" t="s">
        <v>36</v>
      </c>
      <c r="S7" s="13" t="s">
        <v>107</v>
      </c>
      <c r="T7" s="13" t="str">
        <f aca="false">IF(S7="Oui",IF(R7=L7,"Identique","Changé"),"")</f>
        <v>Identique</v>
      </c>
    </row>
    <row r="8" customFormat="false" ht="23.85" hidden="false" customHeight="false" outlineLevel="0" collapsed="false">
      <c r="A8" s="13" t="s">
        <v>140</v>
      </c>
      <c r="B8" s="13" t="s">
        <v>134</v>
      </c>
      <c r="C8" s="13" t="n">
        <v>2</v>
      </c>
      <c r="D8" s="13" t="s">
        <v>135</v>
      </c>
      <c r="E8" s="13" t="s">
        <v>114</v>
      </c>
      <c r="F8" s="13" t="s">
        <v>136</v>
      </c>
      <c r="G8" s="13" t="s">
        <v>141</v>
      </c>
      <c r="H8" s="13" t="s">
        <v>101</v>
      </c>
      <c r="I8" s="21" t="s">
        <v>142</v>
      </c>
      <c r="J8" s="21" t="s">
        <v>143</v>
      </c>
      <c r="K8" s="21" t="s">
        <v>144</v>
      </c>
      <c r="L8" s="22" t="s">
        <v>36</v>
      </c>
      <c r="M8" s="21" t="s">
        <v>120</v>
      </c>
      <c r="N8" s="13" t="s">
        <v>106</v>
      </c>
      <c r="O8" s="23" t="n">
        <v>7.6</v>
      </c>
      <c r="P8" s="13" t="n">
        <v>3</v>
      </c>
      <c r="Q8" s="24" t="n">
        <v>46309.7950462963</v>
      </c>
      <c r="R8" s="22" t="s">
        <v>36</v>
      </c>
      <c r="S8" s="13" t="s">
        <v>107</v>
      </c>
      <c r="T8" s="13" t="str">
        <f aca="false">IF(S8="Oui",IF(R8=L8,"Identique","Changé"),"")</f>
        <v>Identique</v>
      </c>
    </row>
    <row r="9" customFormat="false" ht="35.05" hidden="false" customHeight="false" outlineLevel="0" collapsed="false">
      <c r="A9" s="13" t="s">
        <v>145</v>
      </c>
      <c r="B9" s="13" t="s">
        <v>134</v>
      </c>
      <c r="C9" s="13" t="n">
        <v>3</v>
      </c>
      <c r="D9" s="13" t="s">
        <v>135</v>
      </c>
      <c r="E9" s="13" t="s">
        <v>114</v>
      </c>
      <c r="F9" s="13" t="s">
        <v>136</v>
      </c>
      <c r="G9" s="13" t="s">
        <v>146</v>
      </c>
      <c r="H9" s="13" t="s">
        <v>101</v>
      </c>
      <c r="I9" s="21" t="s">
        <v>147</v>
      </c>
      <c r="J9" s="21" t="s">
        <v>148</v>
      </c>
      <c r="K9" s="21" t="s">
        <v>149</v>
      </c>
      <c r="L9" s="22" t="s">
        <v>36</v>
      </c>
      <c r="M9" s="21" t="s">
        <v>120</v>
      </c>
      <c r="N9" s="13" t="s">
        <v>106</v>
      </c>
      <c r="O9" s="23" t="n">
        <v>7.69</v>
      </c>
      <c r="P9" s="13" t="n">
        <v>3</v>
      </c>
      <c r="Q9" s="24" t="n">
        <v>46309.7952430556</v>
      </c>
      <c r="R9" s="22" t="s">
        <v>36</v>
      </c>
      <c r="S9" s="13" t="s">
        <v>107</v>
      </c>
      <c r="T9" s="13" t="str">
        <f aca="false">IF(S9="Oui",IF(R9=L9,"Identique","Changé"),"")</f>
        <v>Identique</v>
      </c>
    </row>
    <row r="10" customFormat="false" ht="46.25" hidden="false" customHeight="false" outlineLevel="0" collapsed="false">
      <c r="A10" s="13" t="s">
        <v>150</v>
      </c>
      <c r="B10" s="13" t="s">
        <v>134</v>
      </c>
      <c r="C10" s="13" t="n">
        <v>4</v>
      </c>
      <c r="D10" s="13" t="s">
        <v>135</v>
      </c>
      <c r="E10" s="13" t="s">
        <v>98</v>
      </c>
      <c r="F10" s="13" t="s">
        <v>136</v>
      </c>
      <c r="G10" s="13" t="s">
        <v>151</v>
      </c>
      <c r="H10" s="13" t="s">
        <v>152</v>
      </c>
      <c r="I10" s="21" t="s">
        <v>153</v>
      </c>
      <c r="J10" s="21" t="s">
        <v>154</v>
      </c>
      <c r="K10" s="21" t="s">
        <v>155</v>
      </c>
      <c r="L10" s="22" t="s">
        <v>40</v>
      </c>
      <c r="M10" s="21" t="s">
        <v>156</v>
      </c>
      <c r="N10" s="13" t="s">
        <v>106</v>
      </c>
      <c r="O10" s="23" t="n">
        <v>10.12</v>
      </c>
      <c r="P10" s="13" t="n">
        <v>3</v>
      </c>
      <c r="Q10" s="24" t="n">
        <v>46309.795462963</v>
      </c>
      <c r="R10" s="22" t="s">
        <v>40</v>
      </c>
      <c r="S10" s="13" t="s">
        <v>107</v>
      </c>
      <c r="T10" s="13" t="str">
        <f aca="false">IF(S10="Oui",IF(R10=L10,"Identique","Changé"),"")</f>
        <v>Identique</v>
      </c>
    </row>
    <row r="11" customFormat="false" ht="35.05" hidden="false" customHeight="false" outlineLevel="0" collapsed="false">
      <c r="A11" s="13" t="s">
        <v>157</v>
      </c>
      <c r="B11" s="13" t="s">
        <v>134</v>
      </c>
      <c r="C11" s="13" t="n">
        <v>5</v>
      </c>
      <c r="D11" s="13" t="s">
        <v>135</v>
      </c>
      <c r="E11" s="13" t="s">
        <v>158</v>
      </c>
      <c r="F11" s="13" t="s">
        <v>136</v>
      </c>
      <c r="G11" s="13" t="s">
        <v>159</v>
      </c>
      <c r="H11" s="13" t="s">
        <v>101</v>
      </c>
      <c r="I11" s="21" t="s">
        <v>160</v>
      </c>
      <c r="J11" s="21" t="s">
        <v>161</v>
      </c>
      <c r="K11" s="21" t="s">
        <v>162</v>
      </c>
      <c r="L11" s="22" t="s">
        <v>37</v>
      </c>
      <c r="M11" s="21" t="s">
        <v>163</v>
      </c>
      <c r="N11" s="13" t="s">
        <v>106</v>
      </c>
      <c r="O11" s="23" t="n">
        <v>11.13</v>
      </c>
      <c r="P11" s="13" t="n">
        <v>3</v>
      </c>
      <c r="Q11" s="24" t="n">
        <v>46309.7956828704</v>
      </c>
      <c r="R11" s="22"/>
      <c r="S11" s="13" t="s">
        <v>164</v>
      </c>
      <c r="T11" s="13" t="str">
        <f aca="false">IF(S11="Oui",IF(R11=L11,"Identique","Changé"),"")</f>
        <v/>
      </c>
    </row>
    <row r="12" customFormat="false" ht="35.05" hidden="false" customHeight="false" outlineLevel="0" collapsed="false">
      <c r="A12" s="13" t="s">
        <v>165</v>
      </c>
      <c r="B12" s="13" t="s">
        <v>166</v>
      </c>
      <c r="C12" s="13" t="n">
        <v>1</v>
      </c>
      <c r="D12" s="13" t="s">
        <v>97</v>
      </c>
      <c r="E12" s="13" t="s">
        <v>114</v>
      </c>
      <c r="F12" s="13" t="s">
        <v>167</v>
      </c>
      <c r="G12" s="13" t="s">
        <v>116</v>
      </c>
      <c r="H12" s="13" t="s">
        <v>101</v>
      </c>
      <c r="I12" s="21" t="s">
        <v>168</v>
      </c>
      <c r="J12" s="21" t="s">
        <v>118</v>
      </c>
      <c r="K12" s="21" t="s">
        <v>169</v>
      </c>
      <c r="L12" s="22" t="s">
        <v>36</v>
      </c>
      <c r="M12" s="21" t="s">
        <v>120</v>
      </c>
      <c r="N12" s="13" t="s">
        <v>106</v>
      </c>
      <c r="O12" s="23" t="n">
        <v>27.52</v>
      </c>
      <c r="P12" s="13" t="n">
        <v>1</v>
      </c>
      <c r="Q12" s="24" t="n">
        <v>46309.7961458333</v>
      </c>
      <c r="R12" s="22"/>
      <c r="S12" s="13" t="s">
        <v>164</v>
      </c>
      <c r="T12" s="13" t="str">
        <f aca="false">IF(S12="Oui",IF(R12=L12,"Identique","Changé"),"")</f>
        <v/>
      </c>
    </row>
    <row r="13" customFormat="false" ht="46.25" hidden="false" customHeight="false" outlineLevel="0" collapsed="false">
      <c r="A13" s="13" t="s">
        <v>170</v>
      </c>
      <c r="B13" s="13" t="s">
        <v>166</v>
      </c>
      <c r="C13" s="13" t="n">
        <v>2</v>
      </c>
      <c r="D13" s="13" t="s">
        <v>97</v>
      </c>
      <c r="E13" s="13" t="s">
        <v>171</v>
      </c>
      <c r="F13" s="13" t="s">
        <v>167</v>
      </c>
      <c r="G13" s="13" t="s">
        <v>172</v>
      </c>
      <c r="H13" s="13" t="s">
        <v>101</v>
      </c>
      <c r="I13" s="21" t="s">
        <v>173</v>
      </c>
      <c r="J13" s="21" t="s">
        <v>174</v>
      </c>
      <c r="K13" s="21" t="s">
        <v>175</v>
      </c>
      <c r="L13" s="22" t="s">
        <v>37</v>
      </c>
      <c r="M13" s="21" t="s">
        <v>163</v>
      </c>
      <c r="N13" s="13" t="s">
        <v>106</v>
      </c>
      <c r="O13" s="23" t="n">
        <v>17.8</v>
      </c>
      <c r="P13" s="13" t="n">
        <v>1</v>
      </c>
      <c r="Q13" s="24" t="n">
        <v>46309.7964583333</v>
      </c>
      <c r="R13" s="22"/>
      <c r="S13" s="13" t="s">
        <v>164</v>
      </c>
      <c r="T13" s="13" t="str">
        <f aca="false">IF(S13="Oui",IF(R13=L13,"Identique","Changé"),"")</f>
        <v/>
      </c>
    </row>
    <row r="14" customFormat="false" ht="46.25" hidden="false" customHeight="false" outlineLevel="0" collapsed="false">
      <c r="A14" s="13" t="s">
        <v>176</v>
      </c>
      <c r="B14" s="13" t="s">
        <v>166</v>
      </c>
      <c r="C14" s="13" t="n">
        <v>3</v>
      </c>
      <c r="D14" s="13" t="s">
        <v>97</v>
      </c>
      <c r="E14" s="13" t="s">
        <v>158</v>
      </c>
      <c r="F14" s="13" t="s">
        <v>167</v>
      </c>
      <c r="G14" s="13" t="s">
        <v>159</v>
      </c>
      <c r="H14" s="13" t="s">
        <v>101</v>
      </c>
      <c r="I14" s="21" t="s">
        <v>177</v>
      </c>
      <c r="J14" s="21" t="s">
        <v>178</v>
      </c>
      <c r="K14" s="21" t="s">
        <v>179</v>
      </c>
      <c r="L14" s="22" t="s">
        <v>37</v>
      </c>
      <c r="M14" s="21" t="s">
        <v>163</v>
      </c>
      <c r="N14" s="13" t="s">
        <v>106</v>
      </c>
      <c r="O14" s="23" t="n">
        <v>8.36</v>
      </c>
      <c r="P14" s="13" t="n">
        <v>1</v>
      </c>
      <c r="Q14" s="24" t="n">
        <v>46309.7966550926</v>
      </c>
      <c r="R14" s="22"/>
      <c r="S14" s="13" t="s">
        <v>164</v>
      </c>
      <c r="T14" s="13" t="str">
        <f aca="false">IF(S14="Oui",IF(R14=L14,"Identique","Changé"),"")</f>
        <v/>
      </c>
    </row>
    <row r="15" customFormat="false" ht="46.25" hidden="false" customHeight="false" outlineLevel="0" collapsed="false">
      <c r="A15" s="13" t="s">
        <v>180</v>
      </c>
      <c r="B15" s="13" t="s">
        <v>166</v>
      </c>
      <c r="C15" s="13" t="n">
        <v>4</v>
      </c>
      <c r="D15" s="13" t="s">
        <v>97</v>
      </c>
      <c r="E15" s="13" t="s">
        <v>98</v>
      </c>
      <c r="F15" s="13" t="s">
        <v>167</v>
      </c>
      <c r="G15" s="13" t="s">
        <v>181</v>
      </c>
      <c r="H15" s="13" t="s">
        <v>152</v>
      </c>
      <c r="I15" s="21" t="s">
        <v>182</v>
      </c>
      <c r="J15" s="21" t="s">
        <v>154</v>
      </c>
      <c r="K15" s="21" t="s">
        <v>183</v>
      </c>
      <c r="L15" s="22" t="s">
        <v>40</v>
      </c>
      <c r="M15" s="21" t="s">
        <v>156</v>
      </c>
      <c r="N15" s="13" t="s">
        <v>106</v>
      </c>
      <c r="O15" s="23" t="n">
        <v>11.49</v>
      </c>
      <c r="P15" s="13" t="n">
        <v>1</v>
      </c>
      <c r="Q15" s="24" t="n">
        <v>46309.7968865741</v>
      </c>
      <c r="R15" s="22"/>
      <c r="S15" s="13" t="s">
        <v>164</v>
      </c>
      <c r="T15" s="13" t="str">
        <f aca="false">IF(S15="Oui",IF(R15=L15,"Identique","Changé"),"")</f>
        <v/>
      </c>
    </row>
    <row r="16" customFormat="false" ht="46.25" hidden="false" customHeight="false" outlineLevel="0" collapsed="false">
      <c r="A16" s="13" t="s">
        <v>184</v>
      </c>
      <c r="B16" s="13" t="s">
        <v>166</v>
      </c>
      <c r="C16" s="13" t="n">
        <v>5</v>
      </c>
      <c r="D16" s="13" t="s">
        <v>97</v>
      </c>
      <c r="E16" s="13" t="s">
        <v>185</v>
      </c>
      <c r="F16" s="13" t="s">
        <v>167</v>
      </c>
      <c r="G16" s="13" t="s">
        <v>186</v>
      </c>
      <c r="H16" s="13" t="s">
        <v>101</v>
      </c>
      <c r="I16" s="21" t="s">
        <v>187</v>
      </c>
      <c r="J16" s="21" t="s">
        <v>188</v>
      </c>
      <c r="K16" s="21" t="s">
        <v>189</v>
      </c>
      <c r="L16" s="22" t="s">
        <v>36</v>
      </c>
      <c r="M16" s="21" t="s">
        <v>120</v>
      </c>
      <c r="N16" s="13" t="s">
        <v>106</v>
      </c>
      <c r="O16" s="23" t="n">
        <v>9.02</v>
      </c>
      <c r="P16" s="13" t="n">
        <v>1</v>
      </c>
      <c r="Q16" s="24" t="n">
        <v>46309.7970949074</v>
      </c>
      <c r="R16" s="22"/>
      <c r="S16" s="13" t="s">
        <v>164</v>
      </c>
      <c r="T16" s="13" t="str">
        <f aca="false">IF(S16="Oui",IF(R16=L16,"Identique","Changé"),"")</f>
        <v/>
      </c>
    </row>
    <row r="17" customFormat="false" ht="46.25" hidden="false" customHeight="false" outlineLevel="0" collapsed="false">
      <c r="A17" s="13" t="s">
        <v>190</v>
      </c>
      <c r="B17" s="13" t="s">
        <v>191</v>
      </c>
      <c r="C17" s="13" t="n">
        <v>1</v>
      </c>
      <c r="D17" s="13" t="s">
        <v>135</v>
      </c>
      <c r="E17" s="13" t="s">
        <v>128</v>
      </c>
      <c r="F17" s="13" t="s">
        <v>192</v>
      </c>
      <c r="G17" s="13" t="s">
        <v>193</v>
      </c>
      <c r="H17" s="13" t="s">
        <v>101</v>
      </c>
      <c r="I17" s="21" t="s">
        <v>194</v>
      </c>
      <c r="J17" s="21" t="s">
        <v>195</v>
      </c>
      <c r="K17" s="21" t="s">
        <v>196</v>
      </c>
      <c r="L17" s="22" t="s">
        <v>36</v>
      </c>
      <c r="M17" s="21" t="s">
        <v>120</v>
      </c>
      <c r="N17" s="13" t="s">
        <v>106</v>
      </c>
      <c r="O17" s="23" t="n">
        <v>46.85</v>
      </c>
      <c r="P17" s="13" t="n">
        <v>1</v>
      </c>
      <c r="Q17" s="24" t="n">
        <v>46309.7977893519</v>
      </c>
      <c r="R17" s="22"/>
      <c r="S17" s="13" t="s">
        <v>164</v>
      </c>
      <c r="T17" s="13" t="str">
        <f aca="false">IF(S17="Oui",IF(R17=L17,"Identique","Changé"),"")</f>
        <v/>
      </c>
    </row>
    <row r="18" customFormat="false" ht="35.05" hidden="false" customHeight="false" outlineLevel="0" collapsed="false">
      <c r="A18" s="13" t="s">
        <v>197</v>
      </c>
      <c r="B18" s="13" t="s">
        <v>191</v>
      </c>
      <c r="C18" s="13" t="n">
        <v>2</v>
      </c>
      <c r="D18" s="13" t="s">
        <v>135</v>
      </c>
      <c r="E18" s="13" t="s">
        <v>128</v>
      </c>
      <c r="F18" s="13" t="s">
        <v>192</v>
      </c>
      <c r="G18" s="13" t="s">
        <v>129</v>
      </c>
      <c r="H18" s="13" t="s">
        <v>101</v>
      </c>
      <c r="I18" s="21" t="s">
        <v>198</v>
      </c>
      <c r="J18" s="21" t="s">
        <v>199</v>
      </c>
      <c r="K18" s="21" t="s">
        <v>200</v>
      </c>
      <c r="L18" s="22" t="s">
        <v>36</v>
      </c>
      <c r="M18" s="21" t="s">
        <v>120</v>
      </c>
      <c r="N18" s="13" t="s">
        <v>106</v>
      </c>
      <c r="O18" s="23" t="n">
        <v>11.23</v>
      </c>
      <c r="P18" s="13" t="n">
        <v>1</v>
      </c>
      <c r="Q18" s="24" t="n">
        <v>46309.7980208333</v>
      </c>
      <c r="R18" s="22"/>
      <c r="S18" s="13" t="s">
        <v>164</v>
      </c>
      <c r="T18" s="13" t="str">
        <f aca="false">IF(S18="Oui",IF(R18=L18,"Identique","Changé"),"")</f>
        <v/>
      </c>
    </row>
    <row r="19" customFormat="false" ht="46.25" hidden="false" customHeight="false" outlineLevel="0" collapsed="false">
      <c r="A19" s="13" t="s">
        <v>201</v>
      </c>
      <c r="B19" s="13" t="s">
        <v>191</v>
      </c>
      <c r="C19" s="13" t="n">
        <v>3</v>
      </c>
      <c r="D19" s="13" t="s">
        <v>135</v>
      </c>
      <c r="E19" s="13" t="s">
        <v>158</v>
      </c>
      <c r="F19" s="13" t="s">
        <v>192</v>
      </c>
      <c r="G19" s="13" t="s">
        <v>159</v>
      </c>
      <c r="H19" s="13" t="s">
        <v>101</v>
      </c>
      <c r="I19" s="21" t="s">
        <v>160</v>
      </c>
      <c r="J19" s="21" t="s">
        <v>161</v>
      </c>
      <c r="K19" s="21" t="s">
        <v>202</v>
      </c>
      <c r="L19" s="22" t="s">
        <v>37</v>
      </c>
      <c r="M19" s="21" t="s">
        <v>163</v>
      </c>
      <c r="N19" s="13" t="s">
        <v>106</v>
      </c>
      <c r="O19" s="23" t="n">
        <v>10.94</v>
      </c>
      <c r="P19" s="13" t="n">
        <v>1</v>
      </c>
      <c r="Q19" s="24" t="n">
        <v>46309.7982407407</v>
      </c>
      <c r="R19" s="22"/>
      <c r="S19" s="13" t="s">
        <v>164</v>
      </c>
      <c r="T19" s="13" t="str">
        <f aca="false">IF(S19="Oui",IF(R19=L19,"Identique","Changé"),"")</f>
        <v/>
      </c>
    </row>
    <row r="20" customFormat="false" ht="46.25" hidden="false" customHeight="false" outlineLevel="0" collapsed="false">
      <c r="A20" s="13" t="s">
        <v>203</v>
      </c>
      <c r="B20" s="13" t="s">
        <v>191</v>
      </c>
      <c r="C20" s="13" t="n">
        <v>4</v>
      </c>
      <c r="D20" s="13" t="s">
        <v>135</v>
      </c>
      <c r="E20" s="13" t="s">
        <v>128</v>
      </c>
      <c r="F20" s="13" t="s">
        <v>192</v>
      </c>
      <c r="G20" s="13" t="s">
        <v>204</v>
      </c>
      <c r="H20" s="13" t="s">
        <v>101</v>
      </c>
      <c r="I20" s="21" t="s">
        <v>205</v>
      </c>
      <c r="J20" s="21" t="s">
        <v>206</v>
      </c>
      <c r="K20" s="21" t="s">
        <v>207</v>
      </c>
      <c r="L20" s="22" t="s">
        <v>36</v>
      </c>
      <c r="M20" s="21" t="s">
        <v>120</v>
      </c>
      <c r="N20" s="13" t="s">
        <v>106</v>
      </c>
      <c r="O20" s="23" t="n">
        <v>12.64</v>
      </c>
      <c r="P20" s="13" t="n">
        <v>1</v>
      </c>
      <c r="Q20" s="24" t="n">
        <v>46309.7984953704</v>
      </c>
      <c r="R20" s="22"/>
      <c r="S20" s="13" t="s">
        <v>164</v>
      </c>
      <c r="T20" s="13" t="str">
        <f aca="false">IF(S20="Oui",IF(R20=L20,"Identique","Changé"),"")</f>
        <v/>
      </c>
    </row>
    <row r="21" customFormat="false" ht="46.25" hidden="false" customHeight="false" outlineLevel="0" collapsed="false">
      <c r="A21" s="13" t="s">
        <v>208</v>
      </c>
      <c r="B21" s="13" t="s">
        <v>191</v>
      </c>
      <c r="C21" s="13" t="n">
        <v>5</v>
      </c>
      <c r="D21" s="13" t="s">
        <v>135</v>
      </c>
      <c r="E21" s="13" t="s">
        <v>128</v>
      </c>
      <c r="F21" s="13" t="s">
        <v>192</v>
      </c>
      <c r="G21" s="13" t="s">
        <v>209</v>
      </c>
      <c r="H21" s="13" t="s">
        <v>101</v>
      </c>
      <c r="I21" s="21" t="s">
        <v>210</v>
      </c>
      <c r="J21" s="21" t="s">
        <v>211</v>
      </c>
      <c r="K21" s="21" t="s">
        <v>212</v>
      </c>
      <c r="L21" s="22" t="s">
        <v>36</v>
      </c>
      <c r="M21" s="21" t="s">
        <v>120</v>
      </c>
      <c r="N21" s="13" t="s">
        <v>106</v>
      </c>
      <c r="O21" s="23" t="n">
        <v>10.69</v>
      </c>
      <c r="P21" s="13" t="n">
        <v>1</v>
      </c>
      <c r="Q21" s="24" t="n">
        <v>46309.7987152778</v>
      </c>
      <c r="R21" s="22"/>
      <c r="S21" s="13" t="s">
        <v>164</v>
      </c>
      <c r="T21" s="13" t="str">
        <f aca="false">IF(S21="Oui",IF(R21=L21,"Identique","Changé"),"")</f>
        <v/>
      </c>
    </row>
    <row r="22" customFormat="false" ht="35.05" hidden="false" customHeight="false" outlineLevel="0" collapsed="false">
      <c r="A22" s="13" t="s">
        <v>213</v>
      </c>
      <c r="B22" s="13" t="s">
        <v>214</v>
      </c>
      <c r="C22" s="13" t="n">
        <v>1</v>
      </c>
      <c r="D22" s="13" t="s">
        <v>97</v>
      </c>
      <c r="E22" s="13" t="s">
        <v>98</v>
      </c>
      <c r="F22" s="13" t="s">
        <v>215</v>
      </c>
      <c r="G22" s="13" t="s">
        <v>100</v>
      </c>
      <c r="H22" s="13" t="s">
        <v>101</v>
      </c>
      <c r="I22" s="21" t="s">
        <v>216</v>
      </c>
      <c r="J22" s="21" t="s">
        <v>217</v>
      </c>
      <c r="K22" s="21" t="s">
        <v>218</v>
      </c>
      <c r="L22" s="22" t="s">
        <v>36</v>
      </c>
      <c r="M22" s="21" t="s">
        <v>105</v>
      </c>
      <c r="N22" s="13" t="s">
        <v>106</v>
      </c>
      <c r="O22" s="23" t="n">
        <v>23.99</v>
      </c>
      <c r="P22" s="13" t="n">
        <v>1</v>
      </c>
      <c r="Q22" s="24" t="n">
        <v>46309.7991435185</v>
      </c>
      <c r="R22" s="22"/>
      <c r="S22" s="13" t="s">
        <v>164</v>
      </c>
      <c r="T22" s="13" t="str">
        <f aca="false">IF(S22="Oui",IF(R22=L22,"Identique","Changé"),"")</f>
        <v/>
      </c>
    </row>
    <row r="23" customFormat="false" ht="35.05" hidden="false" customHeight="false" outlineLevel="0" collapsed="false">
      <c r="A23" s="13" t="s">
        <v>219</v>
      </c>
      <c r="B23" s="13" t="s">
        <v>214</v>
      </c>
      <c r="C23" s="13" t="n">
        <v>2</v>
      </c>
      <c r="D23" s="13" t="s">
        <v>97</v>
      </c>
      <c r="E23" s="13" t="s">
        <v>158</v>
      </c>
      <c r="F23" s="13" t="s">
        <v>215</v>
      </c>
      <c r="G23" s="13" t="s">
        <v>159</v>
      </c>
      <c r="H23" s="13" t="s">
        <v>101</v>
      </c>
      <c r="I23" s="21" t="s">
        <v>160</v>
      </c>
      <c r="J23" s="21" t="s">
        <v>178</v>
      </c>
      <c r="K23" s="21" t="s">
        <v>220</v>
      </c>
      <c r="L23" s="22" t="s">
        <v>37</v>
      </c>
      <c r="M23" s="21" t="s">
        <v>163</v>
      </c>
      <c r="N23" s="13" t="s">
        <v>106</v>
      </c>
      <c r="O23" s="23" t="n">
        <v>8.5</v>
      </c>
      <c r="P23" s="13" t="n">
        <v>1</v>
      </c>
      <c r="Q23" s="24" t="n">
        <v>46309.7993402778</v>
      </c>
      <c r="R23" s="22"/>
      <c r="S23" s="13" t="s">
        <v>164</v>
      </c>
      <c r="T23" s="13" t="str">
        <f aca="false">IF(S23="Oui",IF(R23=L23,"Identique","Changé"),"")</f>
        <v/>
      </c>
    </row>
    <row r="24" customFormat="false" ht="35.05" hidden="false" customHeight="false" outlineLevel="0" collapsed="false">
      <c r="A24" s="13" t="s">
        <v>221</v>
      </c>
      <c r="B24" s="13" t="s">
        <v>214</v>
      </c>
      <c r="C24" s="13" t="n">
        <v>3</v>
      </c>
      <c r="D24" s="13" t="s">
        <v>97</v>
      </c>
      <c r="E24" s="13" t="s">
        <v>171</v>
      </c>
      <c r="F24" s="13" t="s">
        <v>215</v>
      </c>
      <c r="G24" s="13" t="s">
        <v>222</v>
      </c>
      <c r="H24" s="13" t="s">
        <v>101</v>
      </c>
      <c r="I24" s="21" t="s">
        <v>223</v>
      </c>
      <c r="J24" s="21" t="s">
        <v>224</v>
      </c>
      <c r="K24" s="21" t="s">
        <v>225</v>
      </c>
      <c r="L24" s="22" t="s">
        <v>36</v>
      </c>
      <c r="M24" s="21" t="s">
        <v>120</v>
      </c>
      <c r="N24" s="13" t="s">
        <v>106</v>
      </c>
      <c r="O24" s="23" t="n">
        <v>20.91</v>
      </c>
      <c r="P24" s="13" t="n">
        <v>1</v>
      </c>
      <c r="Q24" s="24" t="n">
        <v>46309.7996759259</v>
      </c>
      <c r="R24" s="22"/>
      <c r="S24" s="13" t="s">
        <v>164</v>
      </c>
      <c r="T24" s="13" t="str">
        <f aca="false">IF(S24="Oui",IF(R24=L24,"Identique","Changé"),"")</f>
        <v/>
      </c>
    </row>
    <row r="25" customFormat="false" ht="35.05" hidden="false" customHeight="false" outlineLevel="0" collapsed="false">
      <c r="A25" s="13" t="s">
        <v>226</v>
      </c>
      <c r="B25" s="13" t="s">
        <v>214</v>
      </c>
      <c r="C25" s="13" t="n">
        <v>4</v>
      </c>
      <c r="D25" s="13" t="s">
        <v>97</v>
      </c>
      <c r="E25" s="13" t="s">
        <v>171</v>
      </c>
      <c r="F25" s="13" t="s">
        <v>215</v>
      </c>
      <c r="G25" s="13" t="s">
        <v>172</v>
      </c>
      <c r="H25" s="13" t="s">
        <v>101</v>
      </c>
      <c r="I25" s="21" t="s">
        <v>227</v>
      </c>
      <c r="J25" s="21" t="s">
        <v>228</v>
      </c>
      <c r="K25" s="21" t="s">
        <v>229</v>
      </c>
      <c r="L25" s="22" t="s">
        <v>37</v>
      </c>
      <c r="M25" s="21" t="s">
        <v>163</v>
      </c>
      <c r="N25" s="13" t="s">
        <v>106</v>
      </c>
      <c r="O25" s="23" t="n">
        <v>7.54</v>
      </c>
      <c r="P25" s="13" t="n">
        <v>1</v>
      </c>
      <c r="Q25" s="24" t="n">
        <v>46309.7998611111</v>
      </c>
      <c r="R25" s="22"/>
      <c r="S25" s="13" t="s">
        <v>164</v>
      </c>
      <c r="T25" s="13" t="str">
        <f aca="false">IF(S25="Oui",IF(R25=L25,"Identique","Changé"),"")</f>
        <v/>
      </c>
    </row>
    <row r="26" customFormat="false" ht="35.05" hidden="false" customHeight="false" outlineLevel="0" collapsed="false">
      <c r="A26" s="13" t="s">
        <v>230</v>
      </c>
      <c r="B26" s="13" t="s">
        <v>214</v>
      </c>
      <c r="C26" s="13" t="n">
        <v>5</v>
      </c>
      <c r="D26" s="13" t="s">
        <v>97</v>
      </c>
      <c r="E26" s="13" t="s">
        <v>122</v>
      </c>
      <c r="F26" s="13" t="s">
        <v>215</v>
      </c>
      <c r="G26" s="13" t="s">
        <v>231</v>
      </c>
      <c r="H26" s="13" t="s">
        <v>101</v>
      </c>
      <c r="I26" s="21" t="s">
        <v>232</v>
      </c>
      <c r="J26" s="21" t="s">
        <v>233</v>
      </c>
      <c r="K26" s="21" t="s">
        <v>234</v>
      </c>
      <c r="L26" s="22" t="s">
        <v>36</v>
      </c>
      <c r="M26" s="21" t="s">
        <v>235</v>
      </c>
      <c r="N26" s="13" t="s">
        <v>106</v>
      </c>
      <c r="O26" s="23" t="n">
        <v>8.85</v>
      </c>
      <c r="P26" s="13" t="n">
        <v>1</v>
      </c>
      <c r="Q26" s="24" t="n">
        <v>46309.8000694444</v>
      </c>
      <c r="R26" s="22"/>
      <c r="S26" s="13" t="s">
        <v>164</v>
      </c>
      <c r="T26" s="13" t="str">
        <f aca="false">IF(S26="Oui",IF(R26=L26,"Identique","Changé"),"")</f>
        <v/>
      </c>
    </row>
    <row r="27" customFormat="false" ht="57.45" hidden="false" customHeight="false" outlineLevel="0" collapsed="false">
      <c r="A27" s="13" t="s">
        <v>236</v>
      </c>
      <c r="B27" s="13" t="s">
        <v>237</v>
      </c>
      <c r="C27" s="13" t="n">
        <v>1</v>
      </c>
      <c r="D27" s="13" t="s">
        <v>135</v>
      </c>
      <c r="E27" s="13" t="s">
        <v>158</v>
      </c>
      <c r="F27" s="13" t="s">
        <v>238</v>
      </c>
      <c r="G27" s="13" t="s">
        <v>159</v>
      </c>
      <c r="H27" s="13" t="s">
        <v>101</v>
      </c>
      <c r="I27" s="21" t="s">
        <v>239</v>
      </c>
      <c r="J27" s="21" t="s">
        <v>178</v>
      </c>
      <c r="K27" s="21" t="s">
        <v>240</v>
      </c>
      <c r="L27" s="22" t="s">
        <v>36</v>
      </c>
      <c r="M27" s="21" t="s">
        <v>235</v>
      </c>
      <c r="N27" s="13" t="s">
        <v>106</v>
      </c>
      <c r="O27" s="23" t="n">
        <v>47.24</v>
      </c>
      <c r="P27" s="13" t="n">
        <v>2</v>
      </c>
      <c r="Q27" s="24" t="n">
        <v>46309.8053125</v>
      </c>
      <c r="R27" s="22"/>
      <c r="S27" s="13" t="s">
        <v>164</v>
      </c>
      <c r="T27" s="13" t="str">
        <f aca="false">IF(S27="Oui",IF(R27=L27,"Identique","Changé"),"")</f>
        <v/>
      </c>
    </row>
    <row r="28" customFormat="false" ht="35.05" hidden="false" customHeight="false" outlineLevel="0" collapsed="false">
      <c r="A28" s="13" t="s">
        <v>241</v>
      </c>
      <c r="B28" s="13" t="s">
        <v>237</v>
      </c>
      <c r="C28" s="13" t="n">
        <v>2</v>
      </c>
      <c r="D28" s="13" t="s">
        <v>135</v>
      </c>
      <c r="E28" s="13" t="s">
        <v>114</v>
      </c>
      <c r="F28" s="13" t="s">
        <v>238</v>
      </c>
      <c r="G28" s="13" t="s">
        <v>116</v>
      </c>
      <c r="H28" s="13" t="s">
        <v>101</v>
      </c>
      <c r="I28" s="21" t="s">
        <v>242</v>
      </c>
      <c r="J28" s="21" t="s">
        <v>138</v>
      </c>
      <c r="K28" s="21" t="s">
        <v>243</v>
      </c>
      <c r="L28" s="22" t="s">
        <v>36</v>
      </c>
      <c r="M28" s="21" t="s">
        <v>120</v>
      </c>
      <c r="N28" s="13" t="s">
        <v>106</v>
      </c>
      <c r="O28" s="23" t="n">
        <v>8.99</v>
      </c>
      <c r="P28" s="13" t="n">
        <v>2</v>
      </c>
      <c r="Q28" s="24" t="n">
        <v>46309.8055208333</v>
      </c>
      <c r="R28" s="22"/>
      <c r="S28" s="13" t="s">
        <v>164</v>
      </c>
      <c r="T28" s="13" t="str">
        <f aca="false">IF(S28="Oui",IF(R28=L28,"Identique","Changé"),"")</f>
        <v/>
      </c>
    </row>
    <row r="29" customFormat="false" ht="35.05" hidden="false" customHeight="false" outlineLevel="0" collapsed="false">
      <c r="A29" s="13" t="s">
        <v>244</v>
      </c>
      <c r="B29" s="13" t="s">
        <v>237</v>
      </c>
      <c r="C29" s="13" t="n">
        <v>3</v>
      </c>
      <c r="D29" s="13" t="s">
        <v>135</v>
      </c>
      <c r="E29" s="13" t="s">
        <v>128</v>
      </c>
      <c r="F29" s="13" t="s">
        <v>245</v>
      </c>
      <c r="G29" s="13" t="s">
        <v>129</v>
      </c>
      <c r="H29" s="13" t="s">
        <v>101</v>
      </c>
      <c r="I29" s="21" t="s">
        <v>246</v>
      </c>
      <c r="J29" s="21" t="s">
        <v>199</v>
      </c>
      <c r="K29" s="21" t="s">
        <v>247</v>
      </c>
      <c r="L29" s="22" t="s">
        <v>36</v>
      </c>
      <c r="M29" s="21" t="s">
        <v>120</v>
      </c>
      <c r="N29" s="13" t="s">
        <v>106</v>
      </c>
      <c r="O29" s="23" t="n">
        <v>12.5</v>
      </c>
      <c r="P29" s="13" t="n">
        <v>2</v>
      </c>
      <c r="Q29" s="24" t="n">
        <v>46309.8057638889</v>
      </c>
      <c r="R29" s="22"/>
      <c r="S29" s="13" t="s">
        <v>164</v>
      </c>
      <c r="T29" s="13" t="str">
        <f aca="false">IF(S29="Oui",IF(R29=L29,"Identique","Changé"),"")</f>
        <v/>
      </c>
    </row>
    <row r="30" customFormat="false" ht="46.25" hidden="false" customHeight="false" outlineLevel="0" collapsed="false">
      <c r="A30" s="13" t="s">
        <v>248</v>
      </c>
      <c r="B30" s="13" t="s">
        <v>237</v>
      </c>
      <c r="C30" s="13" t="n">
        <v>4</v>
      </c>
      <c r="D30" s="13" t="s">
        <v>135</v>
      </c>
      <c r="E30" s="13" t="s">
        <v>128</v>
      </c>
      <c r="F30" s="13" t="s">
        <v>245</v>
      </c>
      <c r="G30" s="13" t="s">
        <v>193</v>
      </c>
      <c r="H30" s="13" t="s">
        <v>101</v>
      </c>
      <c r="I30" s="21" t="s">
        <v>249</v>
      </c>
      <c r="J30" s="21" t="s">
        <v>195</v>
      </c>
      <c r="K30" s="21" t="s">
        <v>250</v>
      </c>
      <c r="L30" s="22" t="s">
        <v>36</v>
      </c>
      <c r="M30" s="21" t="s">
        <v>120</v>
      </c>
      <c r="N30" s="13" t="s">
        <v>106</v>
      </c>
      <c r="O30" s="23" t="n">
        <v>8.95</v>
      </c>
      <c r="P30" s="13" t="n">
        <v>2</v>
      </c>
      <c r="Q30" s="24" t="n">
        <v>46309.8059722222</v>
      </c>
      <c r="R30" s="22"/>
      <c r="S30" s="13" t="s">
        <v>164</v>
      </c>
      <c r="T30" s="13" t="str">
        <f aca="false">IF(S30="Oui",IF(R30=L30,"Identique","Changé"),"")</f>
        <v/>
      </c>
    </row>
    <row r="31" customFormat="false" ht="35.05" hidden="false" customHeight="false" outlineLevel="0" collapsed="false">
      <c r="A31" s="13" t="s">
        <v>251</v>
      </c>
      <c r="B31" s="13" t="s">
        <v>237</v>
      </c>
      <c r="C31" s="13" t="n">
        <v>5</v>
      </c>
      <c r="D31" s="13" t="s">
        <v>135</v>
      </c>
      <c r="E31" s="13" t="s">
        <v>122</v>
      </c>
      <c r="F31" s="13" t="s">
        <v>238</v>
      </c>
      <c r="G31" s="13" t="s">
        <v>123</v>
      </c>
      <c r="H31" s="13" t="s">
        <v>101</v>
      </c>
      <c r="I31" s="21" t="s">
        <v>252</v>
      </c>
      <c r="J31" s="21" t="s">
        <v>125</v>
      </c>
      <c r="K31" s="21" t="s">
        <v>253</v>
      </c>
      <c r="L31" s="22" t="s">
        <v>36</v>
      </c>
      <c r="M31" s="21" t="s">
        <v>120</v>
      </c>
      <c r="N31" s="13" t="s">
        <v>106</v>
      </c>
      <c r="O31" s="23" t="n">
        <v>8.92</v>
      </c>
      <c r="P31" s="13" t="n">
        <v>2</v>
      </c>
      <c r="Q31" s="24" t="n">
        <v>46309.8061805556</v>
      </c>
      <c r="R31" s="22"/>
      <c r="S31" s="13" t="s">
        <v>164</v>
      </c>
      <c r="T31" s="13" t="str">
        <f aca="false">IF(S31="Oui",IF(R31=L31,"Identique","Changé"),"")</f>
        <v/>
      </c>
    </row>
    <row r="32" customFormat="false" ht="68.65" hidden="false" customHeight="false" outlineLevel="0" collapsed="false">
      <c r="A32" s="13" t="s">
        <v>254</v>
      </c>
      <c r="B32" s="13" t="s">
        <v>255</v>
      </c>
      <c r="C32" s="13" t="n">
        <v>1</v>
      </c>
      <c r="D32" s="13" t="s">
        <v>97</v>
      </c>
      <c r="E32" s="13" t="s">
        <v>158</v>
      </c>
      <c r="F32" s="13" t="s">
        <v>256</v>
      </c>
      <c r="G32" s="13" t="s">
        <v>159</v>
      </c>
      <c r="H32" s="13" t="s">
        <v>101</v>
      </c>
      <c r="I32" s="21" t="s">
        <v>257</v>
      </c>
      <c r="J32" s="21" t="s">
        <v>233</v>
      </c>
      <c r="K32" s="21" t="s">
        <v>258</v>
      </c>
      <c r="L32" s="22" t="s">
        <v>36</v>
      </c>
      <c r="M32" s="21" t="s">
        <v>235</v>
      </c>
      <c r="N32" s="13" t="s">
        <v>106</v>
      </c>
      <c r="O32" s="23" t="n">
        <v>62.96</v>
      </c>
      <c r="P32" s="13" t="n">
        <v>6</v>
      </c>
      <c r="Q32" s="24" t="n">
        <v>46310.4078587963</v>
      </c>
      <c r="R32" s="22"/>
      <c r="S32" s="13" t="s">
        <v>164</v>
      </c>
      <c r="T32" s="13" t="str">
        <f aca="false">IF(S32="Oui",IF(R32=L32,"Identique","Changé"),"")</f>
        <v/>
      </c>
    </row>
    <row r="33" customFormat="false" ht="23.85" hidden="false" customHeight="false" outlineLevel="0" collapsed="false">
      <c r="A33" s="13" t="s">
        <v>259</v>
      </c>
      <c r="B33" s="13" t="s">
        <v>255</v>
      </c>
      <c r="C33" s="13" t="n">
        <v>2</v>
      </c>
      <c r="D33" s="13" t="s">
        <v>97</v>
      </c>
      <c r="E33" s="13" t="s">
        <v>260</v>
      </c>
      <c r="F33" s="13" t="s">
        <v>256</v>
      </c>
      <c r="G33" s="13" t="s">
        <v>261</v>
      </c>
      <c r="H33" s="13" t="s">
        <v>101</v>
      </c>
      <c r="I33" s="21" t="s">
        <v>262</v>
      </c>
      <c r="J33" s="21" t="s">
        <v>263</v>
      </c>
      <c r="K33" s="21" t="s">
        <v>264</v>
      </c>
      <c r="L33" s="22" t="s">
        <v>36</v>
      </c>
      <c r="M33" s="21" t="s">
        <v>120</v>
      </c>
      <c r="N33" s="13" t="s">
        <v>106</v>
      </c>
      <c r="O33" s="23" t="n">
        <v>17.27</v>
      </c>
      <c r="P33" s="13" t="n">
        <v>6</v>
      </c>
      <c r="Q33" s="24" t="n">
        <v>46310.4081597222</v>
      </c>
      <c r="R33" s="22"/>
      <c r="S33" s="13" t="s">
        <v>164</v>
      </c>
      <c r="T33" s="13" t="str">
        <f aca="false">IF(S33="Oui",IF(R33=L33,"Identique","Changé"),"")</f>
        <v/>
      </c>
    </row>
    <row r="34" customFormat="false" ht="35.05" hidden="false" customHeight="false" outlineLevel="0" collapsed="false">
      <c r="A34" s="13" t="s">
        <v>265</v>
      </c>
      <c r="B34" s="13" t="s">
        <v>255</v>
      </c>
      <c r="C34" s="13" t="n">
        <v>3</v>
      </c>
      <c r="D34" s="13" t="s">
        <v>97</v>
      </c>
      <c r="E34" s="13" t="s">
        <v>122</v>
      </c>
      <c r="F34" s="13" t="s">
        <v>256</v>
      </c>
      <c r="G34" s="13" t="s">
        <v>231</v>
      </c>
      <c r="H34" s="13" t="s">
        <v>101</v>
      </c>
      <c r="I34" s="21" t="s">
        <v>232</v>
      </c>
      <c r="J34" s="21" t="s">
        <v>233</v>
      </c>
      <c r="K34" s="21" t="s">
        <v>266</v>
      </c>
      <c r="L34" s="22" t="s">
        <v>36</v>
      </c>
      <c r="M34" s="21" t="s">
        <v>235</v>
      </c>
      <c r="N34" s="13" t="s">
        <v>106</v>
      </c>
      <c r="O34" s="23" t="n">
        <v>10.51</v>
      </c>
      <c r="P34" s="13" t="n">
        <v>6</v>
      </c>
      <c r="Q34" s="24" t="n">
        <v>46310.4083796296</v>
      </c>
      <c r="R34" s="22"/>
      <c r="S34" s="13" t="s">
        <v>164</v>
      </c>
      <c r="T34" s="13" t="str">
        <f aca="false">IF(S34="Oui",IF(R34=L34,"Identique","Changé"),"")</f>
        <v/>
      </c>
    </row>
    <row r="35" customFormat="false" ht="57.45" hidden="false" customHeight="false" outlineLevel="0" collapsed="false">
      <c r="A35" s="13" t="s">
        <v>267</v>
      </c>
      <c r="B35" s="13" t="s">
        <v>255</v>
      </c>
      <c r="C35" s="13" t="n">
        <v>4</v>
      </c>
      <c r="D35" s="13" t="s">
        <v>97</v>
      </c>
      <c r="E35" s="13" t="s">
        <v>98</v>
      </c>
      <c r="F35" s="13" t="s">
        <v>256</v>
      </c>
      <c r="G35" s="13" t="s">
        <v>181</v>
      </c>
      <c r="H35" s="13" t="s">
        <v>152</v>
      </c>
      <c r="I35" s="21" t="s">
        <v>268</v>
      </c>
      <c r="J35" s="21" t="s">
        <v>154</v>
      </c>
      <c r="K35" s="21" t="s">
        <v>269</v>
      </c>
      <c r="L35" s="22" t="s">
        <v>40</v>
      </c>
      <c r="M35" s="21" t="s">
        <v>156</v>
      </c>
      <c r="N35" s="13" t="s">
        <v>106</v>
      </c>
      <c r="O35" s="23" t="n">
        <v>11.48</v>
      </c>
      <c r="P35" s="13" t="n">
        <v>6</v>
      </c>
      <c r="Q35" s="24" t="n">
        <v>46310.4086226852</v>
      </c>
      <c r="R35" s="22"/>
      <c r="S35" s="13" t="s">
        <v>164</v>
      </c>
      <c r="T35" s="13" t="str">
        <f aca="false">IF(S35="Oui",IF(R35=L35,"Identique","Changé"),"")</f>
        <v/>
      </c>
    </row>
    <row r="36" customFormat="false" ht="35.05" hidden="false" customHeight="false" outlineLevel="0" collapsed="false">
      <c r="A36" s="13" t="s">
        <v>270</v>
      </c>
      <c r="B36" s="13" t="s">
        <v>255</v>
      </c>
      <c r="C36" s="13" t="n">
        <v>5</v>
      </c>
      <c r="D36" s="13" t="s">
        <v>97</v>
      </c>
      <c r="E36" s="13" t="s">
        <v>122</v>
      </c>
      <c r="F36" s="13" t="s">
        <v>256</v>
      </c>
      <c r="G36" s="13" t="s">
        <v>123</v>
      </c>
      <c r="H36" s="13" t="s">
        <v>101</v>
      </c>
      <c r="I36" s="21" t="s">
        <v>271</v>
      </c>
      <c r="J36" s="21" t="s">
        <v>125</v>
      </c>
      <c r="K36" s="21" t="s">
        <v>272</v>
      </c>
      <c r="L36" s="22" t="s">
        <v>36</v>
      </c>
      <c r="M36" s="21" t="s">
        <v>120</v>
      </c>
      <c r="N36" s="13" t="s">
        <v>106</v>
      </c>
      <c r="O36" s="23" t="n">
        <v>10.93</v>
      </c>
      <c r="P36" s="13" t="n">
        <v>6</v>
      </c>
      <c r="Q36" s="24" t="n">
        <v>46310.4088425926</v>
      </c>
      <c r="R36" s="22"/>
      <c r="S36" s="13" t="s">
        <v>164</v>
      </c>
      <c r="T36" s="13" t="str">
        <f aca="false">IF(S36="Oui",IF(R36=L36,"Identique","Changé"),"")</f>
        <v/>
      </c>
    </row>
    <row r="37" customFormat="false" ht="57.45" hidden="false" customHeight="false" outlineLevel="0" collapsed="false">
      <c r="A37" s="13" t="s">
        <v>273</v>
      </c>
      <c r="B37" s="13" t="s">
        <v>274</v>
      </c>
      <c r="C37" s="13" t="n">
        <v>1</v>
      </c>
      <c r="D37" s="13" t="s">
        <v>135</v>
      </c>
      <c r="E37" s="13" t="s">
        <v>122</v>
      </c>
      <c r="F37" s="13" t="s">
        <v>275</v>
      </c>
      <c r="G37" s="13" t="s">
        <v>123</v>
      </c>
      <c r="H37" s="13" t="s">
        <v>101</v>
      </c>
      <c r="I37" s="21" t="s">
        <v>276</v>
      </c>
      <c r="J37" s="21" t="s">
        <v>277</v>
      </c>
      <c r="K37" s="21" t="s">
        <v>278</v>
      </c>
      <c r="L37" s="22" t="s">
        <v>36</v>
      </c>
      <c r="M37" s="21" t="s">
        <v>120</v>
      </c>
      <c r="N37" s="13" t="s">
        <v>106</v>
      </c>
      <c r="O37" s="23" t="n">
        <v>78.97</v>
      </c>
      <c r="P37" s="13" t="n">
        <v>1</v>
      </c>
      <c r="Q37" s="24" t="n">
        <v>46309.8209375</v>
      </c>
      <c r="R37" s="22"/>
      <c r="S37" s="13" t="s">
        <v>164</v>
      </c>
      <c r="T37" s="13" t="str">
        <f aca="false">IF(S37="Oui",IF(R37=L37,"Identique","Changé"),"")</f>
        <v/>
      </c>
    </row>
    <row r="38" customFormat="false" ht="35.05" hidden="false" customHeight="false" outlineLevel="0" collapsed="false">
      <c r="A38" s="13" t="s">
        <v>279</v>
      </c>
      <c r="B38" s="13" t="s">
        <v>274</v>
      </c>
      <c r="C38" s="13" t="n">
        <v>2</v>
      </c>
      <c r="D38" s="13" t="s">
        <v>135</v>
      </c>
      <c r="E38" s="13" t="s">
        <v>128</v>
      </c>
      <c r="F38" s="13" t="s">
        <v>275</v>
      </c>
      <c r="G38" s="13" t="s">
        <v>193</v>
      </c>
      <c r="H38" s="13" t="s">
        <v>101</v>
      </c>
      <c r="I38" s="21" t="s">
        <v>249</v>
      </c>
      <c r="J38" s="21" t="s">
        <v>195</v>
      </c>
      <c r="K38" s="21" t="s">
        <v>280</v>
      </c>
      <c r="L38" s="22" t="s">
        <v>36</v>
      </c>
      <c r="M38" s="21" t="s">
        <v>120</v>
      </c>
      <c r="N38" s="13" t="s">
        <v>106</v>
      </c>
      <c r="O38" s="23" t="n">
        <v>10.21</v>
      </c>
      <c r="P38" s="13" t="n">
        <v>1</v>
      </c>
      <c r="Q38" s="24" t="n">
        <v>46309.8211574074</v>
      </c>
      <c r="R38" s="22"/>
      <c r="S38" s="13" t="s">
        <v>164</v>
      </c>
      <c r="T38" s="13" t="str">
        <f aca="false">IF(S38="Oui",IF(R38=L38,"Identique","Changé"),"")</f>
        <v/>
      </c>
    </row>
    <row r="39" customFormat="false" ht="46.25" hidden="false" customHeight="false" outlineLevel="0" collapsed="false">
      <c r="A39" s="13" t="s">
        <v>281</v>
      </c>
      <c r="B39" s="13" t="s">
        <v>274</v>
      </c>
      <c r="C39" s="13" t="n">
        <v>3</v>
      </c>
      <c r="D39" s="13" t="s">
        <v>135</v>
      </c>
      <c r="E39" s="13" t="s">
        <v>122</v>
      </c>
      <c r="F39" s="13" t="s">
        <v>275</v>
      </c>
      <c r="G39" s="13" t="s">
        <v>282</v>
      </c>
      <c r="H39" s="13" t="s">
        <v>101</v>
      </c>
      <c r="I39" s="21" t="s">
        <v>283</v>
      </c>
      <c r="J39" s="21" t="s">
        <v>284</v>
      </c>
      <c r="K39" s="21" t="s">
        <v>285</v>
      </c>
      <c r="L39" s="22" t="s">
        <v>36</v>
      </c>
      <c r="M39" s="21" t="s">
        <v>120</v>
      </c>
      <c r="N39" s="13" t="s">
        <v>106</v>
      </c>
      <c r="O39" s="23" t="n">
        <v>11.61</v>
      </c>
      <c r="P39" s="13" t="n">
        <v>1</v>
      </c>
      <c r="Q39" s="24" t="n">
        <v>46309.8213888889</v>
      </c>
      <c r="R39" s="22"/>
      <c r="S39" s="13" t="s">
        <v>164</v>
      </c>
      <c r="T39" s="13" t="str">
        <f aca="false">IF(S39="Oui",IF(R39=L39,"Identique","Changé"),"")</f>
        <v/>
      </c>
    </row>
    <row r="40" customFormat="false" ht="57.45" hidden="false" customHeight="false" outlineLevel="0" collapsed="false">
      <c r="A40" s="13" t="s">
        <v>286</v>
      </c>
      <c r="B40" s="13" t="s">
        <v>274</v>
      </c>
      <c r="C40" s="13" t="n">
        <v>4</v>
      </c>
      <c r="D40" s="13" t="s">
        <v>135</v>
      </c>
      <c r="E40" s="13" t="s">
        <v>98</v>
      </c>
      <c r="F40" s="13" t="s">
        <v>275</v>
      </c>
      <c r="G40" s="13" t="s">
        <v>181</v>
      </c>
      <c r="H40" s="13" t="s">
        <v>152</v>
      </c>
      <c r="I40" s="21" t="s">
        <v>287</v>
      </c>
      <c r="J40" s="21" t="s">
        <v>154</v>
      </c>
      <c r="K40" s="21" t="s">
        <v>288</v>
      </c>
      <c r="L40" s="22" t="s">
        <v>40</v>
      </c>
      <c r="M40" s="21" t="s">
        <v>156</v>
      </c>
      <c r="N40" s="13" t="s">
        <v>106</v>
      </c>
      <c r="O40" s="23" t="n">
        <v>14</v>
      </c>
      <c r="P40" s="13" t="n">
        <v>1</v>
      </c>
      <c r="Q40" s="24" t="n">
        <v>46309.8216435185</v>
      </c>
      <c r="R40" s="22"/>
      <c r="S40" s="13" t="s">
        <v>164</v>
      </c>
      <c r="T40" s="13" t="str">
        <f aca="false">IF(S40="Oui",IF(R40=L40,"Identique","Changé"),"")</f>
        <v/>
      </c>
    </row>
    <row r="41" customFormat="false" ht="23.85" hidden="false" customHeight="false" outlineLevel="0" collapsed="false">
      <c r="A41" s="13" t="s">
        <v>289</v>
      </c>
      <c r="B41" s="13" t="s">
        <v>274</v>
      </c>
      <c r="C41" s="13" t="n">
        <v>5</v>
      </c>
      <c r="D41" s="13" t="s">
        <v>135</v>
      </c>
      <c r="E41" s="13" t="s">
        <v>128</v>
      </c>
      <c r="F41" s="13" t="s">
        <v>275</v>
      </c>
      <c r="G41" s="13" t="s">
        <v>290</v>
      </c>
      <c r="H41" s="13" t="s">
        <v>101</v>
      </c>
      <c r="I41" s="21" t="s">
        <v>291</v>
      </c>
      <c r="J41" s="21" t="s">
        <v>292</v>
      </c>
      <c r="K41" s="21" t="s">
        <v>293</v>
      </c>
      <c r="L41" s="22" t="s">
        <v>36</v>
      </c>
      <c r="M41" s="21" t="s">
        <v>120</v>
      </c>
      <c r="N41" s="13" t="s">
        <v>106</v>
      </c>
      <c r="O41" s="23" t="n">
        <v>8.98</v>
      </c>
      <c r="P41" s="13" t="n">
        <v>1</v>
      </c>
      <c r="Q41" s="24" t="n">
        <v>46309.8218518519</v>
      </c>
      <c r="R41" s="22"/>
      <c r="S41" s="13" t="s">
        <v>164</v>
      </c>
      <c r="T41" s="13" t="str">
        <f aca="false">IF(S41="Oui",IF(R41=L41,"Identique","Changé"),"")</f>
        <v/>
      </c>
    </row>
    <row r="42" customFormat="false" ht="35.05" hidden="false" customHeight="false" outlineLevel="0" collapsed="false">
      <c r="A42" s="13" t="s">
        <v>294</v>
      </c>
      <c r="B42" s="13" t="s">
        <v>295</v>
      </c>
      <c r="C42" s="13" t="n">
        <v>1</v>
      </c>
      <c r="D42" s="13" t="s">
        <v>97</v>
      </c>
      <c r="E42" s="13" t="s">
        <v>122</v>
      </c>
      <c r="F42" s="13" t="s">
        <v>296</v>
      </c>
      <c r="G42" s="13" t="s">
        <v>231</v>
      </c>
      <c r="H42" s="13" t="s">
        <v>101</v>
      </c>
      <c r="I42" s="21" t="s">
        <v>297</v>
      </c>
      <c r="J42" s="21" t="s">
        <v>161</v>
      </c>
      <c r="K42" s="21" t="s">
        <v>298</v>
      </c>
      <c r="L42" s="22" t="s">
        <v>36</v>
      </c>
      <c r="M42" s="21" t="s">
        <v>235</v>
      </c>
      <c r="N42" s="13" t="s">
        <v>106</v>
      </c>
      <c r="O42" s="23" t="n">
        <v>28.73</v>
      </c>
      <c r="P42" s="13" t="n">
        <v>3</v>
      </c>
      <c r="Q42" s="24" t="n">
        <v>46309.8318865741</v>
      </c>
      <c r="R42" s="22"/>
      <c r="S42" s="13" t="s">
        <v>164</v>
      </c>
      <c r="T42" s="13" t="str">
        <f aca="false">IF(S42="Oui",IF(R42=L42,"Identique","Changé"),"")</f>
        <v/>
      </c>
    </row>
    <row r="43" customFormat="false" ht="35.05" hidden="false" customHeight="false" outlineLevel="0" collapsed="false">
      <c r="A43" s="13" t="s">
        <v>299</v>
      </c>
      <c r="B43" s="13" t="s">
        <v>295</v>
      </c>
      <c r="C43" s="13" t="n">
        <v>2</v>
      </c>
      <c r="D43" s="13" t="s">
        <v>97</v>
      </c>
      <c r="E43" s="13" t="s">
        <v>98</v>
      </c>
      <c r="F43" s="13" t="s">
        <v>296</v>
      </c>
      <c r="G43" s="13" t="s">
        <v>109</v>
      </c>
      <c r="H43" s="13" t="s">
        <v>101</v>
      </c>
      <c r="I43" s="21" t="s">
        <v>300</v>
      </c>
      <c r="J43" s="21" t="s">
        <v>301</v>
      </c>
      <c r="K43" s="21" t="s">
        <v>302</v>
      </c>
      <c r="L43" s="22" t="s">
        <v>36</v>
      </c>
      <c r="M43" s="21" t="s">
        <v>120</v>
      </c>
      <c r="N43" s="13" t="s">
        <v>106</v>
      </c>
      <c r="O43" s="23" t="n">
        <v>8.47</v>
      </c>
      <c r="P43" s="13" t="n">
        <v>3</v>
      </c>
      <c r="Q43" s="24" t="n">
        <v>46309.8320833333</v>
      </c>
      <c r="R43" s="22"/>
      <c r="S43" s="13" t="s">
        <v>164</v>
      </c>
      <c r="T43" s="13" t="str">
        <f aca="false">IF(S43="Oui",IF(R43=L43,"Identique","Changé"),"")</f>
        <v/>
      </c>
    </row>
    <row r="44" customFormat="false" ht="35.05" hidden="false" customHeight="false" outlineLevel="0" collapsed="false">
      <c r="A44" s="13" t="s">
        <v>303</v>
      </c>
      <c r="B44" s="13" t="s">
        <v>295</v>
      </c>
      <c r="C44" s="13" t="n">
        <v>3</v>
      </c>
      <c r="D44" s="13" t="s">
        <v>97</v>
      </c>
      <c r="E44" s="13" t="s">
        <v>171</v>
      </c>
      <c r="F44" s="13" t="s">
        <v>296</v>
      </c>
      <c r="G44" s="13" t="s">
        <v>222</v>
      </c>
      <c r="H44" s="13" t="s">
        <v>101</v>
      </c>
      <c r="I44" s="21" t="s">
        <v>304</v>
      </c>
      <c r="J44" s="21" t="s">
        <v>224</v>
      </c>
      <c r="K44" s="21" t="s">
        <v>305</v>
      </c>
      <c r="L44" s="22" t="s">
        <v>36</v>
      </c>
      <c r="M44" s="21" t="s">
        <v>120</v>
      </c>
      <c r="N44" s="13" t="s">
        <v>106</v>
      </c>
      <c r="O44" s="23" t="n">
        <v>16.84</v>
      </c>
      <c r="P44" s="13" t="n">
        <v>3</v>
      </c>
      <c r="Q44" s="24" t="n">
        <v>46309.8323842593</v>
      </c>
      <c r="R44" s="22"/>
      <c r="S44" s="13" t="s">
        <v>164</v>
      </c>
      <c r="T44" s="13" t="str">
        <f aca="false">IF(S44="Oui",IF(R44=L44,"Identique","Changé"),"")</f>
        <v/>
      </c>
    </row>
    <row r="45" customFormat="false" ht="35.05" hidden="false" customHeight="false" outlineLevel="0" collapsed="false">
      <c r="A45" s="13" t="s">
        <v>306</v>
      </c>
      <c r="B45" s="13" t="s">
        <v>295</v>
      </c>
      <c r="C45" s="13" t="n">
        <v>4</v>
      </c>
      <c r="D45" s="13" t="s">
        <v>97</v>
      </c>
      <c r="E45" s="13" t="s">
        <v>128</v>
      </c>
      <c r="F45" s="13" t="s">
        <v>296</v>
      </c>
      <c r="G45" s="13" t="s">
        <v>290</v>
      </c>
      <c r="H45" s="13" t="s">
        <v>101</v>
      </c>
      <c r="I45" s="21" t="s">
        <v>307</v>
      </c>
      <c r="J45" s="21" t="s">
        <v>131</v>
      </c>
      <c r="K45" s="21" t="s">
        <v>308</v>
      </c>
      <c r="L45" s="22" t="s">
        <v>36</v>
      </c>
      <c r="M45" s="21" t="s">
        <v>120</v>
      </c>
      <c r="N45" s="13" t="s">
        <v>106</v>
      </c>
      <c r="O45" s="23" t="n">
        <v>9.69</v>
      </c>
      <c r="P45" s="13" t="n">
        <v>3</v>
      </c>
      <c r="Q45" s="24" t="n">
        <v>46309.8325925926</v>
      </c>
      <c r="R45" s="22"/>
      <c r="S45" s="13" t="s">
        <v>164</v>
      </c>
      <c r="T45" s="13" t="str">
        <f aca="false">IF(S45="Oui",IF(R45=L45,"Identique","Changé"),"")</f>
        <v/>
      </c>
    </row>
    <row r="46" customFormat="false" ht="46.25" hidden="false" customHeight="false" outlineLevel="0" collapsed="false">
      <c r="A46" s="13" t="s">
        <v>309</v>
      </c>
      <c r="B46" s="13" t="s">
        <v>295</v>
      </c>
      <c r="C46" s="13" t="n">
        <v>5</v>
      </c>
      <c r="D46" s="13" t="s">
        <v>97</v>
      </c>
      <c r="E46" s="13" t="s">
        <v>158</v>
      </c>
      <c r="F46" s="13" t="s">
        <v>296</v>
      </c>
      <c r="G46" s="13" t="s">
        <v>159</v>
      </c>
      <c r="H46" s="13" t="s">
        <v>101</v>
      </c>
      <c r="I46" s="21" t="s">
        <v>310</v>
      </c>
      <c r="J46" s="21" t="s">
        <v>311</v>
      </c>
      <c r="K46" s="21" t="s">
        <v>312</v>
      </c>
      <c r="L46" s="22" t="s">
        <v>37</v>
      </c>
      <c r="M46" s="21" t="s">
        <v>163</v>
      </c>
      <c r="N46" s="13" t="s">
        <v>106</v>
      </c>
      <c r="O46" s="23" t="n">
        <v>9.48</v>
      </c>
      <c r="P46" s="13" t="n">
        <v>3</v>
      </c>
      <c r="Q46" s="24" t="n">
        <v>46309.8328009259</v>
      </c>
      <c r="R46" s="22"/>
      <c r="S46" s="13" t="s">
        <v>164</v>
      </c>
      <c r="T46" s="13" t="str">
        <f aca="false">IF(S46="Oui",IF(R46=L46,"Identique","Changé"),"")</f>
        <v/>
      </c>
    </row>
    <row r="47" customFormat="false" ht="35.05" hidden="false" customHeight="false" outlineLevel="0" collapsed="false">
      <c r="A47" s="13" t="s">
        <v>313</v>
      </c>
      <c r="B47" s="13" t="s">
        <v>314</v>
      </c>
      <c r="C47" s="13" t="n">
        <v>1</v>
      </c>
      <c r="D47" s="13" t="s">
        <v>135</v>
      </c>
      <c r="E47" s="13" t="s">
        <v>128</v>
      </c>
      <c r="F47" s="13" t="s">
        <v>315</v>
      </c>
      <c r="G47" s="13" t="s">
        <v>193</v>
      </c>
      <c r="H47" s="13" t="s">
        <v>101</v>
      </c>
      <c r="I47" s="21" t="s">
        <v>316</v>
      </c>
      <c r="J47" s="21" t="s">
        <v>195</v>
      </c>
      <c r="K47" s="21" t="s">
        <v>317</v>
      </c>
      <c r="L47" s="22" t="s">
        <v>36</v>
      </c>
      <c r="M47" s="21" t="s">
        <v>120</v>
      </c>
      <c r="N47" s="13" t="s">
        <v>106</v>
      </c>
      <c r="O47" s="23" t="n">
        <v>55.37</v>
      </c>
      <c r="P47" s="13" t="n">
        <v>4</v>
      </c>
      <c r="Q47" s="24" t="n">
        <v>46310.4096875</v>
      </c>
      <c r="R47" s="22"/>
      <c r="S47" s="13" t="s">
        <v>164</v>
      </c>
      <c r="T47" s="13" t="str">
        <f aca="false">IF(S47="Oui",IF(R47=L47,"Identique","Changé"),"")</f>
        <v/>
      </c>
    </row>
    <row r="48" customFormat="false" ht="35.05" hidden="false" customHeight="false" outlineLevel="0" collapsed="false">
      <c r="A48" s="13" t="s">
        <v>318</v>
      </c>
      <c r="B48" s="13" t="s">
        <v>314</v>
      </c>
      <c r="C48" s="13" t="n">
        <v>2</v>
      </c>
      <c r="D48" s="13" t="s">
        <v>135</v>
      </c>
      <c r="E48" s="13" t="s">
        <v>128</v>
      </c>
      <c r="F48" s="13" t="s">
        <v>315</v>
      </c>
      <c r="G48" s="13" t="s">
        <v>129</v>
      </c>
      <c r="H48" s="13" t="s">
        <v>101</v>
      </c>
      <c r="I48" s="21" t="s">
        <v>319</v>
      </c>
      <c r="J48" s="21" t="s">
        <v>131</v>
      </c>
      <c r="K48" s="21" t="s">
        <v>320</v>
      </c>
      <c r="L48" s="22" t="s">
        <v>36</v>
      </c>
      <c r="M48" s="21" t="s">
        <v>120</v>
      </c>
      <c r="N48" s="13" t="s">
        <v>106</v>
      </c>
      <c r="O48" s="23" t="n">
        <v>14.77</v>
      </c>
      <c r="P48" s="13" t="n">
        <v>4</v>
      </c>
      <c r="Q48" s="24" t="n">
        <v>46310.4099768519</v>
      </c>
      <c r="R48" s="22"/>
      <c r="S48" s="13" t="s">
        <v>164</v>
      </c>
      <c r="T48" s="13" t="str">
        <f aca="false">IF(S48="Oui",IF(R48=L48,"Identique","Changé"),"")</f>
        <v/>
      </c>
    </row>
    <row r="49" customFormat="false" ht="35.05" hidden="false" customHeight="false" outlineLevel="0" collapsed="false">
      <c r="A49" s="13" t="s">
        <v>321</v>
      </c>
      <c r="B49" s="13" t="s">
        <v>314</v>
      </c>
      <c r="C49" s="13" t="n">
        <v>3</v>
      </c>
      <c r="D49" s="13" t="s">
        <v>135</v>
      </c>
      <c r="E49" s="13" t="s">
        <v>128</v>
      </c>
      <c r="F49" s="13" t="s">
        <v>315</v>
      </c>
      <c r="G49" s="13" t="s">
        <v>204</v>
      </c>
      <c r="H49" s="13" t="s">
        <v>101</v>
      </c>
      <c r="I49" s="21" t="s">
        <v>322</v>
      </c>
      <c r="J49" s="21" t="s">
        <v>206</v>
      </c>
      <c r="K49" s="21" t="s">
        <v>323</v>
      </c>
      <c r="L49" s="22" t="s">
        <v>36</v>
      </c>
      <c r="M49" s="21" t="s">
        <v>120</v>
      </c>
      <c r="N49" s="13" t="s">
        <v>106</v>
      </c>
      <c r="O49" s="23" t="n">
        <v>16.92</v>
      </c>
      <c r="P49" s="13" t="n">
        <v>4</v>
      </c>
      <c r="Q49" s="24" t="n">
        <v>46310.4103009259</v>
      </c>
      <c r="R49" s="22"/>
      <c r="S49" s="13" t="s">
        <v>164</v>
      </c>
      <c r="T49" s="13" t="str">
        <f aca="false">IF(S49="Oui",IF(R49=L49,"Identique","Changé"),"")</f>
        <v/>
      </c>
    </row>
    <row r="50" customFormat="false" ht="23.85" hidden="false" customHeight="false" outlineLevel="0" collapsed="false">
      <c r="A50" s="13" t="s">
        <v>324</v>
      </c>
      <c r="B50" s="13" t="s">
        <v>314</v>
      </c>
      <c r="C50" s="13" t="n">
        <v>4</v>
      </c>
      <c r="D50" s="13" t="s">
        <v>135</v>
      </c>
      <c r="E50" s="13" t="s">
        <v>260</v>
      </c>
      <c r="F50" s="13" t="s">
        <v>315</v>
      </c>
      <c r="G50" s="13" t="s">
        <v>261</v>
      </c>
      <c r="H50" s="13" t="s">
        <v>101</v>
      </c>
      <c r="I50" s="21" t="s">
        <v>325</v>
      </c>
      <c r="J50" s="21" t="s">
        <v>263</v>
      </c>
      <c r="K50" s="21" t="s">
        <v>326</v>
      </c>
      <c r="L50" s="22" t="s">
        <v>36</v>
      </c>
      <c r="M50" s="21" t="s">
        <v>120</v>
      </c>
      <c r="N50" s="13" t="s">
        <v>106</v>
      </c>
      <c r="O50" s="23" t="n">
        <v>14.19</v>
      </c>
      <c r="P50" s="13" t="n">
        <v>4</v>
      </c>
      <c r="Q50" s="24" t="n">
        <v>46310.4105671296</v>
      </c>
      <c r="R50" s="22"/>
      <c r="S50" s="13" t="s">
        <v>164</v>
      </c>
      <c r="T50" s="13" t="str">
        <f aca="false">IF(S50="Oui",IF(R50=L50,"Identique","Changé"),"")</f>
        <v/>
      </c>
    </row>
    <row r="51" customFormat="false" ht="35.05" hidden="false" customHeight="false" outlineLevel="0" collapsed="false">
      <c r="A51" s="13" t="s">
        <v>327</v>
      </c>
      <c r="B51" s="13" t="s">
        <v>314</v>
      </c>
      <c r="C51" s="13" t="n">
        <v>5</v>
      </c>
      <c r="D51" s="13" t="s">
        <v>135</v>
      </c>
      <c r="E51" s="13" t="s">
        <v>114</v>
      </c>
      <c r="F51" s="13" t="s">
        <v>315</v>
      </c>
      <c r="G51" s="13" t="s">
        <v>116</v>
      </c>
      <c r="H51" s="13" t="s">
        <v>101</v>
      </c>
      <c r="I51" s="21" t="s">
        <v>328</v>
      </c>
      <c r="J51" s="21" t="s">
        <v>118</v>
      </c>
      <c r="K51" s="21" t="s">
        <v>329</v>
      </c>
      <c r="L51" s="22" t="s">
        <v>36</v>
      </c>
      <c r="M51" s="21" t="s">
        <v>120</v>
      </c>
      <c r="N51" s="13" t="s">
        <v>106</v>
      </c>
      <c r="O51" s="23" t="n">
        <v>10.9</v>
      </c>
      <c r="P51" s="13" t="n">
        <v>4</v>
      </c>
      <c r="Q51" s="24" t="n">
        <v>46310.410787037</v>
      </c>
      <c r="R51" s="22"/>
      <c r="S51" s="13" t="s">
        <v>164</v>
      </c>
      <c r="T51" s="13" t="str">
        <f aca="false">IF(S51="Oui",IF(R51=L51,"Identique","Changé"),"")</f>
        <v/>
      </c>
    </row>
    <row r="52" customFormat="false" ht="68.65" hidden="false" customHeight="false" outlineLevel="0" collapsed="false">
      <c r="A52" s="13" t="s">
        <v>330</v>
      </c>
      <c r="B52" s="13" t="s">
        <v>331</v>
      </c>
      <c r="C52" s="13" t="n">
        <v>1</v>
      </c>
      <c r="D52" s="13" t="s">
        <v>97</v>
      </c>
      <c r="E52" s="13" t="s">
        <v>171</v>
      </c>
      <c r="F52" s="13" t="s">
        <v>332</v>
      </c>
      <c r="G52" s="13" t="s">
        <v>222</v>
      </c>
      <c r="H52" s="13" t="s">
        <v>101</v>
      </c>
      <c r="I52" s="21" t="s">
        <v>333</v>
      </c>
      <c r="J52" s="21" t="s">
        <v>334</v>
      </c>
      <c r="K52" s="21" t="s">
        <v>335</v>
      </c>
      <c r="L52" s="22" t="s">
        <v>36</v>
      </c>
      <c r="M52" s="21" t="s">
        <v>120</v>
      </c>
      <c r="N52" s="13" t="s">
        <v>106</v>
      </c>
      <c r="O52" s="23" t="n">
        <v>31.6</v>
      </c>
      <c r="P52" s="13" t="n">
        <v>1</v>
      </c>
      <c r="Q52" s="24" t="n">
        <v>46309.847037037</v>
      </c>
      <c r="R52" s="22"/>
      <c r="S52" s="13" t="s">
        <v>164</v>
      </c>
      <c r="T52" s="13" t="str">
        <f aca="false">IF(S52="Oui",IF(R52=L52,"Identique","Changé"),"")</f>
        <v/>
      </c>
    </row>
    <row r="53" customFormat="false" ht="35.05" hidden="false" customHeight="false" outlineLevel="0" collapsed="false">
      <c r="A53" s="13" t="s">
        <v>336</v>
      </c>
      <c r="B53" s="13" t="s">
        <v>331</v>
      </c>
      <c r="C53" s="13" t="n">
        <v>2</v>
      </c>
      <c r="D53" s="13" t="s">
        <v>97</v>
      </c>
      <c r="E53" s="13" t="s">
        <v>128</v>
      </c>
      <c r="F53" s="13" t="s">
        <v>332</v>
      </c>
      <c r="G53" s="13" t="s">
        <v>290</v>
      </c>
      <c r="H53" s="13" t="s">
        <v>101</v>
      </c>
      <c r="I53" s="21" t="s">
        <v>307</v>
      </c>
      <c r="J53" s="21" t="s">
        <v>131</v>
      </c>
      <c r="K53" s="21" t="s">
        <v>337</v>
      </c>
      <c r="L53" s="22" t="s">
        <v>36</v>
      </c>
      <c r="M53" s="21" t="s">
        <v>120</v>
      </c>
      <c r="N53" s="13" t="s">
        <v>106</v>
      </c>
      <c r="O53" s="23" t="n">
        <v>9.45</v>
      </c>
      <c r="P53" s="13" t="n">
        <v>1</v>
      </c>
      <c r="Q53" s="24" t="n">
        <v>46309.8472453704</v>
      </c>
      <c r="R53" s="22"/>
      <c r="S53" s="13" t="s">
        <v>164</v>
      </c>
      <c r="T53" s="13" t="str">
        <f aca="false">IF(S53="Oui",IF(R53=L53,"Identique","Changé"),"")</f>
        <v/>
      </c>
    </row>
    <row r="54" customFormat="false" ht="35.05" hidden="false" customHeight="false" outlineLevel="0" collapsed="false">
      <c r="A54" s="13" t="s">
        <v>338</v>
      </c>
      <c r="B54" s="13" t="s">
        <v>331</v>
      </c>
      <c r="C54" s="13" t="n">
        <v>3</v>
      </c>
      <c r="D54" s="13" t="s">
        <v>97</v>
      </c>
      <c r="E54" s="13" t="s">
        <v>122</v>
      </c>
      <c r="F54" s="13" t="s">
        <v>339</v>
      </c>
      <c r="G54" s="13" t="s">
        <v>123</v>
      </c>
      <c r="H54" s="13" t="s">
        <v>101</v>
      </c>
      <c r="I54" s="21" t="s">
        <v>340</v>
      </c>
      <c r="J54" s="21" t="s">
        <v>125</v>
      </c>
      <c r="K54" s="21" t="s">
        <v>341</v>
      </c>
      <c r="L54" s="22" t="s">
        <v>36</v>
      </c>
      <c r="M54" s="21" t="s">
        <v>120</v>
      </c>
      <c r="N54" s="13" t="s">
        <v>106</v>
      </c>
      <c r="O54" s="23" t="n">
        <v>8.24</v>
      </c>
      <c r="P54" s="13" t="n">
        <v>1</v>
      </c>
      <c r="Q54" s="24" t="n">
        <v>46309.8474421296</v>
      </c>
      <c r="R54" s="22"/>
      <c r="S54" s="13" t="s">
        <v>164</v>
      </c>
      <c r="T54" s="13" t="str">
        <f aca="false">IF(S54="Oui",IF(R54=L54,"Identique","Changé"),"")</f>
        <v/>
      </c>
    </row>
    <row r="55" customFormat="false" ht="68.65" hidden="false" customHeight="false" outlineLevel="0" collapsed="false">
      <c r="A55" s="13" t="s">
        <v>342</v>
      </c>
      <c r="B55" s="13" t="s">
        <v>331</v>
      </c>
      <c r="C55" s="13" t="n">
        <v>4</v>
      </c>
      <c r="D55" s="13" t="s">
        <v>97</v>
      </c>
      <c r="E55" s="13" t="s">
        <v>158</v>
      </c>
      <c r="F55" s="13" t="s">
        <v>339</v>
      </c>
      <c r="G55" s="13" t="s">
        <v>343</v>
      </c>
      <c r="H55" s="13" t="s">
        <v>101</v>
      </c>
      <c r="I55" s="21" t="s">
        <v>344</v>
      </c>
      <c r="J55" s="21" t="s">
        <v>345</v>
      </c>
      <c r="K55" s="21" t="s">
        <v>346</v>
      </c>
      <c r="L55" s="22" t="s">
        <v>37</v>
      </c>
      <c r="M55" s="21" t="s">
        <v>163</v>
      </c>
      <c r="N55" s="13" t="s">
        <v>106</v>
      </c>
      <c r="O55" s="23" t="n">
        <v>16.11</v>
      </c>
      <c r="P55" s="13" t="n">
        <v>1</v>
      </c>
      <c r="Q55" s="24" t="n">
        <v>46309.8477314815</v>
      </c>
      <c r="R55" s="22"/>
      <c r="S55" s="13" t="s">
        <v>164</v>
      </c>
      <c r="T55" s="13" t="str">
        <f aca="false">IF(S55="Oui",IF(R55=L55,"Identique","Changé"),"")</f>
        <v/>
      </c>
    </row>
    <row r="56" customFormat="false" ht="35.05" hidden="false" customHeight="false" outlineLevel="0" collapsed="false">
      <c r="A56" s="13" t="s">
        <v>347</v>
      </c>
      <c r="B56" s="13" t="s">
        <v>331</v>
      </c>
      <c r="C56" s="13" t="n">
        <v>5</v>
      </c>
      <c r="D56" s="13" t="s">
        <v>97</v>
      </c>
      <c r="E56" s="13" t="s">
        <v>128</v>
      </c>
      <c r="F56" s="13" t="s">
        <v>332</v>
      </c>
      <c r="G56" s="13" t="s">
        <v>348</v>
      </c>
      <c r="H56" s="13" t="s">
        <v>101</v>
      </c>
      <c r="I56" s="21" t="s">
        <v>349</v>
      </c>
      <c r="J56" s="21" t="s">
        <v>131</v>
      </c>
      <c r="K56" s="21" t="s">
        <v>350</v>
      </c>
      <c r="L56" s="22" t="s">
        <v>36</v>
      </c>
      <c r="M56" s="21" t="s">
        <v>120</v>
      </c>
      <c r="N56" s="13" t="s">
        <v>106</v>
      </c>
      <c r="O56" s="23" t="n">
        <v>9.93</v>
      </c>
      <c r="P56" s="13" t="n">
        <v>1</v>
      </c>
      <c r="Q56" s="24" t="n">
        <v>46309.8479398148</v>
      </c>
      <c r="R56" s="22"/>
      <c r="S56" s="13" t="s">
        <v>164</v>
      </c>
      <c r="T56" s="13" t="str">
        <f aca="false">IF(S56="Oui",IF(R56=L56,"Identique","Changé"),"")</f>
        <v/>
      </c>
    </row>
    <row r="57" customFormat="false" ht="35.05" hidden="false" customHeight="false" outlineLevel="0" collapsed="false">
      <c r="A57" s="13" t="s">
        <v>351</v>
      </c>
      <c r="B57" s="13" t="s">
        <v>352</v>
      </c>
      <c r="C57" s="13" t="n">
        <v>1</v>
      </c>
      <c r="D57" s="13" t="s">
        <v>135</v>
      </c>
      <c r="E57" s="13" t="s">
        <v>128</v>
      </c>
      <c r="F57" s="13" t="s">
        <v>353</v>
      </c>
      <c r="G57" s="13" t="s">
        <v>290</v>
      </c>
      <c r="H57" s="13" t="s">
        <v>101</v>
      </c>
      <c r="I57" s="21" t="s">
        <v>354</v>
      </c>
      <c r="J57" s="21" t="s">
        <v>355</v>
      </c>
      <c r="K57" s="21" t="s">
        <v>356</v>
      </c>
      <c r="L57" s="22" t="s">
        <v>36</v>
      </c>
      <c r="M57" s="21" t="s">
        <v>120</v>
      </c>
      <c r="N57" s="13" t="s">
        <v>106</v>
      </c>
      <c r="O57" s="23" t="n">
        <v>46.08</v>
      </c>
      <c r="P57" s="13" t="n">
        <v>4</v>
      </c>
      <c r="Q57" s="24" t="n">
        <v>46310.4115509259</v>
      </c>
      <c r="R57" s="22"/>
      <c r="S57" s="13" t="s">
        <v>164</v>
      </c>
      <c r="T57" s="13" t="str">
        <f aca="false">IF(S57="Oui",IF(R57=L57,"Identique","Changé"),"")</f>
        <v/>
      </c>
    </row>
    <row r="58" customFormat="false" ht="15" hidden="false" customHeight="false" outlineLevel="0" collapsed="false">
      <c r="A58" s="13" t="s">
        <v>357</v>
      </c>
      <c r="B58" s="13" t="s">
        <v>352</v>
      </c>
      <c r="C58" s="13" t="n">
        <v>2</v>
      </c>
      <c r="D58" s="13" t="s">
        <v>135</v>
      </c>
      <c r="E58" s="13" t="s">
        <v>122</v>
      </c>
      <c r="F58" s="13" t="s">
        <v>353</v>
      </c>
      <c r="G58" s="13" t="s">
        <v>123</v>
      </c>
      <c r="H58" s="13" t="s">
        <v>101</v>
      </c>
      <c r="I58" s="21" t="s">
        <v>358</v>
      </c>
      <c r="J58" s="21" t="s">
        <v>277</v>
      </c>
      <c r="K58" s="21" t="s">
        <v>359</v>
      </c>
      <c r="L58" s="22" t="s">
        <v>36</v>
      </c>
      <c r="M58" s="21" t="s">
        <v>120</v>
      </c>
      <c r="N58" s="13" t="s">
        <v>106</v>
      </c>
      <c r="O58" s="23" t="n">
        <v>11.96</v>
      </c>
      <c r="P58" s="13" t="n">
        <v>4</v>
      </c>
      <c r="Q58" s="24" t="n">
        <v>46310.4118055556</v>
      </c>
      <c r="R58" s="22"/>
      <c r="S58" s="13" t="s">
        <v>164</v>
      </c>
      <c r="T58" s="13" t="str">
        <f aca="false">IF(S58="Oui",IF(R58=L58,"Identique","Changé"),"")</f>
        <v/>
      </c>
    </row>
    <row r="59" customFormat="false" ht="35.05" hidden="false" customHeight="false" outlineLevel="0" collapsed="false">
      <c r="A59" s="13" t="s">
        <v>360</v>
      </c>
      <c r="B59" s="13" t="s">
        <v>352</v>
      </c>
      <c r="C59" s="13" t="n">
        <v>3</v>
      </c>
      <c r="D59" s="13" t="s">
        <v>135</v>
      </c>
      <c r="E59" s="13" t="s">
        <v>171</v>
      </c>
      <c r="F59" s="13" t="s">
        <v>353</v>
      </c>
      <c r="G59" s="13" t="s">
        <v>172</v>
      </c>
      <c r="H59" s="13" t="s">
        <v>101</v>
      </c>
      <c r="I59" s="21" t="s">
        <v>173</v>
      </c>
      <c r="J59" s="21" t="s">
        <v>174</v>
      </c>
      <c r="K59" s="21" t="s">
        <v>361</v>
      </c>
      <c r="L59" s="22" t="s">
        <v>37</v>
      </c>
      <c r="M59" s="21" t="s">
        <v>163</v>
      </c>
      <c r="N59" s="13" t="s">
        <v>106</v>
      </c>
      <c r="O59" s="23" t="n">
        <v>17.73</v>
      </c>
      <c r="P59" s="13" t="n">
        <v>4</v>
      </c>
      <c r="Q59" s="24" t="n">
        <v>46310.4121296296</v>
      </c>
      <c r="R59" s="22"/>
      <c r="S59" s="13" t="s">
        <v>164</v>
      </c>
      <c r="T59" s="13" t="str">
        <f aca="false">IF(S59="Oui",IF(R59=L59,"Identique","Changé"),"")</f>
        <v/>
      </c>
    </row>
    <row r="60" customFormat="false" ht="35.05" hidden="false" customHeight="false" outlineLevel="0" collapsed="false">
      <c r="A60" s="13" t="s">
        <v>362</v>
      </c>
      <c r="B60" s="13" t="s">
        <v>352</v>
      </c>
      <c r="C60" s="13" t="n">
        <v>4</v>
      </c>
      <c r="D60" s="13" t="s">
        <v>135</v>
      </c>
      <c r="E60" s="13" t="s">
        <v>185</v>
      </c>
      <c r="F60" s="13" t="s">
        <v>353</v>
      </c>
      <c r="G60" s="13" t="s">
        <v>363</v>
      </c>
      <c r="H60" s="13" t="s">
        <v>152</v>
      </c>
      <c r="I60" s="21" t="s">
        <v>364</v>
      </c>
      <c r="J60" s="21" t="s">
        <v>154</v>
      </c>
      <c r="K60" s="21" t="s">
        <v>365</v>
      </c>
      <c r="L60" s="22" t="s">
        <v>40</v>
      </c>
      <c r="M60" s="21" t="s">
        <v>156</v>
      </c>
      <c r="N60" s="13" t="s">
        <v>106</v>
      </c>
      <c r="O60" s="23" t="n">
        <v>11.52</v>
      </c>
      <c r="P60" s="13" t="n">
        <v>4</v>
      </c>
      <c r="Q60" s="24" t="n">
        <v>46310.4123842593</v>
      </c>
      <c r="R60" s="22"/>
      <c r="S60" s="13" t="s">
        <v>164</v>
      </c>
      <c r="T60" s="13" t="str">
        <f aca="false">IF(S60="Oui",IF(R60=L60,"Identique","Changé"),"")</f>
        <v/>
      </c>
    </row>
    <row r="61" customFormat="false" ht="35.05" hidden="false" customHeight="false" outlineLevel="0" collapsed="false">
      <c r="A61" s="13" t="s">
        <v>366</v>
      </c>
      <c r="B61" s="13" t="s">
        <v>352</v>
      </c>
      <c r="C61" s="13" t="n">
        <v>5</v>
      </c>
      <c r="D61" s="13" t="s">
        <v>135</v>
      </c>
      <c r="E61" s="13" t="s">
        <v>128</v>
      </c>
      <c r="F61" s="13" t="s">
        <v>353</v>
      </c>
      <c r="G61" s="13" t="s">
        <v>204</v>
      </c>
      <c r="H61" s="13" t="s">
        <v>101</v>
      </c>
      <c r="I61" s="21" t="s">
        <v>367</v>
      </c>
      <c r="J61" s="21" t="s">
        <v>355</v>
      </c>
      <c r="K61" s="21" t="s">
        <v>368</v>
      </c>
      <c r="L61" s="22" t="s">
        <v>36</v>
      </c>
      <c r="M61" s="21" t="s">
        <v>120</v>
      </c>
      <c r="N61" s="13" t="s">
        <v>106</v>
      </c>
      <c r="O61" s="23" t="n">
        <v>17.17</v>
      </c>
      <c r="P61" s="13" t="n">
        <v>4</v>
      </c>
      <c r="Q61" s="24" t="n">
        <v>46310.4127083333</v>
      </c>
      <c r="R61" s="22"/>
      <c r="S61" s="13" t="s">
        <v>164</v>
      </c>
      <c r="T61" s="13" t="str">
        <f aca="false">IF(S61="Oui",IF(R61=L61,"Identique","Changé"),"")</f>
        <v/>
      </c>
    </row>
    <row r="62" customFormat="false" ht="23.85" hidden="false" customHeight="false" outlineLevel="0" collapsed="false">
      <c r="A62" s="13" t="s">
        <v>369</v>
      </c>
      <c r="B62" s="13" t="s">
        <v>370</v>
      </c>
      <c r="C62" s="13" t="n">
        <v>1</v>
      </c>
      <c r="D62" s="13" t="s">
        <v>97</v>
      </c>
      <c r="E62" s="13" t="s">
        <v>98</v>
      </c>
      <c r="F62" s="13" t="s">
        <v>256</v>
      </c>
      <c r="G62" s="13" t="s">
        <v>100</v>
      </c>
      <c r="H62" s="13" t="s">
        <v>101</v>
      </c>
      <c r="I62" s="21" t="s">
        <v>371</v>
      </c>
      <c r="J62" s="21" t="s">
        <v>111</v>
      </c>
      <c r="K62" s="21" t="s">
        <v>372</v>
      </c>
      <c r="L62" s="22" t="s">
        <v>36</v>
      </c>
      <c r="M62" s="21" t="s">
        <v>105</v>
      </c>
      <c r="N62" s="13" t="s">
        <v>106</v>
      </c>
      <c r="O62" s="23" t="n">
        <v>45.12</v>
      </c>
      <c r="P62" s="13" t="n">
        <v>1</v>
      </c>
      <c r="Q62" s="24" t="n">
        <v>46309.8623148148</v>
      </c>
      <c r="R62" s="22"/>
      <c r="S62" s="13" t="s">
        <v>164</v>
      </c>
      <c r="T62" s="13" t="str">
        <f aca="false">IF(S62="Oui",IF(R62=L62,"Identique","Changé"),"")</f>
        <v/>
      </c>
    </row>
    <row r="63" customFormat="false" ht="23.85" hidden="false" customHeight="false" outlineLevel="0" collapsed="false">
      <c r="A63" s="13" t="s">
        <v>373</v>
      </c>
      <c r="B63" s="13" t="s">
        <v>370</v>
      </c>
      <c r="C63" s="13" t="n">
        <v>2</v>
      </c>
      <c r="D63" s="13" t="s">
        <v>97</v>
      </c>
      <c r="E63" s="13" t="s">
        <v>98</v>
      </c>
      <c r="F63" s="13" t="s">
        <v>256</v>
      </c>
      <c r="G63" s="13" t="s">
        <v>109</v>
      </c>
      <c r="H63" s="13" t="s">
        <v>101</v>
      </c>
      <c r="I63" s="21" t="s">
        <v>374</v>
      </c>
      <c r="J63" s="21" t="s">
        <v>103</v>
      </c>
      <c r="K63" s="21" t="s">
        <v>375</v>
      </c>
      <c r="L63" s="22" t="s">
        <v>36</v>
      </c>
      <c r="M63" s="21" t="s">
        <v>105</v>
      </c>
      <c r="N63" s="13" t="s">
        <v>106</v>
      </c>
      <c r="O63" s="23" t="n">
        <v>11.1</v>
      </c>
      <c r="P63" s="13" t="n">
        <v>1</v>
      </c>
      <c r="Q63" s="24" t="n">
        <v>46309.8625462963</v>
      </c>
      <c r="R63" s="22"/>
      <c r="S63" s="13" t="s">
        <v>164</v>
      </c>
      <c r="T63" s="13" t="str">
        <f aca="false">IF(S63="Oui",IF(R63=L63,"Identique","Changé"),"")</f>
        <v/>
      </c>
    </row>
    <row r="64" customFormat="false" ht="23.85" hidden="false" customHeight="false" outlineLevel="0" collapsed="false">
      <c r="A64" s="13" t="s">
        <v>376</v>
      </c>
      <c r="B64" s="13" t="s">
        <v>370</v>
      </c>
      <c r="C64" s="13" t="n">
        <v>3</v>
      </c>
      <c r="D64" s="13" t="s">
        <v>97</v>
      </c>
      <c r="E64" s="13" t="s">
        <v>128</v>
      </c>
      <c r="F64" s="13" t="s">
        <v>256</v>
      </c>
      <c r="G64" s="13" t="s">
        <v>348</v>
      </c>
      <c r="H64" s="13" t="s">
        <v>101</v>
      </c>
      <c r="I64" s="21" t="s">
        <v>377</v>
      </c>
      <c r="J64" s="21" t="s">
        <v>131</v>
      </c>
      <c r="K64" s="21" t="s">
        <v>378</v>
      </c>
      <c r="L64" s="22" t="s">
        <v>36</v>
      </c>
      <c r="M64" s="21" t="s">
        <v>120</v>
      </c>
      <c r="N64" s="13" t="s">
        <v>106</v>
      </c>
      <c r="O64" s="23" t="n">
        <v>11.8</v>
      </c>
      <c r="P64" s="13" t="n">
        <v>1</v>
      </c>
      <c r="Q64" s="24" t="n">
        <v>46309.8627777778</v>
      </c>
      <c r="R64" s="22"/>
      <c r="S64" s="13" t="s">
        <v>164</v>
      </c>
      <c r="T64" s="13" t="str">
        <f aca="false">IF(S64="Oui",IF(R64=L64,"Identique","Changé"),"")</f>
        <v/>
      </c>
    </row>
    <row r="65" customFormat="false" ht="57.45" hidden="false" customHeight="false" outlineLevel="0" collapsed="false">
      <c r="A65" s="13" t="s">
        <v>379</v>
      </c>
      <c r="B65" s="13" t="s">
        <v>370</v>
      </c>
      <c r="C65" s="13" t="n">
        <v>4</v>
      </c>
      <c r="D65" s="13" t="s">
        <v>97</v>
      </c>
      <c r="E65" s="13" t="s">
        <v>185</v>
      </c>
      <c r="F65" s="13" t="s">
        <v>256</v>
      </c>
      <c r="G65" s="13" t="s">
        <v>380</v>
      </c>
      <c r="H65" s="13" t="s">
        <v>152</v>
      </c>
      <c r="I65" s="21" t="s">
        <v>381</v>
      </c>
      <c r="J65" s="21" t="s">
        <v>154</v>
      </c>
      <c r="K65" s="21" t="s">
        <v>382</v>
      </c>
      <c r="L65" s="22" t="s">
        <v>40</v>
      </c>
      <c r="M65" s="21" t="s">
        <v>156</v>
      </c>
      <c r="N65" s="13" t="s">
        <v>106</v>
      </c>
      <c r="O65" s="23" t="n">
        <v>8.91</v>
      </c>
      <c r="P65" s="13" t="n">
        <v>1</v>
      </c>
      <c r="Q65" s="24" t="n">
        <v>46309.8629861111</v>
      </c>
      <c r="R65" s="22"/>
      <c r="S65" s="13" t="s">
        <v>164</v>
      </c>
      <c r="T65" s="13" t="str">
        <f aca="false">IF(S65="Oui",IF(R65=L65,"Identique","Changé"),"")</f>
        <v/>
      </c>
    </row>
    <row r="66" customFormat="false" ht="35.05" hidden="false" customHeight="false" outlineLevel="0" collapsed="false">
      <c r="A66" s="13" t="s">
        <v>383</v>
      </c>
      <c r="B66" s="13" t="s">
        <v>370</v>
      </c>
      <c r="C66" s="13" t="n">
        <v>5</v>
      </c>
      <c r="D66" s="13" t="s">
        <v>97</v>
      </c>
      <c r="E66" s="13" t="s">
        <v>122</v>
      </c>
      <c r="F66" s="13" t="s">
        <v>256</v>
      </c>
      <c r="G66" s="13" t="s">
        <v>123</v>
      </c>
      <c r="H66" s="13" t="s">
        <v>101</v>
      </c>
      <c r="I66" s="21" t="s">
        <v>384</v>
      </c>
      <c r="J66" s="21" t="s">
        <v>125</v>
      </c>
      <c r="K66" s="21" t="s">
        <v>385</v>
      </c>
      <c r="L66" s="22" t="s">
        <v>36</v>
      </c>
      <c r="M66" s="21" t="s">
        <v>120</v>
      </c>
      <c r="N66" s="13" t="s">
        <v>106</v>
      </c>
      <c r="O66" s="23" t="n">
        <v>9.1</v>
      </c>
      <c r="P66" s="13" t="n">
        <v>1</v>
      </c>
      <c r="Q66" s="24" t="n">
        <v>46309.8631828704</v>
      </c>
      <c r="R66" s="22"/>
      <c r="S66" s="13" t="s">
        <v>164</v>
      </c>
      <c r="T66" s="13" t="str">
        <f aca="false">IF(S66="Oui",IF(R66=L66,"Identique","Changé"),"")</f>
        <v/>
      </c>
    </row>
    <row r="67" customFormat="false" ht="35.05" hidden="false" customHeight="false" outlineLevel="0" collapsed="false">
      <c r="A67" s="13" t="s">
        <v>386</v>
      </c>
      <c r="B67" s="13" t="s">
        <v>387</v>
      </c>
      <c r="C67" s="13" t="n">
        <v>1</v>
      </c>
      <c r="D67" s="13" t="s">
        <v>135</v>
      </c>
      <c r="E67" s="13" t="s">
        <v>114</v>
      </c>
      <c r="F67" s="13" t="s">
        <v>388</v>
      </c>
      <c r="G67" s="13" t="s">
        <v>116</v>
      </c>
      <c r="H67" s="13" t="s">
        <v>101</v>
      </c>
      <c r="I67" s="21" t="s">
        <v>389</v>
      </c>
      <c r="J67" s="21" t="s">
        <v>390</v>
      </c>
      <c r="K67" s="21" t="s">
        <v>391</v>
      </c>
      <c r="L67" s="22" t="s">
        <v>36</v>
      </c>
      <c r="M67" s="21" t="s">
        <v>120</v>
      </c>
      <c r="N67" s="13" t="s">
        <v>106</v>
      </c>
      <c r="O67" s="23" t="n">
        <v>28.59</v>
      </c>
      <c r="P67" s="13" t="n">
        <v>2</v>
      </c>
      <c r="Q67" s="24" t="n">
        <v>46309.8682175926</v>
      </c>
      <c r="R67" s="22"/>
      <c r="S67" s="13" t="s">
        <v>164</v>
      </c>
      <c r="T67" s="13" t="str">
        <f aca="false">IF(S67="Oui",IF(R67=L67,"Identique","Changé"),"")</f>
        <v/>
      </c>
    </row>
    <row r="68" customFormat="false" ht="35.05" hidden="false" customHeight="false" outlineLevel="0" collapsed="false">
      <c r="A68" s="13" t="s">
        <v>392</v>
      </c>
      <c r="B68" s="13" t="s">
        <v>387</v>
      </c>
      <c r="C68" s="13" t="n">
        <v>2</v>
      </c>
      <c r="D68" s="13" t="s">
        <v>135</v>
      </c>
      <c r="E68" s="13" t="s">
        <v>128</v>
      </c>
      <c r="F68" s="13" t="s">
        <v>388</v>
      </c>
      <c r="G68" s="13" t="s">
        <v>348</v>
      </c>
      <c r="H68" s="13" t="s">
        <v>101</v>
      </c>
      <c r="I68" s="21" t="s">
        <v>377</v>
      </c>
      <c r="J68" s="21" t="s">
        <v>393</v>
      </c>
      <c r="K68" s="21" t="s">
        <v>394</v>
      </c>
      <c r="L68" s="22" t="s">
        <v>36</v>
      </c>
      <c r="M68" s="21" t="s">
        <v>120</v>
      </c>
      <c r="N68" s="13" t="s">
        <v>106</v>
      </c>
      <c r="O68" s="23" t="n">
        <v>7.35</v>
      </c>
      <c r="P68" s="13" t="n">
        <v>2</v>
      </c>
      <c r="Q68" s="24" t="n">
        <v>46309.8684027778</v>
      </c>
      <c r="R68" s="22"/>
      <c r="S68" s="13" t="s">
        <v>164</v>
      </c>
      <c r="T68" s="13" t="str">
        <f aca="false">IF(S68="Oui",IF(R68=L68,"Identique","Changé"),"")</f>
        <v/>
      </c>
    </row>
    <row r="69" customFormat="false" ht="35.05" hidden="false" customHeight="false" outlineLevel="0" collapsed="false">
      <c r="A69" s="13" t="s">
        <v>395</v>
      </c>
      <c r="B69" s="13" t="s">
        <v>387</v>
      </c>
      <c r="C69" s="13" t="n">
        <v>3</v>
      </c>
      <c r="D69" s="13" t="s">
        <v>135</v>
      </c>
      <c r="E69" s="13" t="s">
        <v>114</v>
      </c>
      <c r="F69" s="13" t="s">
        <v>388</v>
      </c>
      <c r="G69" s="13" t="s">
        <v>146</v>
      </c>
      <c r="H69" s="13" t="s">
        <v>101</v>
      </c>
      <c r="I69" s="21" t="s">
        <v>396</v>
      </c>
      <c r="J69" s="21" t="s">
        <v>148</v>
      </c>
      <c r="K69" s="21" t="s">
        <v>397</v>
      </c>
      <c r="L69" s="22" t="s">
        <v>36</v>
      </c>
      <c r="M69" s="21" t="s">
        <v>120</v>
      </c>
      <c r="N69" s="13" t="s">
        <v>106</v>
      </c>
      <c r="O69" s="23" t="n">
        <v>8.25</v>
      </c>
      <c r="P69" s="13" t="n">
        <v>2</v>
      </c>
      <c r="Q69" s="24" t="n">
        <v>46309.868599537</v>
      </c>
      <c r="R69" s="22"/>
      <c r="S69" s="13" t="s">
        <v>164</v>
      </c>
      <c r="T69" s="13" t="str">
        <f aca="false">IF(S69="Oui",IF(R69=L69,"Identique","Changé"),"")</f>
        <v/>
      </c>
    </row>
    <row r="70" customFormat="false" ht="35.05" hidden="false" customHeight="false" outlineLevel="0" collapsed="false">
      <c r="A70" s="13" t="s">
        <v>398</v>
      </c>
      <c r="B70" s="13" t="s">
        <v>387</v>
      </c>
      <c r="C70" s="13" t="n">
        <v>4</v>
      </c>
      <c r="D70" s="13" t="s">
        <v>135</v>
      </c>
      <c r="E70" s="13" t="s">
        <v>122</v>
      </c>
      <c r="F70" s="13" t="s">
        <v>388</v>
      </c>
      <c r="G70" s="13" t="s">
        <v>123</v>
      </c>
      <c r="H70" s="13" t="s">
        <v>101</v>
      </c>
      <c r="I70" s="21" t="s">
        <v>384</v>
      </c>
      <c r="J70" s="21" t="s">
        <v>125</v>
      </c>
      <c r="K70" s="21" t="s">
        <v>399</v>
      </c>
      <c r="L70" s="22" t="s">
        <v>36</v>
      </c>
      <c r="M70" s="21" t="s">
        <v>120</v>
      </c>
      <c r="N70" s="13" t="s">
        <v>106</v>
      </c>
      <c r="O70" s="23" t="n">
        <v>7.42</v>
      </c>
      <c r="P70" s="13" t="n">
        <v>2</v>
      </c>
      <c r="Q70" s="24" t="n">
        <v>46309.8687847222</v>
      </c>
      <c r="R70" s="22"/>
      <c r="S70" s="13" t="s">
        <v>164</v>
      </c>
      <c r="T70" s="13" t="str">
        <f aca="false">IF(S70="Oui",IF(R70=L70,"Identique","Changé"),"")</f>
        <v/>
      </c>
    </row>
    <row r="71" customFormat="false" ht="35.05" hidden="false" customHeight="false" outlineLevel="0" collapsed="false">
      <c r="A71" s="13" t="s">
        <v>400</v>
      </c>
      <c r="B71" s="13" t="s">
        <v>387</v>
      </c>
      <c r="C71" s="13" t="n">
        <v>5</v>
      </c>
      <c r="D71" s="13" t="s">
        <v>135</v>
      </c>
      <c r="E71" s="13" t="s">
        <v>401</v>
      </c>
      <c r="F71" s="13" t="s">
        <v>388</v>
      </c>
      <c r="G71" s="13" t="s">
        <v>402</v>
      </c>
      <c r="H71" s="13" t="s">
        <v>101</v>
      </c>
      <c r="I71" s="21" t="s">
        <v>403</v>
      </c>
      <c r="J71" s="21" t="s">
        <v>404</v>
      </c>
      <c r="K71" s="21" t="s">
        <v>405</v>
      </c>
      <c r="L71" s="22" t="s">
        <v>36</v>
      </c>
      <c r="M71" s="21" t="s">
        <v>406</v>
      </c>
      <c r="N71" s="13" t="s">
        <v>106</v>
      </c>
      <c r="O71" s="23" t="n">
        <v>8.82</v>
      </c>
      <c r="P71" s="13" t="n">
        <v>2</v>
      </c>
      <c r="Q71" s="24" t="n">
        <v>46309.8689814815</v>
      </c>
      <c r="R71" s="22"/>
      <c r="S71" s="13" t="s">
        <v>164</v>
      </c>
      <c r="T71" s="13" t="str">
        <f aca="false">IF(S71="Oui",IF(R71=L71,"Identique","Changé"),"")</f>
        <v/>
      </c>
    </row>
    <row r="72" customFormat="false" ht="35.05" hidden="false" customHeight="false" outlineLevel="0" collapsed="false">
      <c r="A72" s="13" t="s">
        <v>407</v>
      </c>
      <c r="B72" s="13" t="s">
        <v>408</v>
      </c>
      <c r="C72" s="13" t="n">
        <v>1</v>
      </c>
      <c r="D72" s="13" t="s">
        <v>97</v>
      </c>
      <c r="E72" s="13" t="s">
        <v>128</v>
      </c>
      <c r="F72" s="13" t="s">
        <v>409</v>
      </c>
      <c r="G72" s="13" t="s">
        <v>348</v>
      </c>
      <c r="H72" s="13" t="s">
        <v>101</v>
      </c>
      <c r="I72" s="21" t="s">
        <v>410</v>
      </c>
      <c r="J72" s="21" t="s">
        <v>131</v>
      </c>
      <c r="K72" s="21" t="s">
        <v>411</v>
      </c>
      <c r="L72" s="22" t="s">
        <v>36</v>
      </c>
      <c r="M72" s="21" t="s">
        <v>120</v>
      </c>
      <c r="N72" s="13" t="s">
        <v>106</v>
      </c>
      <c r="O72" s="23" t="n">
        <v>53.18</v>
      </c>
      <c r="P72" s="13" t="n">
        <v>4</v>
      </c>
      <c r="Q72" s="24" t="n">
        <v>46310.4135185185</v>
      </c>
      <c r="R72" s="22"/>
      <c r="S72" s="13" t="s">
        <v>164</v>
      </c>
      <c r="T72" s="13" t="str">
        <f aca="false">IF(S72="Oui",IF(R72=L72,"Identique","Changé"),"")</f>
        <v/>
      </c>
    </row>
    <row r="73" customFormat="false" ht="35.05" hidden="false" customHeight="false" outlineLevel="0" collapsed="false">
      <c r="A73" s="13" t="s">
        <v>412</v>
      </c>
      <c r="B73" s="13" t="s">
        <v>408</v>
      </c>
      <c r="C73" s="13" t="n">
        <v>2</v>
      </c>
      <c r="D73" s="13" t="s">
        <v>97</v>
      </c>
      <c r="E73" s="13" t="s">
        <v>171</v>
      </c>
      <c r="F73" s="13" t="s">
        <v>409</v>
      </c>
      <c r="G73" s="13" t="s">
        <v>172</v>
      </c>
      <c r="H73" s="13" t="s">
        <v>101</v>
      </c>
      <c r="I73" s="21" t="s">
        <v>413</v>
      </c>
      <c r="J73" s="21" t="s">
        <v>228</v>
      </c>
      <c r="K73" s="21" t="s">
        <v>414</v>
      </c>
      <c r="L73" s="22" t="s">
        <v>37</v>
      </c>
      <c r="M73" s="21" t="s">
        <v>163</v>
      </c>
      <c r="N73" s="13" t="s">
        <v>106</v>
      </c>
      <c r="O73" s="23" t="n">
        <v>12.45</v>
      </c>
      <c r="P73" s="13" t="n">
        <v>4</v>
      </c>
      <c r="Q73" s="24" t="n">
        <v>46310.4137615741</v>
      </c>
      <c r="R73" s="22"/>
      <c r="S73" s="13" t="s">
        <v>164</v>
      </c>
      <c r="T73" s="13" t="str">
        <f aca="false">IF(S73="Oui",IF(R73=L73,"Identique","Changé"),"")</f>
        <v/>
      </c>
    </row>
    <row r="74" customFormat="false" ht="35.05" hidden="false" customHeight="false" outlineLevel="0" collapsed="false">
      <c r="A74" s="13" t="s">
        <v>415</v>
      </c>
      <c r="B74" s="13" t="s">
        <v>408</v>
      </c>
      <c r="C74" s="13" t="n">
        <v>3</v>
      </c>
      <c r="D74" s="13" t="s">
        <v>97</v>
      </c>
      <c r="E74" s="13" t="s">
        <v>158</v>
      </c>
      <c r="F74" s="13" t="s">
        <v>409</v>
      </c>
      <c r="G74" s="13" t="s">
        <v>159</v>
      </c>
      <c r="H74" s="13" t="s">
        <v>101</v>
      </c>
      <c r="I74" s="21" t="s">
        <v>416</v>
      </c>
      <c r="J74" s="21" t="s">
        <v>161</v>
      </c>
      <c r="K74" s="21" t="s">
        <v>417</v>
      </c>
      <c r="L74" s="22" t="s">
        <v>37</v>
      </c>
      <c r="M74" s="21" t="s">
        <v>163</v>
      </c>
      <c r="N74" s="13" t="s">
        <v>106</v>
      </c>
      <c r="O74" s="23" t="n">
        <v>9.19</v>
      </c>
      <c r="P74" s="13" t="n">
        <v>4</v>
      </c>
      <c r="Q74" s="24" t="n">
        <v>46310.4139699074</v>
      </c>
      <c r="R74" s="22"/>
      <c r="S74" s="13" t="s">
        <v>164</v>
      </c>
      <c r="T74" s="13" t="str">
        <f aca="false">IF(S74="Oui",IF(R74=L74,"Identique","Changé"),"")</f>
        <v/>
      </c>
    </row>
    <row r="75" customFormat="false" ht="35.05" hidden="false" customHeight="false" outlineLevel="0" collapsed="false">
      <c r="A75" s="13" t="s">
        <v>418</v>
      </c>
      <c r="B75" s="13" t="s">
        <v>408</v>
      </c>
      <c r="C75" s="13" t="n">
        <v>4</v>
      </c>
      <c r="D75" s="13" t="s">
        <v>97</v>
      </c>
      <c r="E75" s="13" t="s">
        <v>401</v>
      </c>
      <c r="F75" s="13" t="s">
        <v>409</v>
      </c>
      <c r="G75" s="13" t="s">
        <v>419</v>
      </c>
      <c r="H75" s="13" t="s">
        <v>101</v>
      </c>
      <c r="I75" s="21" t="s">
        <v>420</v>
      </c>
      <c r="J75" s="21" t="s">
        <v>421</v>
      </c>
      <c r="K75" s="21" t="s">
        <v>422</v>
      </c>
      <c r="L75" s="22" t="s">
        <v>36</v>
      </c>
      <c r="M75" s="21" t="s">
        <v>406</v>
      </c>
      <c r="N75" s="13" t="s">
        <v>106</v>
      </c>
      <c r="O75" s="23" t="n">
        <v>10.73</v>
      </c>
      <c r="P75" s="13" t="n">
        <v>4</v>
      </c>
      <c r="Q75" s="24" t="n">
        <v>46310.4141898148</v>
      </c>
      <c r="R75" s="22"/>
      <c r="S75" s="13" t="s">
        <v>164</v>
      </c>
      <c r="T75" s="13" t="str">
        <f aca="false">IF(S75="Oui",IF(R75=L75,"Identique","Changé"),"")</f>
        <v/>
      </c>
    </row>
    <row r="76" customFormat="false" ht="23.85" hidden="false" customHeight="false" outlineLevel="0" collapsed="false">
      <c r="A76" s="13" t="s">
        <v>423</v>
      </c>
      <c r="B76" s="13" t="s">
        <v>408</v>
      </c>
      <c r="C76" s="13" t="n">
        <v>5</v>
      </c>
      <c r="D76" s="13" t="s">
        <v>97</v>
      </c>
      <c r="E76" s="13" t="s">
        <v>185</v>
      </c>
      <c r="F76" s="13" t="s">
        <v>409</v>
      </c>
      <c r="G76" s="13" t="s">
        <v>186</v>
      </c>
      <c r="H76" s="13" t="s">
        <v>101</v>
      </c>
      <c r="I76" s="21" t="s">
        <v>424</v>
      </c>
      <c r="J76" s="21" t="s">
        <v>425</v>
      </c>
      <c r="K76" s="21" t="s">
        <v>426</v>
      </c>
      <c r="L76" s="22" t="s">
        <v>36</v>
      </c>
      <c r="M76" s="21" t="s">
        <v>427</v>
      </c>
      <c r="N76" s="13" t="s">
        <v>106</v>
      </c>
      <c r="O76" s="23" t="n">
        <v>9.73</v>
      </c>
      <c r="P76" s="13" t="n">
        <v>4</v>
      </c>
      <c r="Q76" s="24" t="n">
        <v>46310.4144097222</v>
      </c>
      <c r="R76" s="22"/>
      <c r="S76" s="13" t="s">
        <v>164</v>
      </c>
      <c r="T76" s="13" t="str">
        <f aca="false">IF(S76="Oui",IF(R76=L76,"Identique","Changé"),"")</f>
        <v/>
      </c>
    </row>
    <row r="77" customFormat="false" ht="46.25" hidden="false" customHeight="false" outlineLevel="0" collapsed="false">
      <c r="A77" s="13" t="s">
        <v>428</v>
      </c>
      <c r="B77" s="13" t="s">
        <v>429</v>
      </c>
      <c r="C77" s="13" t="n">
        <v>1</v>
      </c>
      <c r="D77" s="13" t="s">
        <v>135</v>
      </c>
      <c r="E77" s="13" t="s">
        <v>128</v>
      </c>
      <c r="F77" s="13" t="s">
        <v>430</v>
      </c>
      <c r="G77" s="13" t="s">
        <v>193</v>
      </c>
      <c r="H77" s="13" t="s">
        <v>101</v>
      </c>
      <c r="I77" s="21" t="s">
        <v>431</v>
      </c>
      <c r="J77" s="21" t="s">
        <v>195</v>
      </c>
      <c r="K77" s="21" t="s">
        <v>432</v>
      </c>
      <c r="L77" s="22" t="s">
        <v>36</v>
      </c>
      <c r="M77" s="21" t="s">
        <v>120</v>
      </c>
      <c r="N77" s="13" t="s">
        <v>106</v>
      </c>
      <c r="O77" s="23" t="n">
        <v>41.47</v>
      </c>
      <c r="P77" s="13" t="n">
        <v>3</v>
      </c>
      <c r="Q77" s="24" t="n">
        <v>46309.8928125</v>
      </c>
      <c r="R77" s="22"/>
      <c r="S77" s="13" t="s">
        <v>164</v>
      </c>
      <c r="T77" s="13" t="str">
        <f aca="false">IF(S77="Oui",IF(R77=L77,"Identique","Changé"),"")</f>
        <v/>
      </c>
    </row>
    <row r="78" customFormat="false" ht="35.05" hidden="false" customHeight="false" outlineLevel="0" collapsed="false">
      <c r="A78" s="13" t="s">
        <v>433</v>
      </c>
      <c r="B78" s="13" t="s">
        <v>429</v>
      </c>
      <c r="C78" s="13" t="n">
        <v>2</v>
      </c>
      <c r="D78" s="13" t="s">
        <v>135</v>
      </c>
      <c r="E78" s="13" t="s">
        <v>128</v>
      </c>
      <c r="F78" s="13" t="s">
        <v>430</v>
      </c>
      <c r="G78" s="13" t="s">
        <v>129</v>
      </c>
      <c r="H78" s="13" t="s">
        <v>101</v>
      </c>
      <c r="I78" s="21" t="s">
        <v>434</v>
      </c>
      <c r="J78" s="21" t="s">
        <v>131</v>
      </c>
      <c r="K78" s="21" t="s">
        <v>435</v>
      </c>
      <c r="L78" s="22" t="s">
        <v>36</v>
      </c>
      <c r="M78" s="21" t="s">
        <v>120</v>
      </c>
      <c r="N78" s="13" t="s">
        <v>106</v>
      </c>
      <c r="O78" s="23" t="n">
        <v>12.9</v>
      </c>
      <c r="P78" s="13" t="n">
        <v>3</v>
      </c>
      <c r="Q78" s="24" t="n">
        <v>46309.8930555556</v>
      </c>
      <c r="R78" s="22"/>
      <c r="S78" s="13" t="s">
        <v>164</v>
      </c>
      <c r="T78" s="13" t="str">
        <f aca="false">IF(S78="Oui",IF(R78=L78,"Identique","Changé"),"")</f>
        <v/>
      </c>
    </row>
    <row r="79" customFormat="false" ht="35.05" hidden="false" customHeight="false" outlineLevel="0" collapsed="false">
      <c r="A79" s="13" t="s">
        <v>436</v>
      </c>
      <c r="B79" s="13" t="s">
        <v>429</v>
      </c>
      <c r="C79" s="13" t="n">
        <v>3</v>
      </c>
      <c r="D79" s="13" t="s">
        <v>135</v>
      </c>
      <c r="E79" s="13" t="s">
        <v>401</v>
      </c>
      <c r="F79" s="13" t="s">
        <v>437</v>
      </c>
      <c r="G79" s="13" t="s">
        <v>419</v>
      </c>
      <c r="H79" s="13" t="s">
        <v>101</v>
      </c>
      <c r="I79" s="21" t="s">
        <v>438</v>
      </c>
      <c r="J79" s="21" t="s">
        <v>439</v>
      </c>
      <c r="K79" s="21" t="s">
        <v>440</v>
      </c>
      <c r="L79" s="22" t="s">
        <v>36</v>
      </c>
      <c r="M79" s="21" t="s">
        <v>406</v>
      </c>
      <c r="N79" s="13" t="s">
        <v>106</v>
      </c>
      <c r="O79" s="23" t="n">
        <v>9.1</v>
      </c>
      <c r="P79" s="13" t="n">
        <v>3</v>
      </c>
      <c r="Q79" s="24" t="n">
        <v>46309.8932638889</v>
      </c>
      <c r="R79" s="22"/>
      <c r="S79" s="13" t="s">
        <v>164</v>
      </c>
      <c r="T79" s="13" t="str">
        <f aca="false">IF(S79="Oui",IF(R79=L79,"Identique","Changé"),"")</f>
        <v/>
      </c>
    </row>
    <row r="80" customFormat="false" ht="35.05" hidden="false" customHeight="false" outlineLevel="0" collapsed="false">
      <c r="A80" s="13" t="s">
        <v>441</v>
      </c>
      <c r="B80" s="13" t="s">
        <v>429</v>
      </c>
      <c r="C80" s="13" t="n">
        <v>4</v>
      </c>
      <c r="D80" s="13" t="s">
        <v>135</v>
      </c>
      <c r="E80" s="13" t="s">
        <v>128</v>
      </c>
      <c r="F80" s="13" t="s">
        <v>437</v>
      </c>
      <c r="G80" s="13" t="s">
        <v>204</v>
      </c>
      <c r="H80" s="13" t="s">
        <v>101</v>
      </c>
      <c r="I80" s="21" t="s">
        <v>442</v>
      </c>
      <c r="J80" s="21" t="s">
        <v>443</v>
      </c>
      <c r="K80" s="21" t="s">
        <v>444</v>
      </c>
      <c r="L80" s="22" t="s">
        <v>36</v>
      </c>
      <c r="M80" s="21" t="s">
        <v>120</v>
      </c>
      <c r="N80" s="13" t="s">
        <v>106</v>
      </c>
      <c r="O80" s="23" t="n">
        <v>12.34</v>
      </c>
      <c r="P80" s="13" t="n">
        <v>3</v>
      </c>
      <c r="Q80" s="24" t="n">
        <v>46309.8935069444</v>
      </c>
      <c r="R80" s="22"/>
      <c r="S80" s="13" t="s">
        <v>164</v>
      </c>
      <c r="T80" s="13" t="str">
        <f aca="false">IF(S80="Oui",IF(R80=L80,"Identique","Changé"),"")</f>
        <v/>
      </c>
    </row>
    <row r="81" customFormat="false" ht="35.05" hidden="false" customHeight="false" outlineLevel="0" collapsed="false">
      <c r="A81" s="13" t="s">
        <v>445</v>
      </c>
      <c r="B81" s="13" t="s">
        <v>429</v>
      </c>
      <c r="C81" s="13" t="n">
        <v>5</v>
      </c>
      <c r="D81" s="13" t="s">
        <v>135</v>
      </c>
      <c r="E81" s="13" t="s">
        <v>128</v>
      </c>
      <c r="F81" s="13" t="s">
        <v>430</v>
      </c>
      <c r="G81" s="13" t="s">
        <v>209</v>
      </c>
      <c r="H81" s="13" t="s">
        <v>101</v>
      </c>
      <c r="I81" s="21" t="s">
        <v>446</v>
      </c>
      <c r="J81" s="21" t="s">
        <v>447</v>
      </c>
      <c r="K81" s="21" t="s">
        <v>448</v>
      </c>
      <c r="L81" s="22" t="s">
        <v>36</v>
      </c>
      <c r="M81" s="21" t="s">
        <v>120</v>
      </c>
      <c r="N81" s="13" t="s">
        <v>106</v>
      </c>
      <c r="O81" s="23" t="n">
        <v>12.92</v>
      </c>
      <c r="P81" s="13" t="n">
        <v>3</v>
      </c>
      <c r="Q81" s="24" t="n">
        <v>46309.89375</v>
      </c>
      <c r="R81" s="22"/>
      <c r="S81" s="13" t="s">
        <v>164</v>
      </c>
      <c r="T81" s="13" t="str">
        <f aca="false">IF(S81="Oui",IF(R81=L81,"Identique","Changé"),"")</f>
        <v/>
      </c>
    </row>
    <row r="82" customFormat="false" ht="35.05" hidden="false" customHeight="false" outlineLevel="0" collapsed="false">
      <c r="A82" s="13" t="s">
        <v>449</v>
      </c>
      <c r="B82" s="13" t="s">
        <v>450</v>
      </c>
      <c r="C82" s="13" t="n">
        <v>1</v>
      </c>
      <c r="D82" s="13" t="s">
        <v>97</v>
      </c>
      <c r="E82" s="13" t="s">
        <v>98</v>
      </c>
      <c r="F82" s="13" t="s">
        <v>115</v>
      </c>
      <c r="G82" s="13" t="s">
        <v>100</v>
      </c>
      <c r="H82" s="13" t="s">
        <v>101</v>
      </c>
      <c r="I82" s="21" t="s">
        <v>451</v>
      </c>
      <c r="J82" s="21" t="s">
        <v>452</v>
      </c>
      <c r="K82" s="21" t="s">
        <v>453</v>
      </c>
      <c r="L82" s="22" t="s">
        <v>36</v>
      </c>
      <c r="M82" s="21" t="s">
        <v>105</v>
      </c>
      <c r="N82" s="13" t="s">
        <v>106</v>
      </c>
      <c r="O82" s="23" t="n">
        <v>43.96</v>
      </c>
      <c r="P82" s="13" t="n">
        <v>3</v>
      </c>
      <c r="Q82" s="24" t="n">
        <v>46309.8997800926</v>
      </c>
      <c r="R82" s="22"/>
      <c r="S82" s="13" t="s">
        <v>164</v>
      </c>
      <c r="T82" s="13" t="str">
        <f aca="false">IF(S82="Oui",IF(R82=L82,"Identique","Changé"),"")</f>
        <v/>
      </c>
    </row>
    <row r="83" customFormat="false" ht="35.05" hidden="false" customHeight="false" outlineLevel="0" collapsed="false">
      <c r="A83" s="13" t="s">
        <v>454</v>
      </c>
      <c r="B83" s="13" t="s">
        <v>450</v>
      </c>
      <c r="C83" s="13" t="n">
        <v>2</v>
      </c>
      <c r="D83" s="13" t="s">
        <v>97</v>
      </c>
      <c r="E83" s="13" t="s">
        <v>401</v>
      </c>
      <c r="F83" s="13" t="s">
        <v>115</v>
      </c>
      <c r="G83" s="13" t="s">
        <v>419</v>
      </c>
      <c r="H83" s="13" t="s">
        <v>101</v>
      </c>
      <c r="I83" s="21" t="s">
        <v>420</v>
      </c>
      <c r="J83" s="21" t="s">
        <v>455</v>
      </c>
      <c r="K83" s="21" t="s">
        <v>456</v>
      </c>
      <c r="L83" s="22" t="s">
        <v>36</v>
      </c>
      <c r="M83" s="21" t="s">
        <v>406</v>
      </c>
      <c r="N83" s="13" t="s">
        <v>106</v>
      </c>
      <c r="O83" s="23" t="n">
        <v>9.16</v>
      </c>
      <c r="P83" s="13" t="n">
        <v>3</v>
      </c>
      <c r="Q83" s="24" t="n">
        <v>46309.8999884259</v>
      </c>
      <c r="R83" s="22"/>
      <c r="S83" s="13" t="s">
        <v>164</v>
      </c>
      <c r="T83" s="13" t="str">
        <f aca="false">IF(S83="Oui",IF(R83=L83,"Identique","Changé"),"")</f>
        <v/>
      </c>
    </row>
    <row r="84" customFormat="false" ht="35.05" hidden="false" customHeight="false" outlineLevel="0" collapsed="false">
      <c r="A84" s="13" t="s">
        <v>457</v>
      </c>
      <c r="B84" s="13" t="s">
        <v>450</v>
      </c>
      <c r="C84" s="13" t="n">
        <v>3</v>
      </c>
      <c r="D84" s="13" t="s">
        <v>97</v>
      </c>
      <c r="E84" s="13" t="s">
        <v>171</v>
      </c>
      <c r="F84" s="13" t="s">
        <v>115</v>
      </c>
      <c r="G84" s="13" t="s">
        <v>222</v>
      </c>
      <c r="H84" s="13" t="s">
        <v>101</v>
      </c>
      <c r="I84" s="21" t="s">
        <v>458</v>
      </c>
      <c r="J84" s="21" t="s">
        <v>224</v>
      </c>
      <c r="K84" s="21" t="s">
        <v>459</v>
      </c>
      <c r="L84" s="22" t="s">
        <v>36</v>
      </c>
      <c r="M84" s="21" t="s">
        <v>120</v>
      </c>
      <c r="N84" s="13" t="s">
        <v>106</v>
      </c>
      <c r="O84" s="23" t="n">
        <v>10.81</v>
      </c>
      <c r="P84" s="13" t="n">
        <v>3</v>
      </c>
      <c r="Q84" s="24" t="n">
        <v>46309.9002083333</v>
      </c>
      <c r="R84" s="22"/>
      <c r="S84" s="13" t="s">
        <v>164</v>
      </c>
      <c r="T84" s="13" t="str">
        <f aca="false">IF(S84="Oui",IF(R84=L84,"Identique","Changé"),"")</f>
        <v/>
      </c>
    </row>
    <row r="85" customFormat="false" ht="35.05" hidden="false" customHeight="false" outlineLevel="0" collapsed="false">
      <c r="A85" s="13" t="s">
        <v>460</v>
      </c>
      <c r="B85" s="13" t="s">
        <v>450</v>
      </c>
      <c r="C85" s="13" t="n">
        <v>4</v>
      </c>
      <c r="D85" s="13" t="s">
        <v>97</v>
      </c>
      <c r="E85" s="13" t="s">
        <v>185</v>
      </c>
      <c r="F85" s="13" t="s">
        <v>115</v>
      </c>
      <c r="G85" s="13" t="s">
        <v>363</v>
      </c>
      <c r="H85" s="13" t="s">
        <v>152</v>
      </c>
      <c r="I85" s="21" t="s">
        <v>461</v>
      </c>
      <c r="J85" s="21" t="s">
        <v>154</v>
      </c>
      <c r="K85" s="21" t="s">
        <v>462</v>
      </c>
      <c r="L85" s="22" t="s">
        <v>40</v>
      </c>
      <c r="M85" s="21" t="s">
        <v>156</v>
      </c>
      <c r="N85" s="13" t="s">
        <v>106</v>
      </c>
      <c r="O85" s="23" t="n">
        <v>8.93</v>
      </c>
      <c r="P85" s="13" t="n">
        <v>3</v>
      </c>
      <c r="Q85" s="24" t="n">
        <v>46309.9004166667</v>
      </c>
      <c r="R85" s="22"/>
      <c r="S85" s="13" t="s">
        <v>164</v>
      </c>
      <c r="T85" s="13" t="str">
        <f aca="false">IF(S85="Oui",IF(R85=L85,"Identique","Changé"),"")</f>
        <v/>
      </c>
    </row>
    <row r="86" customFormat="false" ht="57.45" hidden="false" customHeight="false" outlineLevel="0" collapsed="false">
      <c r="A86" s="13" t="s">
        <v>463</v>
      </c>
      <c r="B86" s="13" t="s">
        <v>450</v>
      </c>
      <c r="C86" s="13" t="n">
        <v>5</v>
      </c>
      <c r="D86" s="13" t="s">
        <v>97</v>
      </c>
      <c r="E86" s="13" t="s">
        <v>171</v>
      </c>
      <c r="F86" s="13" t="s">
        <v>115</v>
      </c>
      <c r="G86" s="13" t="s">
        <v>464</v>
      </c>
      <c r="H86" s="13" t="s">
        <v>101</v>
      </c>
      <c r="I86" s="21" t="s">
        <v>465</v>
      </c>
      <c r="J86" s="21" t="s">
        <v>466</v>
      </c>
      <c r="K86" s="21" t="s">
        <v>467</v>
      </c>
      <c r="L86" s="22" t="s">
        <v>36</v>
      </c>
      <c r="M86" s="21" t="s">
        <v>120</v>
      </c>
      <c r="N86" s="13" t="s">
        <v>106</v>
      </c>
      <c r="O86" s="23" t="n">
        <v>9.86</v>
      </c>
      <c r="P86" s="13" t="n">
        <v>3</v>
      </c>
      <c r="Q86" s="24" t="n">
        <v>46309.900625</v>
      </c>
      <c r="R86" s="22"/>
      <c r="S86" s="13" t="s">
        <v>164</v>
      </c>
      <c r="T86" s="13" t="str">
        <f aca="false">IF(S86="Oui",IF(R86=L86,"Identique","Changé"),"")</f>
        <v/>
      </c>
    </row>
    <row r="87" customFormat="false" ht="23.85" hidden="false" customHeight="false" outlineLevel="0" collapsed="false">
      <c r="A87" s="13" t="s">
        <v>468</v>
      </c>
      <c r="B87" s="13" t="s">
        <v>469</v>
      </c>
      <c r="C87" s="13" t="n">
        <v>1</v>
      </c>
      <c r="D87" s="13" t="s">
        <v>135</v>
      </c>
      <c r="E87" s="13" t="s">
        <v>401</v>
      </c>
      <c r="F87" s="13" t="s">
        <v>470</v>
      </c>
      <c r="G87" s="13" t="s">
        <v>419</v>
      </c>
      <c r="H87" s="13" t="s">
        <v>101</v>
      </c>
      <c r="I87" s="21" t="s">
        <v>471</v>
      </c>
      <c r="J87" s="21" t="s">
        <v>472</v>
      </c>
      <c r="K87" s="21" t="s">
        <v>473</v>
      </c>
      <c r="L87" s="22" t="s">
        <v>36</v>
      </c>
      <c r="M87" s="21" t="s">
        <v>406</v>
      </c>
      <c r="N87" s="13" t="s">
        <v>106</v>
      </c>
      <c r="O87" s="23" t="n">
        <v>35.04</v>
      </c>
      <c r="P87" s="13" t="n">
        <v>4</v>
      </c>
      <c r="Q87" s="24" t="n">
        <v>46310.4149652778</v>
      </c>
      <c r="R87" s="22"/>
      <c r="S87" s="13" t="s">
        <v>164</v>
      </c>
      <c r="T87" s="13" t="str">
        <f aca="false">IF(S87="Oui",IF(R87=L87,"Identique","Changé"),"")</f>
        <v/>
      </c>
    </row>
    <row r="88" customFormat="false" ht="35.05" hidden="false" customHeight="false" outlineLevel="0" collapsed="false">
      <c r="A88" s="13" t="s">
        <v>474</v>
      </c>
      <c r="B88" s="13" t="s">
        <v>469</v>
      </c>
      <c r="C88" s="13" t="n">
        <v>2</v>
      </c>
      <c r="D88" s="13" t="s">
        <v>135</v>
      </c>
      <c r="E88" s="13" t="s">
        <v>114</v>
      </c>
      <c r="F88" s="13" t="s">
        <v>470</v>
      </c>
      <c r="G88" s="13" t="s">
        <v>116</v>
      </c>
      <c r="H88" s="13" t="s">
        <v>101</v>
      </c>
      <c r="I88" s="21" t="s">
        <v>475</v>
      </c>
      <c r="J88" s="21" t="s">
        <v>138</v>
      </c>
      <c r="K88" s="21" t="s">
        <v>476</v>
      </c>
      <c r="L88" s="22" t="s">
        <v>36</v>
      </c>
      <c r="M88" s="21" t="s">
        <v>120</v>
      </c>
      <c r="N88" s="13" t="s">
        <v>106</v>
      </c>
      <c r="O88" s="23" t="n">
        <v>12.1</v>
      </c>
      <c r="P88" s="13" t="n">
        <v>4</v>
      </c>
      <c r="Q88" s="24" t="n">
        <v>46310.4151967593</v>
      </c>
      <c r="R88" s="22"/>
      <c r="S88" s="13" t="s">
        <v>164</v>
      </c>
      <c r="T88" s="13" t="str">
        <f aca="false">IF(S88="Oui",IF(R88=L88,"Identique","Changé"),"")</f>
        <v/>
      </c>
    </row>
    <row r="89" customFormat="false" ht="23.85" hidden="false" customHeight="false" outlineLevel="0" collapsed="false">
      <c r="A89" s="13" t="s">
        <v>477</v>
      </c>
      <c r="B89" s="13" t="s">
        <v>469</v>
      </c>
      <c r="C89" s="13" t="n">
        <v>3</v>
      </c>
      <c r="D89" s="13" t="s">
        <v>135</v>
      </c>
      <c r="E89" s="13" t="s">
        <v>128</v>
      </c>
      <c r="F89" s="13" t="s">
        <v>470</v>
      </c>
      <c r="G89" s="13" t="s">
        <v>129</v>
      </c>
      <c r="H89" s="13" t="s">
        <v>101</v>
      </c>
      <c r="I89" s="21" t="s">
        <v>478</v>
      </c>
      <c r="J89" s="21" t="s">
        <v>199</v>
      </c>
      <c r="K89" s="21" t="s">
        <v>479</v>
      </c>
      <c r="L89" s="22" t="s">
        <v>36</v>
      </c>
      <c r="M89" s="21" t="s">
        <v>120</v>
      </c>
      <c r="N89" s="13" t="s">
        <v>106</v>
      </c>
      <c r="O89" s="23" t="n">
        <v>15.31</v>
      </c>
      <c r="P89" s="13" t="n">
        <v>4</v>
      </c>
      <c r="Q89" s="24" t="n">
        <v>46310.415474537</v>
      </c>
      <c r="R89" s="22"/>
      <c r="S89" s="13" t="s">
        <v>164</v>
      </c>
      <c r="T89" s="13" t="str">
        <f aca="false">IF(S89="Oui",IF(R89=L89,"Identique","Changé"),"")</f>
        <v/>
      </c>
    </row>
    <row r="90" customFormat="false" ht="35.05" hidden="false" customHeight="false" outlineLevel="0" collapsed="false">
      <c r="A90" s="13" t="s">
        <v>480</v>
      </c>
      <c r="B90" s="13" t="s">
        <v>469</v>
      </c>
      <c r="C90" s="13" t="n">
        <v>4</v>
      </c>
      <c r="D90" s="13" t="s">
        <v>135</v>
      </c>
      <c r="E90" s="13" t="s">
        <v>185</v>
      </c>
      <c r="F90" s="13" t="s">
        <v>470</v>
      </c>
      <c r="G90" s="13" t="s">
        <v>363</v>
      </c>
      <c r="H90" s="13" t="s">
        <v>152</v>
      </c>
      <c r="I90" s="21" t="s">
        <v>481</v>
      </c>
      <c r="J90" s="21" t="s">
        <v>154</v>
      </c>
      <c r="K90" s="21" t="s">
        <v>482</v>
      </c>
      <c r="L90" s="22" t="s">
        <v>40</v>
      </c>
      <c r="M90" s="21" t="s">
        <v>156</v>
      </c>
      <c r="N90" s="13" t="s">
        <v>106</v>
      </c>
      <c r="O90" s="23" t="n">
        <v>13.85</v>
      </c>
      <c r="P90" s="13" t="n">
        <v>4</v>
      </c>
      <c r="Q90" s="24" t="n">
        <v>46310.4157291667</v>
      </c>
      <c r="R90" s="22"/>
      <c r="S90" s="13" t="s">
        <v>164</v>
      </c>
      <c r="T90" s="13" t="str">
        <f aca="false">IF(S90="Oui",IF(R90=L90,"Identique","Changé"),"")</f>
        <v/>
      </c>
    </row>
    <row r="91" customFormat="false" ht="23.85" hidden="false" customHeight="false" outlineLevel="0" collapsed="false">
      <c r="A91" s="13" t="s">
        <v>483</v>
      </c>
      <c r="B91" s="13" t="s">
        <v>469</v>
      </c>
      <c r="C91" s="13" t="n">
        <v>5</v>
      </c>
      <c r="D91" s="13" t="s">
        <v>135</v>
      </c>
      <c r="E91" s="13" t="s">
        <v>122</v>
      </c>
      <c r="F91" s="13" t="s">
        <v>470</v>
      </c>
      <c r="G91" s="13" t="s">
        <v>123</v>
      </c>
      <c r="H91" s="13" t="s">
        <v>101</v>
      </c>
      <c r="I91" s="21" t="s">
        <v>484</v>
      </c>
      <c r="J91" s="21" t="s">
        <v>125</v>
      </c>
      <c r="K91" s="21" t="s">
        <v>485</v>
      </c>
      <c r="L91" s="22" t="s">
        <v>36</v>
      </c>
      <c r="M91" s="21" t="s">
        <v>120</v>
      </c>
      <c r="N91" s="13" t="s">
        <v>106</v>
      </c>
      <c r="O91" s="23" t="n">
        <v>11.17</v>
      </c>
      <c r="P91" s="13" t="n">
        <v>4</v>
      </c>
      <c r="Q91" s="24" t="n">
        <v>46310.4159606482</v>
      </c>
      <c r="R91" s="22"/>
      <c r="S91" s="13" t="s">
        <v>164</v>
      </c>
      <c r="T91" s="13" t="str">
        <f aca="false">IF(S91="Oui",IF(R91=L91,"Identique","Changé"),"")</f>
        <v/>
      </c>
    </row>
    <row r="92" customFormat="false" ht="35.05" hidden="false" customHeight="false" outlineLevel="0" collapsed="false">
      <c r="A92" s="13" t="s">
        <v>486</v>
      </c>
      <c r="B92" s="13" t="s">
        <v>487</v>
      </c>
      <c r="C92" s="13" t="n">
        <v>1</v>
      </c>
      <c r="D92" s="13" t="s">
        <v>97</v>
      </c>
      <c r="E92" s="13" t="s">
        <v>401</v>
      </c>
      <c r="F92" s="13" t="s">
        <v>488</v>
      </c>
      <c r="G92" s="13" t="s">
        <v>419</v>
      </c>
      <c r="H92" s="13" t="s">
        <v>101</v>
      </c>
      <c r="I92" s="21" t="s">
        <v>489</v>
      </c>
      <c r="J92" s="21" t="s">
        <v>490</v>
      </c>
      <c r="K92" s="21" t="s">
        <v>491</v>
      </c>
      <c r="L92" s="22" t="s">
        <v>36</v>
      </c>
      <c r="M92" s="21" t="s">
        <v>406</v>
      </c>
      <c r="N92" s="13" t="s">
        <v>106</v>
      </c>
      <c r="O92" s="23" t="n">
        <v>48</v>
      </c>
      <c r="P92" s="13" t="n">
        <v>4</v>
      </c>
      <c r="Q92" s="24" t="n">
        <v>46310.4166898148</v>
      </c>
      <c r="R92" s="22"/>
      <c r="S92" s="13" t="s">
        <v>164</v>
      </c>
      <c r="T92" s="13" t="str">
        <f aca="false">IF(S92="Oui",IF(R92=L92,"Identique","Changé"),"")</f>
        <v/>
      </c>
    </row>
    <row r="93" customFormat="false" ht="35.05" hidden="false" customHeight="false" outlineLevel="0" collapsed="false">
      <c r="A93" s="13" t="s">
        <v>492</v>
      </c>
      <c r="B93" s="13" t="s">
        <v>487</v>
      </c>
      <c r="C93" s="13" t="n">
        <v>2</v>
      </c>
      <c r="D93" s="13" t="s">
        <v>97</v>
      </c>
      <c r="E93" s="13" t="s">
        <v>260</v>
      </c>
      <c r="F93" s="13" t="s">
        <v>488</v>
      </c>
      <c r="G93" s="13" t="s">
        <v>261</v>
      </c>
      <c r="H93" s="13" t="s">
        <v>101</v>
      </c>
      <c r="I93" s="21" t="s">
        <v>493</v>
      </c>
      <c r="J93" s="21" t="s">
        <v>263</v>
      </c>
      <c r="K93" s="21" t="s">
        <v>494</v>
      </c>
      <c r="L93" s="22" t="s">
        <v>36</v>
      </c>
      <c r="M93" s="21" t="s">
        <v>120</v>
      </c>
      <c r="N93" s="13" t="s">
        <v>106</v>
      </c>
      <c r="O93" s="23" t="n">
        <v>15.95</v>
      </c>
      <c r="P93" s="13" t="n">
        <v>4</v>
      </c>
      <c r="Q93" s="24" t="n">
        <v>46310.4169791667</v>
      </c>
      <c r="R93" s="22"/>
      <c r="S93" s="13" t="s">
        <v>164</v>
      </c>
      <c r="T93" s="13" t="str">
        <f aca="false">IF(S93="Oui",IF(R93=L93,"Identique","Changé"),"")</f>
        <v/>
      </c>
    </row>
    <row r="94" customFormat="false" ht="57.45" hidden="false" customHeight="false" outlineLevel="0" collapsed="false">
      <c r="A94" s="13" t="s">
        <v>495</v>
      </c>
      <c r="B94" s="13" t="s">
        <v>487</v>
      </c>
      <c r="C94" s="13" t="n">
        <v>3</v>
      </c>
      <c r="D94" s="13" t="s">
        <v>97</v>
      </c>
      <c r="E94" s="13" t="s">
        <v>171</v>
      </c>
      <c r="F94" s="13" t="s">
        <v>488</v>
      </c>
      <c r="G94" s="13" t="s">
        <v>464</v>
      </c>
      <c r="H94" s="13" t="s">
        <v>101</v>
      </c>
      <c r="I94" s="21" t="s">
        <v>465</v>
      </c>
      <c r="J94" s="21" t="s">
        <v>496</v>
      </c>
      <c r="K94" s="21" t="s">
        <v>497</v>
      </c>
      <c r="L94" s="22" t="s">
        <v>36</v>
      </c>
      <c r="M94" s="21" t="s">
        <v>120</v>
      </c>
      <c r="N94" s="13" t="s">
        <v>106</v>
      </c>
      <c r="O94" s="23" t="n">
        <v>12.28</v>
      </c>
      <c r="P94" s="13" t="n">
        <v>4</v>
      </c>
      <c r="Q94" s="24" t="n">
        <v>46310.4172222222</v>
      </c>
      <c r="R94" s="22"/>
      <c r="S94" s="13" t="s">
        <v>164</v>
      </c>
      <c r="T94" s="13" t="str">
        <f aca="false">IF(S94="Oui",IF(R94=L94,"Identique","Changé"),"")</f>
        <v/>
      </c>
    </row>
    <row r="95" customFormat="false" ht="46.25" hidden="false" customHeight="false" outlineLevel="0" collapsed="false">
      <c r="A95" s="13" t="s">
        <v>498</v>
      </c>
      <c r="B95" s="13" t="s">
        <v>487</v>
      </c>
      <c r="C95" s="13" t="n">
        <v>4</v>
      </c>
      <c r="D95" s="13" t="s">
        <v>97</v>
      </c>
      <c r="E95" s="13" t="s">
        <v>114</v>
      </c>
      <c r="F95" s="13" t="s">
        <v>488</v>
      </c>
      <c r="G95" s="13" t="s">
        <v>141</v>
      </c>
      <c r="H95" s="13" t="s">
        <v>101</v>
      </c>
      <c r="I95" s="21" t="s">
        <v>499</v>
      </c>
      <c r="J95" s="21" t="s">
        <v>143</v>
      </c>
      <c r="K95" s="21" t="s">
        <v>500</v>
      </c>
      <c r="L95" s="22" t="s">
        <v>36</v>
      </c>
      <c r="M95" s="21" t="s">
        <v>120</v>
      </c>
      <c r="N95" s="13" t="s">
        <v>106</v>
      </c>
      <c r="O95" s="23" t="n">
        <v>10.89</v>
      </c>
      <c r="P95" s="13" t="n">
        <v>4</v>
      </c>
      <c r="Q95" s="24" t="n">
        <v>46310.4174421296</v>
      </c>
      <c r="R95" s="22"/>
      <c r="S95" s="13" t="s">
        <v>164</v>
      </c>
      <c r="T95" s="13" t="str">
        <f aca="false">IF(S95="Oui",IF(R95=L95,"Identique","Changé"),"")</f>
        <v/>
      </c>
    </row>
    <row r="96" customFormat="false" ht="46.25" hidden="false" customHeight="false" outlineLevel="0" collapsed="false">
      <c r="A96" s="13" t="s">
        <v>501</v>
      </c>
      <c r="B96" s="13" t="s">
        <v>487</v>
      </c>
      <c r="C96" s="13" t="n">
        <v>5</v>
      </c>
      <c r="D96" s="13" t="s">
        <v>97</v>
      </c>
      <c r="E96" s="13" t="s">
        <v>122</v>
      </c>
      <c r="F96" s="13" t="s">
        <v>488</v>
      </c>
      <c r="G96" s="13" t="s">
        <v>123</v>
      </c>
      <c r="H96" s="13" t="s">
        <v>101</v>
      </c>
      <c r="I96" s="21" t="s">
        <v>358</v>
      </c>
      <c r="J96" s="21" t="s">
        <v>125</v>
      </c>
      <c r="K96" s="21" t="s">
        <v>502</v>
      </c>
      <c r="L96" s="22" t="s">
        <v>36</v>
      </c>
      <c r="M96" s="21" t="s">
        <v>120</v>
      </c>
      <c r="N96" s="13" t="s">
        <v>106</v>
      </c>
      <c r="O96" s="23" t="n">
        <v>11.37</v>
      </c>
      <c r="P96" s="13" t="n">
        <v>4</v>
      </c>
      <c r="Q96" s="24" t="n">
        <v>46310.4176851852</v>
      </c>
      <c r="R96" s="22"/>
      <c r="S96" s="13" t="s">
        <v>164</v>
      </c>
      <c r="T96" s="13" t="str">
        <f aca="false">IF(S96="Oui",IF(R96=L96,"Identique","Changé"),"")</f>
        <v/>
      </c>
    </row>
    <row r="97" customFormat="false" ht="35.05" hidden="false" customHeight="false" outlineLevel="0" collapsed="false">
      <c r="A97" s="13" t="s">
        <v>503</v>
      </c>
      <c r="B97" s="13" t="s">
        <v>504</v>
      </c>
      <c r="C97" s="13" t="n">
        <v>1</v>
      </c>
      <c r="D97" s="13" t="s">
        <v>135</v>
      </c>
      <c r="E97" s="13" t="s">
        <v>122</v>
      </c>
      <c r="F97" s="13" t="s">
        <v>505</v>
      </c>
      <c r="G97" s="13" t="s">
        <v>123</v>
      </c>
      <c r="H97" s="13" t="s">
        <v>101</v>
      </c>
      <c r="I97" s="21" t="s">
        <v>506</v>
      </c>
      <c r="J97" s="21" t="s">
        <v>125</v>
      </c>
      <c r="K97" s="21" t="s">
        <v>507</v>
      </c>
      <c r="L97" s="22" t="s">
        <v>36</v>
      </c>
      <c r="M97" s="21" t="s">
        <v>120</v>
      </c>
      <c r="N97" s="13" t="s">
        <v>106</v>
      </c>
      <c r="O97" s="23" t="n">
        <v>56.51</v>
      </c>
      <c r="P97" s="13" t="n">
        <v>6</v>
      </c>
      <c r="Q97" s="24" t="n">
        <v>46310.4244212963</v>
      </c>
      <c r="R97" s="22"/>
      <c r="S97" s="13" t="s">
        <v>164</v>
      </c>
      <c r="T97" s="13" t="str">
        <f aca="false">IF(S97="Oui",IF(R97=L97,"Identique","Changé"),"")</f>
        <v/>
      </c>
    </row>
    <row r="98" customFormat="false" ht="46.25" hidden="false" customHeight="false" outlineLevel="0" collapsed="false">
      <c r="A98" s="13" t="s">
        <v>508</v>
      </c>
      <c r="B98" s="13" t="s">
        <v>504</v>
      </c>
      <c r="C98" s="13" t="n">
        <v>2</v>
      </c>
      <c r="D98" s="13" t="s">
        <v>135</v>
      </c>
      <c r="E98" s="13" t="s">
        <v>171</v>
      </c>
      <c r="F98" s="13" t="s">
        <v>505</v>
      </c>
      <c r="G98" s="13" t="s">
        <v>464</v>
      </c>
      <c r="H98" s="13" t="s">
        <v>101</v>
      </c>
      <c r="I98" s="21" t="s">
        <v>465</v>
      </c>
      <c r="J98" s="21" t="s">
        <v>496</v>
      </c>
      <c r="K98" s="21" t="s">
        <v>509</v>
      </c>
      <c r="L98" s="22" t="s">
        <v>36</v>
      </c>
      <c r="M98" s="21" t="s">
        <v>120</v>
      </c>
      <c r="N98" s="13" t="s">
        <v>106</v>
      </c>
      <c r="O98" s="23" t="n">
        <v>13.14</v>
      </c>
      <c r="P98" s="13" t="n">
        <v>6</v>
      </c>
      <c r="Q98" s="24" t="n">
        <v>46310.4246759259</v>
      </c>
      <c r="R98" s="22"/>
      <c r="S98" s="13" t="s">
        <v>164</v>
      </c>
      <c r="T98" s="13" t="str">
        <f aca="false">IF(S98="Oui",IF(R98=L98,"Identique","Changé"),"")</f>
        <v/>
      </c>
    </row>
    <row r="99" customFormat="false" ht="68.65" hidden="false" customHeight="false" outlineLevel="0" collapsed="false">
      <c r="A99" s="13" t="s">
        <v>510</v>
      </c>
      <c r="B99" s="13" t="s">
        <v>504</v>
      </c>
      <c r="C99" s="13" t="n">
        <v>3</v>
      </c>
      <c r="D99" s="13" t="s">
        <v>135</v>
      </c>
      <c r="E99" s="13" t="s">
        <v>122</v>
      </c>
      <c r="F99" s="13" t="s">
        <v>505</v>
      </c>
      <c r="G99" s="13" t="s">
        <v>282</v>
      </c>
      <c r="H99" s="13" t="s">
        <v>101</v>
      </c>
      <c r="I99" s="21" t="s">
        <v>511</v>
      </c>
      <c r="J99" s="21" t="s">
        <v>512</v>
      </c>
      <c r="K99" s="21" t="s">
        <v>513</v>
      </c>
      <c r="L99" s="22" t="s">
        <v>37</v>
      </c>
      <c r="M99" s="21" t="s">
        <v>163</v>
      </c>
      <c r="N99" s="13" t="s">
        <v>106</v>
      </c>
      <c r="O99" s="23" t="n">
        <v>16.85</v>
      </c>
      <c r="P99" s="13" t="n">
        <v>6</v>
      </c>
      <c r="Q99" s="24" t="n">
        <v>46310.4249768519</v>
      </c>
      <c r="R99" s="22"/>
      <c r="S99" s="13" t="s">
        <v>164</v>
      </c>
      <c r="T99" s="13" t="str">
        <f aca="false">IF(S99="Oui",IF(R99=L99,"Identique","Changé"),"")</f>
        <v/>
      </c>
    </row>
    <row r="100" customFormat="false" ht="57.45" hidden="false" customHeight="false" outlineLevel="0" collapsed="false">
      <c r="A100" s="13" t="s">
        <v>514</v>
      </c>
      <c r="B100" s="13" t="s">
        <v>504</v>
      </c>
      <c r="C100" s="13" t="n">
        <v>4</v>
      </c>
      <c r="D100" s="13" t="s">
        <v>135</v>
      </c>
      <c r="E100" s="13" t="s">
        <v>171</v>
      </c>
      <c r="F100" s="13" t="s">
        <v>505</v>
      </c>
      <c r="G100" s="13" t="s">
        <v>222</v>
      </c>
      <c r="H100" s="13" t="s">
        <v>101</v>
      </c>
      <c r="I100" s="21" t="s">
        <v>515</v>
      </c>
      <c r="J100" s="21" t="s">
        <v>516</v>
      </c>
      <c r="K100" s="21" t="s">
        <v>517</v>
      </c>
      <c r="L100" s="22" t="s">
        <v>36</v>
      </c>
      <c r="M100" s="21" t="s">
        <v>120</v>
      </c>
      <c r="N100" s="13" t="s">
        <v>106</v>
      </c>
      <c r="O100" s="23" t="n">
        <v>18.15</v>
      </c>
      <c r="P100" s="13" t="n">
        <v>6</v>
      </c>
      <c r="Q100" s="24" t="n">
        <v>46310.4252893519</v>
      </c>
      <c r="R100" s="22"/>
      <c r="S100" s="13" t="s">
        <v>164</v>
      </c>
      <c r="T100" s="13" t="str">
        <f aca="false">IF(S100="Oui",IF(R100=L100,"Identique","Changé"),"")</f>
        <v/>
      </c>
    </row>
    <row r="101" customFormat="false" ht="46.25" hidden="false" customHeight="false" outlineLevel="0" collapsed="false">
      <c r="A101" s="13" t="s">
        <v>518</v>
      </c>
      <c r="B101" s="13" t="s">
        <v>504</v>
      </c>
      <c r="C101" s="13" t="n">
        <v>5</v>
      </c>
      <c r="D101" s="13" t="s">
        <v>135</v>
      </c>
      <c r="E101" s="13" t="s">
        <v>171</v>
      </c>
      <c r="F101" s="13" t="s">
        <v>505</v>
      </c>
      <c r="G101" s="13" t="s">
        <v>519</v>
      </c>
      <c r="H101" s="13" t="s">
        <v>101</v>
      </c>
      <c r="I101" s="21" t="s">
        <v>520</v>
      </c>
      <c r="J101" s="21" t="s">
        <v>284</v>
      </c>
      <c r="K101" s="21" t="s">
        <v>521</v>
      </c>
      <c r="L101" s="22" t="s">
        <v>36</v>
      </c>
      <c r="M101" s="21" t="s">
        <v>120</v>
      </c>
      <c r="N101" s="13" t="s">
        <v>106</v>
      </c>
      <c r="O101" s="23" t="n">
        <v>12.1</v>
      </c>
      <c r="P101" s="13" t="n">
        <v>6</v>
      </c>
      <c r="Q101" s="24" t="n">
        <v>46310.4255439815</v>
      </c>
      <c r="R101" s="22"/>
      <c r="S101" s="13" t="s">
        <v>164</v>
      </c>
      <c r="T101" s="13" t="str">
        <f aca="false">IF(S101="Oui",IF(R101=L101,"Identique","Changé"),"")</f>
        <v/>
      </c>
    </row>
    <row r="102" customFormat="false" ht="57.45" hidden="false" customHeight="false" outlineLevel="0" collapsed="false">
      <c r="A102" s="13" t="s">
        <v>522</v>
      </c>
      <c r="B102" s="13" t="s">
        <v>523</v>
      </c>
      <c r="C102" s="13" t="n">
        <v>1</v>
      </c>
      <c r="D102" s="13" t="s">
        <v>97</v>
      </c>
      <c r="E102" s="13" t="s">
        <v>171</v>
      </c>
      <c r="F102" s="13" t="s">
        <v>524</v>
      </c>
      <c r="G102" s="13" t="s">
        <v>464</v>
      </c>
      <c r="H102" s="13" t="s">
        <v>101</v>
      </c>
      <c r="I102" s="21" t="s">
        <v>525</v>
      </c>
      <c r="J102" s="21" t="s">
        <v>526</v>
      </c>
      <c r="K102" s="21" t="s">
        <v>527</v>
      </c>
      <c r="L102" s="22" t="s">
        <v>36</v>
      </c>
      <c r="M102" s="21" t="s">
        <v>120</v>
      </c>
      <c r="N102" s="13" t="s">
        <v>106</v>
      </c>
      <c r="O102" s="23" t="n">
        <v>36.95</v>
      </c>
      <c r="P102" s="13" t="n">
        <v>3</v>
      </c>
      <c r="Q102" s="24" t="n">
        <v>46309.9622916667</v>
      </c>
      <c r="R102" s="22" t="s">
        <v>36</v>
      </c>
      <c r="S102" s="13" t="s">
        <v>107</v>
      </c>
      <c r="T102" s="13" t="str">
        <f aca="false">IF(S102="Oui",IF(R102=L102,"Identique","Changé"),"")</f>
        <v>Identique</v>
      </c>
    </row>
    <row r="103" customFormat="false" ht="35.05" hidden="false" customHeight="false" outlineLevel="0" collapsed="false">
      <c r="A103" s="13" t="s">
        <v>528</v>
      </c>
      <c r="B103" s="13" t="s">
        <v>523</v>
      </c>
      <c r="C103" s="13" t="n">
        <v>2</v>
      </c>
      <c r="D103" s="13" t="s">
        <v>97</v>
      </c>
      <c r="E103" s="13" t="s">
        <v>98</v>
      </c>
      <c r="F103" s="13" t="s">
        <v>524</v>
      </c>
      <c r="G103" s="13" t="s">
        <v>109</v>
      </c>
      <c r="H103" s="13" t="s">
        <v>101</v>
      </c>
      <c r="I103" s="21" t="s">
        <v>529</v>
      </c>
      <c r="J103" s="21" t="s">
        <v>530</v>
      </c>
      <c r="K103" s="21" t="s">
        <v>531</v>
      </c>
      <c r="L103" s="22" t="s">
        <v>36</v>
      </c>
      <c r="M103" s="21" t="s">
        <v>105</v>
      </c>
      <c r="N103" s="13" t="s">
        <v>106</v>
      </c>
      <c r="O103" s="23" t="n">
        <v>9.81</v>
      </c>
      <c r="P103" s="13" t="n">
        <v>3</v>
      </c>
      <c r="Q103" s="24" t="n">
        <v>46309.9625</v>
      </c>
      <c r="R103" s="22" t="s">
        <v>36</v>
      </c>
      <c r="S103" s="13" t="s">
        <v>107</v>
      </c>
      <c r="T103" s="13" t="str">
        <f aca="false">IF(S103="Oui",IF(R103=L103,"Identique","Changé"),"")</f>
        <v>Identique</v>
      </c>
    </row>
    <row r="104" customFormat="false" ht="35.05" hidden="false" customHeight="false" outlineLevel="0" collapsed="false">
      <c r="A104" s="13" t="s">
        <v>532</v>
      </c>
      <c r="B104" s="13" t="s">
        <v>523</v>
      </c>
      <c r="C104" s="13" t="n">
        <v>3</v>
      </c>
      <c r="D104" s="13" t="s">
        <v>97</v>
      </c>
      <c r="E104" s="13" t="s">
        <v>122</v>
      </c>
      <c r="F104" s="13" t="s">
        <v>332</v>
      </c>
      <c r="G104" s="13" t="s">
        <v>282</v>
      </c>
      <c r="H104" s="13" t="s">
        <v>101</v>
      </c>
      <c r="I104" s="21" t="s">
        <v>533</v>
      </c>
      <c r="J104" s="21" t="s">
        <v>512</v>
      </c>
      <c r="K104" s="21" t="s">
        <v>534</v>
      </c>
      <c r="L104" s="22" t="s">
        <v>36</v>
      </c>
      <c r="M104" s="21" t="s">
        <v>120</v>
      </c>
      <c r="N104" s="13" t="s">
        <v>106</v>
      </c>
      <c r="O104" s="23" t="n">
        <v>22.75</v>
      </c>
      <c r="P104" s="13" t="n">
        <v>3</v>
      </c>
      <c r="Q104" s="24" t="n">
        <v>46309.9628703704</v>
      </c>
      <c r="R104" s="22" t="s">
        <v>36</v>
      </c>
      <c r="S104" s="13" t="s">
        <v>107</v>
      </c>
      <c r="T104" s="13" t="str">
        <f aca="false">IF(S104="Oui",IF(R104=L104,"Identique","Changé"),"")</f>
        <v>Identique</v>
      </c>
    </row>
    <row r="105" customFormat="false" ht="35.05" hidden="false" customHeight="false" outlineLevel="0" collapsed="false">
      <c r="A105" s="13" t="s">
        <v>535</v>
      </c>
      <c r="B105" s="13" t="s">
        <v>523</v>
      </c>
      <c r="C105" s="13" t="n">
        <v>4</v>
      </c>
      <c r="D105" s="13" t="s">
        <v>97</v>
      </c>
      <c r="E105" s="13" t="s">
        <v>98</v>
      </c>
      <c r="F105" s="13" t="s">
        <v>332</v>
      </c>
      <c r="G105" s="13" t="s">
        <v>100</v>
      </c>
      <c r="H105" s="13" t="s">
        <v>101</v>
      </c>
      <c r="I105" s="21" t="s">
        <v>536</v>
      </c>
      <c r="J105" s="21" t="s">
        <v>103</v>
      </c>
      <c r="K105" s="21" t="s">
        <v>537</v>
      </c>
      <c r="L105" s="22" t="s">
        <v>36</v>
      </c>
      <c r="M105" s="21" t="s">
        <v>105</v>
      </c>
      <c r="N105" s="13" t="s">
        <v>106</v>
      </c>
      <c r="O105" s="23" t="n">
        <v>9.42</v>
      </c>
      <c r="P105" s="13" t="n">
        <v>3</v>
      </c>
      <c r="Q105" s="24" t="n">
        <v>46309.9630787037</v>
      </c>
      <c r="R105" s="22" t="s">
        <v>36</v>
      </c>
      <c r="S105" s="13" t="s">
        <v>107</v>
      </c>
      <c r="T105" s="13" t="str">
        <f aca="false">IF(S105="Oui",IF(R105=L105,"Identique","Changé"),"")</f>
        <v>Identique</v>
      </c>
    </row>
    <row r="106" customFormat="false" ht="35.05" hidden="false" customHeight="false" outlineLevel="0" collapsed="false">
      <c r="A106" s="13" t="s">
        <v>538</v>
      </c>
      <c r="B106" s="13" t="s">
        <v>523</v>
      </c>
      <c r="C106" s="13" t="n">
        <v>5</v>
      </c>
      <c r="D106" s="13" t="s">
        <v>97</v>
      </c>
      <c r="E106" s="13" t="s">
        <v>122</v>
      </c>
      <c r="F106" s="13" t="s">
        <v>524</v>
      </c>
      <c r="G106" s="13" t="s">
        <v>123</v>
      </c>
      <c r="H106" s="13" t="s">
        <v>101</v>
      </c>
      <c r="I106" s="21" t="s">
        <v>539</v>
      </c>
      <c r="J106" s="21" t="s">
        <v>125</v>
      </c>
      <c r="K106" s="21" t="s">
        <v>540</v>
      </c>
      <c r="L106" s="22" t="s">
        <v>36</v>
      </c>
      <c r="M106" s="21" t="s">
        <v>120</v>
      </c>
      <c r="N106" s="13" t="s">
        <v>106</v>
      </c>
      <c r="O106" s="23" t="n">
        <v>7.59</v>
      </c>
      <c r="P106" s="13" t="n">
        <v>3</v>
      </c>
      <c r="Q106" s="24" t="n">
        <v>46309.9632638889</v>
      </c>
      <c r="R106" s="22" t="s">
        <v>36</v>
      </c>
      <c r="S106" s="13" t="s">
        <v>107</v>
      </c>
      <c r="T106" s="13" t="str">
        <f aca="false">IF(S106="Oui",IF(R106=L106,"Identique","Changé"),"")</f>
        <v>Identique</v>
      </c>
    </row>
    <row r="107" customFormat="false" ht="35.05" hidden="false" customHeight="false" outlineLevel="0" collapsed="false">
      <c r="A107" s="13" t="s">
        <v>541</v>
      </c>
      <c r="B107" s="13" t="s">
        <v>542</v>
      </c>
      <c r="C107" s="13" t="n">
        <v>1</v>
      </c>
      <c r="D107" s="13" t="s">
        <v>135</v>
      </c>
      <c r="E107" s="13" t="s">
        <v>128</v>
      </c>
      <c r="F107" s="13" t="s">
        <v>543</v>
      </c>
      <c r="G107" s="13" t="s">
        <v>193</v>
      </c>
      <c r="H107" s="13" t="s">
        <v>101</v>
      </c>
      <c r="I107" s="21" t="s">
        <v>544</v>
      </c>
      <c r="J107" s="21" t="s">
        <v>195</v>
      </c>
      <c r="K107" s="21" t="s">
        <v>545</v>
      </c>
      <c r="L107" s="22" t="s">
        <v>36</v>
      </c>
      <c r="M107" s="21" t="s">
        <v>120</v>
      </c>
      <c r="N107" s="13" t="s">
        <v>106</v>
      </c>
      <c r="O107" s="23" t="n">
        <v>43.92</v>
      </c>
      <c r="P107" s="13" t="n">
        <v>4</v>
      </c>
      <c r="Q107" s="24" t="n">
        <v>46310.4262731482</v>
      </c>
      <c r="R107" s="22" t="s">
        <v>36</v>
      </c>
      <c r="S107" s="13" t="s">
        <v>107</v>
      </c>
      <c r="T107" s="13" t="str">
        <f aca="false">IF(S107="Oui",IF(R107=L107,"Identique","Changé"),"")</f>
        <v>Identique</v>
      </c>
    </row>
    <row r="108" customFormat="false" ht="46.25" hidden="false" customHeight="false" outlineLevel="0" collapsed="false">
      <c r="A108" s="13" t="s">
        <v>546</v>
      </c>
      <c r="B108" s="13" t="s">
        <v>542</v>
      </c>
      <c r="C108" s="13" t="n">
        <v>2</v>
      </c>
      <c r="D108" s="13" t="s">
        <v>135</v>
      </c>
      <c r="E108" s="13" t="s">
        <v>128</v>
      </c>
      <c r="F108" s="13" t="s">
        <v>543</v>
      </c>
      <c r="G108" s="13" t="s">
        <v>129</v>
      </c>
      <c r="H108" s="13" t="s">
        <v>101</v>
      </c>
      <c r="I108" s="21" t="s">
        <v>547</v>
      </c>
      <c r="J108" s="21" t="s">
        <v>131</v>
      </c>
      <c r="K108" s="21" t="s">
        <v>548</v>
      </c>
      <c r="L108" s="22" t="s">
        <v>36</v>
      </c>
      <c r="M108" s="21" t="s">
        <v>120</v>
      </c>
      <c r="N108" s="13" t="s">
        <v>106</v>
      </c>
      <c r="O108" s="23" t="n">
        <v>16.03</v>
      </c>
      <c r="P108" s="13" t="n">
        <v>4</v>
      </c>
      <c r="Q108" s="24" t="n">
        <v>46310.4265625</v>
      </c>
      <c r="R108" s="22" t="s">
        <v>36</v>
      </c>
      <c r="S108" s="13" t="s">
        <v>107</v>
      </c>
      <c r="T108" s="13" t="str">
        <f aca="false">IF(S108="Oui",IF(R108=L108,"Identique","Changé"),"")</f>
        <v>Identique</v>
      </c>
    </row>
    <row r="109" customFormat="false" ht="46.25" hidden="false" customHeight="false" outlineLevel="0" collapsed="false">
      <c r="A109" s="13" t="s">
        <v>549</v>
      </c>
      <c r="B109" s="13" t="s">
        <v>542</v>
      </c>
      <c r="C109" s="13" t="n">
        <v>3</v>
      </c>
      <c r="D109" s="13" t="s">
        <v>135</v>
      </c>
      <c r="E109" s="13" t="s">
        <v>171</v>
      </c>
      <c r="F109" s="13" t="s">
        <v>543</v>
      </c>
      <c r="G109" s="13" t="s">
        <v>519</v>
      </c>
      <c r="H109" s="13" t="s">
        <v>101</v>
      </c>
      <c r="I109" s="21" t="s">
        <v>520</v>
      </c>
      <c r="J109" s="21" t="s">
        <v>284</v>
      </c>
      <c r="K109" s="21" t="s">
        <v>550</v>
      </c>
      <c r="L109" s="22" t="s">
        <v>36</v>
      </c>
      <c r="M109" s="21" t="s">
        <v>120</v>
      </c>
      <c r="N109" s="13" t="s">
        <v>106</v>
      </c>
      <c r="O109" s="23" t="n">
        <v>12.16</v>
      </c>
      <c r="P109" s="13" t="n">
        <v>4</v>
      </c>
      <c r="Q109" s="24" t="n">
        <v>46310.4268055556</v>
      </c>
      <c r="R109" s="22" t="s">
        <v>36</v>
      </c>
      <c r="S109" s="13" t="s">
        <v>107</v>
      </c>
      <c r="T109" s="13" t="str">
        <f aca="false">IF(S109="Oui",IF(R109=L109,"Identique","Changé"),"")</f>
        <v>Identique</v>
      </c>
    </row>
    <row r="110" customFormat="false" ht="46.25" hidden="false" customHeight="false" outlineLevel="0" collapsed="false">
      <c r="A110" s="13" t="s">
        <v>551</v>
      </c>
      <c r="B110" s="13" t="s">
        <v>542</v>
      </c>
      <c r="C110" s="13" t="n">
        <v>4</v>
      </c>
      <c r="D110" s="13" t="s">
        <v>135</v>
      </c>
      <c r="E110" s="13" t="s">
        <v>185</v>
      </c>
      <c r="F110" s="13" t="s">
        <v>543</v>
      </c>
      <c r="G110" s="13" t="s">
        <v>363</v>
      </c>
      <c r="H110" s="13" t="s">
        <v>152</v>
      </c>
      <c r="I110" s="21" t="s">
        <v>552</v>
      </c>
      <c r="J110" s="21" t="s">
        <v>154</v>
      </c>
      <c r="K110" s="21" t="s">
        <v>553</v>
      </c>
      <c r="L110" s="22" t="s">
        <v>40</v>
      </c>
      <c r="M110" s="21" t="s">
        <v>156</v>
      </c>
      <c r="N110" s="13" t="s">
        <v>106</v>
      </c>
      <c r="O110" s="23" t="n">
        <v>14.12</v>
      </c>
      <c r="P110" s="13" t="n">
        <v>4</v>
      </c>
      <c r="Q110" s="24" t="n">
        <v>46310.4270833333</v>
      </c>
      <c r="R110" s="22" t="s">
        <v>40</v>
      </c>
      <c r="S110" s="13" t="s">
        <v>107</v>
      </c>
      <c r="T110" s="13" t="str">
        <f aca="false">IF(S110="Oui",IF(R110=L110,"Identique","Changé"),"")</f>
        <v>Identique</v>
      </c>
    </row>
    <row r="111" customFormat="false" ht="23.85" hidden="false" customHeight="false" outlineLevel="0" collapsed="false">
      <c r="A111" s="13" t="s">
        <v>554</v>
      </c>
      <c r="B111" s="13" t="s">
        <v>542</v>
      </c>
      <c r="C111" s="13" t="n">
        <v>5</v>
      </c>
      <c r="D111" s="13" t="s">
        <v>135</v>
      </c>
      <c r="E111" s="13" t="s">
        <v>114</v>
      </c>
      <c r="F111" s="13" t="s">
        <v>543</v>
      </c>
      <c r="G111" s="13" t="s">
        <v>116</v>
      </c>
      <c r="H111" s="13" t="s">
        <v>101</v>
      </c>
      <c r="I111" s="21" t="s">
        <v>555</v>
      </c>
      <c r="J111" s="21" t="s">
        <v>138</v>
      </c>
      <c r="K111" s="21" t="s">
        <v>556</v>
      </c>
      <c r="L111" s="22" t="s">
        <v>36</v>
      </c>
      <c r="M111" s="21" t="s">
        <v>120</v>
      </c>
      <c r="N111" s="13" t="s">
        <v>106</v>
      </c>
      <c r="O111" s="23" t="n">
        <v>9.1</v>
      </c>
      <c r="P111" s="13" t="n">
        <v>4</v>
      </c>
      <c r="Q111" s="24" t="n">
        <v>46310.4272800926</v>
      </c>
      <c r="R111" s="22" t="s">
        <v>36</v>
      </c>
      <c r="S111" s="13" t="s">
        <v>107</v>
      </c>
      <c r="T111" s="13" t="str">
        <f aca="false">IF(S111="Oui",IF(R111=L111,"Identique","Changé"),"")</f>
        <v>Identique</v>
      </c>
    </row>
    <row r="112" customFormat="false" ht="68.65" hidden="false" customHeight="false" outlineLevel="0" collapsed="false">
      <c r="A112" s="13" t="s">
        <v>557</v>
      </c>
      <c r="B112" s="13" t="s">
        <v>558</v>
      </c>
      <c r="C112" s="13" t="n">
        <v>1</v>
      </c>
      <c r="D112" s="13" t="s">
        <v>97</v>
      </c>
      <c r="E112" s="13" t="s">
        <v>171</v>
      </c>
      <c r="F112" s="13" t="s">
        <v>559</v>
      </c>
      <c r="G112" s="13" t="s">
        <v>222</v>
      </c>
      <c r="H112" s="13" t="s">
        <v>101</v>
      </c>
      <c r="I112" s="21" t="s">
        <v>560</v>
      </c>
      <c r="J112" s="21" t="s">
        <v>561</v>
      </c>
      <c r="K112" s="21" t="s">
        <v>562</v>
      </c>
      <c r="L112" s="22" t="s">
        <v>36</v>
      </c>
      <c r="M112" s="21" t="s">
        <v>120</v>
      </c>
      <c r="N112" s="13" t="s">
        <v>106</v>
      </c>
      <c r="O112" s="23" t="n">
        <v>40.49</v>
      </c>
      <c r="P112" s="13" t="n">
        <v>2</v>
      </c>
      <c r="Q112" s="24" t="n">
        <v>46309.9821527778</v>
      </c>
      <c r="R112" s="22" t="s">
        <v>36</v>
      </c>
      <c r="S112" s="13" t="s">
        <v>107</v>
      </c>
      <c r="T112" s="13" t="str">
        <f aca="false">IF(S112="Oui",IF(R112=L112,"Identique","Changé"),"")</f>
        <v>Identique</v>
      </c>
    </row>
    <row r="113" customFormat="false" ht="23.85" hidden="false" customHeight="false" outlineLevel="0" collapsed="false">
      <c r="A113" s="13" t="s">
        <v>563</v>
      </c>
      <c r="B113" s="13" t="s">
        <v>558</v>
      </c>
      <c r="C113" s="13" t="n">
        <v>2</v>
      </c>
      <c r="D113" s="13" t="s">
        <v>97</v>
      </c>
      <c r="E113" s="13" t="s">
        <v>171</v>
      </c>
      <c r="F113" s="13" t="s">
        <v>559</v>
      </c>
      <c r="G113" s="13" t="s">
        <v>519</v>
      </c>
      <c r="H113" s="13" t="s">
        <v>101</v>
      </c>
      <c r="I113" s="21" t="s">
        <v>520</v>
      </c>
      <c r="J113" s="21" t="s">
        <v>284</v>
      </c>
      <c r="K113" s="21" t="s">
        <v>564</v>
      </c>
      <c r="L113" s="22" t="s">
        <v>39</v>
      </c>
      <c r="M113" s="21" t="s">
        <v>565</v>
      </c>
      <c r="N113" s="13" t="s">
        <v>106</v>
      </c>
      <c r="O113" s="23" t="n">
        <v>5.16</v>
      </c>
      <c r="P113" s="13" t="n">
        <v>2</v>
      </c>
      <c r="Q113" s="24" t="n">
        <v>46309.9823148148</v>
      </c>
      <c r="R113" s="22" t="s">
        <v>36</v>
      </c>
      <c r="S113" s="13" t="s">
        <v>107</v>
      </c>
      <c r="T113" s="13" t="str">
        <f aca="false">IF(S113="Oui",IF(R113=L113,"Identique","Changé"),"")</f>
        <v>Changé</v>
      </c>
    </row>
    <row r="114" customFormat="false" ht="35.05" hidden="false" customHeight="false" outlineLevel="0" collapsed="false">
      <c r="A114" s="13" t="s">
        <v>566</v>
      </c>
      <c r="B114" s="13" t="s">
        <v>558</v>
      </c>
      <c r="C114" s="13" t="n">
        <v>3</v>
      </c>
      <c r="D114" s="13" t="s">
        <v>97</v>
      </c>
      <c r="E114" s="13" t="s">
        <v>122</v>
      </c>
      <c r="F114" s="13" t="s">
        <v>559</v>
      </c>
      <c r="G114" s="13" t="s">
        <v>123</v>
      </c>
      <c r="H114" s="13" t="s">
        <v>101</v>
      </c>
      <c r="I114" s="21" t="s">
        <v>567</v>
      </c>
      <c r="J114" s="21" t="s">
        <v>125</v>
      </c>
      <c r="K114" s="21" t="s">
        <v>568</v>
      </c>
      <c r="L114" s="22" t="s">
        <v>36</v>
      </c>
      <c r="M114" s="21" t="s">
        <v>120</v>
      </c>
      <c r="N114" s="13" t="s">
        <v>106</v>
      </c>
      <c r="O114" s="23" t="n">
        <v>21.71</v>
      </c>
      <c r="P114" s="13" t="n">
        <v>2</v>
      </c>
      <c r="Q114" s="24" t="n">
        <v>46309.982662037</v>
      </c>
      <c r="R114" s="22" t="s">
        <v>36</v>
      </c>
      <c r="S114" s="13" t="s">
        <v>107</v>
      </c>
      <c r="T114" s="13" t="str">
        <f aca="false">IF(S114="Oui",IF(R114=L114,"Identique","Changé"),"")</f>
        <v>Identique</v>
      </c>
    </row>
    <row r="115" customFormat="false" ht="57.45" hidden="false" customHeight="false" outlineLevel="0" collapsed="false">
      <c r="A115" s="13" t="s">
        <v>569</v>
      </c>
      <c r="B115" s="13" t="s">
        <v>558</v>
      </c>
      <c r="C115" s="13" t="n">
        <v>4</v>
      </c>
      <c r="D115" s="13" t="s">
        <v>97</v>
      </c>
      <c r="E115" s="13" t="s">
        <v>570</v>
      </c>
      <c r="F115" s="13" t="s">
        <v>559</v>
      </c>
      <c r="G115" s="13" t="s">
        <v>571</v>
      </c>
      <c r="H115" s="13" t="s">
        <v>152</v>
      </c>
      <c r="I115" s="21" t="s">
        <v>572</v>
      </c>
      <c r="J115" s="21" t="s">
        <v>154</v>
      </c>
      <c r="K115" s="21" t="s">
        <v>573</v>
      </c>
      <c r="L115" s="22" t="s">
        <v>40</v>
      </c>
      <c r="M115" s="21" t="s">
        <v>156</v>
      </c>
      <c r="N115" s="13" t="s">
        <v>106</v>
      </c>
      <c r="O115" s="23" t="n">
        <v>8.52</v>
      </c>
      <c r="P115" s="13" t="n">
        <v>2</v>
      </c>
      <c r="Q115" s="24" t="n">
        <v>46309.9828703704</v>
      </c>
      <c r="R115" s="22" t="s">
        <v>40</v>
      </c>
      <c r="S115" s="13" t="s">
        <v>107</v>
      </c>
      <c r="T115" s="13" t="str">
        <f aca="false">IF(S115="Oui",IF(R115=L115,"Identique","Changé"),"")</f>
        <v>Identique</v>
      </c>
    </row>
    <row r="116" customFormat="false" ht="35.05" hidden="false" customHeight="false" outlineLevel="0" collapsed="false">
      <c r="A116" s="13" t="s">
        <v>574</v>
      </c>
      <c r="B116" s="13" t="s">
        <v>558</v>
      </c>
      <c r="C116" s="13" t="n">
        <v>5</v>
      </c>
      <c r="D116" s="13" t="s">
        <v>97</v>
      </c>
      <c r="E116" s="13" t="s">
        <v>171</v>
      </c>
      <c r="F116" s="13" t="s">
        <v>559</v>
      </c>
      <c r="G116" s="13" t="s">
        <v>172</v>
      </c>
      <c r="H116" s="13" t="s">
        <v>101</v>
      </c>
      <c r="I116" s="21" t="s">
        <v>575</v>
      </c>
      <c r="J116" s="21" t="s">
        <v>174</v>
      </c>
      <c r="K116" s="21" t="s">
        <v>576</v>
      </c>
      <c r="L116" s="22" t="s">
        <v>36</v>
      </c>
      <c r="M116" s="21" t="s">
        <v>120</v>
      </c>
      <c r="N116" s="13" t="s">
        <v>106</v>
      </c>
      <c r="O116" s="23" t="n">
        <v>10.47</v>
      </c>
      <c r="P116" s="13" t="n">
        <v>2</v>
      </c>
      <c r="Q116" s="24" t="n">
        <v>46309.9830902778</v>
      </c>
      <c r="R116" s="22" t="s">
        <v>36</v>
      </c>
      <c r="S116" s="13" t="s">
        <v>107</v>
      </c>
      <c r="T116" s="13" t="str">
        <f aca="false">IF(S116="Oui",IF(R116=L116,"Identique","Changé"),"")</f>
        <v>Identique</v>
      </c>
    </row>
    <row r="117" customFormat="false" ht="46.25" hidden="false" customHeight="false" outlineLevel="0" collapsed="false">
      <c r="A117" s="13" t="s">
        <v>577</v>
      </c>
      <c r="B117" s="13" t="s">
        <v>578</v>
      </c>
      <c r="C117" s="13" t="n">
        <v>1</v>
      </c>
      <c r="D117" s="13" t="s">
        <v>135</v>
      </c>
      <c r="E117" s="13" t="s">
        <v>171</v>
      </c>
      <c r="F117" s="13" t="s">
        <v>579</v>
      </c>
      <c r="G117" s="13" t="s">
        <v>519</v>
      </c>
      <c r="H117" s="13" t="s">
        <v>101</v>
      </c>
      <c r="I117" s="21" t="s">
        <v>580</v>
      </c>
      <c r="J117" s="21" t="s">
        <v>284</v>
      </c>
      <c r="K117" s="21" t="s">
        <v>581</v>
      </c>
      <c r="L117" s="22" t="s">
        <v>36</v>
      </c>
      <c r="M117" s="21" t="s">
        <v>120</v>
      </c>
      <c r="N117" s="13" t="s">
        <v>106</v>
      </c>
      <c r="O117" s="23" t="n">
        <v>33.72</v>
      </c>
      <c r="P117" s="13" t="n">
        <v>4</v>
      </c>
      <c r="Q117" s="24" t="n">
        <v>46310.4278240741</v>
      </c>
      <c r="R117" s="22" t="s">
        <v>36</v>
      </c>
      <c r="S117" s="13" t="s">
        <v>107</v>
      </c>
      <c r="T117" s="13" t="str">
        <f aca="false">IF(S117="Oui",IF(R117=L117,"Identique","Changé"),"")</f>
        <v>Identique</v>
      </c>
    </row>
    <row r="118" customFormat="false" ht="35.05" hidden="false" customHeight="false" outlineLevel="0" collapsed="false">
      <c r="A118" s="13" t="s">
        <v>582</v>
      </c>
      <c r="B118" s="13" t="s">
        <v>578</v>
      </c>
      <c r="C118" s="13" t="n">
        <v>2</v>
      </c>
      <c r="D118" s="13" t="s">
        <v>135</v>
      </c>
      <c r="E118" s="13" t="s">
        <v>122</v>
      </c>
      <c r="F118" s="13" t="s">
        <v>579</v>
      </c>
      <c r="G118" s="13" t="s">
        <v>123</v>
      </c>
      <c r="H118" s="13" t="s">
        <v>101</v>
      </c>
      <c r="I118" s="21" t="s">
        <v>567</v>
      </c>
      <c r="J118" s="21" t="s">
        <v>125</v>
      </c>
      <c r="K118" s="21" t="s">
        <v>583</v>
      </c>
      <c r="L118" s="22" t="s">
        <v>36</v>
      </c>
      <c r="M118" s="21" t="s">
        <v>120</v>
      </c>
      <c r="N118" s="13" t="s">
        <v>106</v>
      </c>
      <c r="O118" s="23" t="n">
        <v>12.84</v>
      </c>
      <c r="P118" s="13" t="n">
        <v>4</v>
      </c>
      <c r="Q118" s="24" t="n">
        <v>46310.4280787037</v>
      </c>
      <c r="R118" s="22" t="s">
        <v>36</v>
      </c>
      <c r="S118" s="13" t="s">
        <v>107</v>
      </c>
      <c r="T118" s="13" t="str">
        <f aca="false">IF(S118="Oui",IF(R118=L118,"Identique","Changé"),"")</f>
        <v>Identique</v>
      </c>
    </row>
    <row r="119" customFormat="false" ht="35.05" hidden="false" customHeight="false" outlineLevel="0" collapsed="false">
      <c r="A119" s="13" t="s">
        <v>584</v>
      </c>
      <c r="B119" s="13" t="s">
        <v>578</v>
      </c>
      <c r="C119" s="13" t="n">
        <v>3</v>
      </c>
      <c r="D119" s="13" t="s">
        <v>135</v>
      </c>
      <c r="E119" s="13" t="s">
        <v>171</v>
      </c>
      <c r="F119" s="13" t="s">
        <v>579</v>
      </c>
      <c r="G119" s="13" t="s">
        <v>172</v>
      </c>
      <c r="H119" s="13" t="s">
        <v>101</v>
      </c>
      <c r="I119" s="21" t="s">
        <v>413</v>
      </c>
      <c r="J119" s="21" t="s">
        <v>228</v>
      </c>
      <c r="K119" s="21" t="s">
        <v>585</v>
      </c>
      <c r="L119" s="22" t="s">
        <v>37</v>
      </c>
      <c r="M119" s="21" t="s">
        <v>163</v>
      </c>
      <c r="N119" s="13" t="s">
        <v>106</v>
      </c>
      <c r="O119" s="23" t="n">
        <v>17.28</v>
      </c>
      <c r="P119" s="13" t="n">
        <v>4</v>
      </c>
      <c r="Q119" s="24" t="n">
        <v>46310.4283796296</v>
      </c>
      <c r="R119" s="22" t="s">
        <v>37</v>
      </c>
      <c r="S119" s="13" t="s">
        <v>107</v>
      </c>
      <c r="T119" s="13" t="str">
        <f aca="false">IF(S119="Oui",IF(R119=L119,"Identique","Changé"),"")</f>
        <v>Identique</v>
      </c>
    </row>
    <row r="120" customFormat="false" ht="46.25" hidden="false" customHeight="false" outlineLevel="0" collapsed="false">
      <c r="A120" s="13" t="s">
        <v>586</v>
      </c>
      <c r="B120" s="13" t="s">
        <v>578</v>
      </c>
      <c r="C120" s="13" t="n">
        <v>4</v>
      </c>
      <c r="D120" s="13" t="s">
        <v>135</v>
      </c>
      <c r="E120" s="13" t="s">
        <v>171</v>
      </c>
      <c r="F120" s="13" t="s">
        <v>579</v>
      </c>
      <c r="G120" s="13" t="s">
        <v>222</v>
      </c>
      <c r="H120" s="13" t="s">
        <v>101</v>
      </c>
      <c r="I120" s="21" t="s">
        <v>587</v>
      </c>
      <c r="J120" s="21" t="s">
        <v>334</v>
      </c>
      <c r="K120" s="21" t="s">
        <v>588</v>
      </c>
      <c r="L120" s="22" t="s">
        <v>36</v>
      </c>
      <c r="M120" s="21" t="s">
        <v>120</v>
      </c>
      <c r="N120" s="13" t="s">
        <v>106</v>
      </c>
      <c r="O120" s="23" t="n">
        <v>22.07</v>
      </c>
      <c r="P120" s="13" t="n">
        <v>4</v>
      </c>
      <c r="Q120" s="24" t="n">
        <v>46310.4287384259</v>
      </c>
      <c r="R120" s="22" t="s">
        <v>36</v>
      </c>
      <c r="S120" s="13" t="s">
        <v>107</v>
      </c>
      <c r="T120" s="13" t="str">
        <f aca="false">IF(S120="Oui",IF(R120=L120,"Identique","Changé"),"")</f>
        <v>Identique</v>
      </c>
    </row>
    <row r="121" customFormat="false" ht="35.05" hidden="false" customHeight="false" outlineLevel="0" collapsed="false">
      <c r="A121" s="13" t="s">
        <v>589</v>
      </c>
      <c r="B121" s="13" t="s">
        <v>578</v>
      </c>
      <c r="C121" s="13" t="n">
        <v>5</v>
      </c>
      <c r="D121" s="13" t="s">
        <v>135</v>
      </c>
      <c r="E121" s="13" t="s">
        <v>128</v>
      </c>
      <c r="F121" s="13" t="s">
        <v>579</v>
      </c>
      <c r="G121" s="13" t="s">
        <v>204</v>
      </c>
      <c r="H121" s="13" t="s">
        <v>101</v>
      </c>
      <c r="I121" s="21" t="s">
        <v>590</v>
      </c>
      <c r="J121" s="21" t="s">
        <v>206</v>
      </c>
      <c r="K121" s="21" t="s">
        <v>591</v>
      </c>
      <c r="L121" s="22" t="s">
        <v>36</v>
      </c>
      <c r="M121" s="21" t="s">
        <v>120</v>
      </c>
      <c r="N121" s="13" t="s">
        <v>106</v>
      </c>
      <c r="O121" s="23" t="n">
        <v>17.98</v>
      </c>
      <c r="P121" s="13" t="n">
        <v>4</v>
      </c>
      <c r="Q121" s="24" t="n">
        <v>46310.4290509259</v>
      </c>
      <c r="R121" s="22" t="s">
        <v>36</v>
      </c>
      <c r="S121" s="13" t="s">
        <v>107</v>
      </c>
      <c r="T121" s="13" t="str">
        <f aca="false">IF(S121="Oui",IF(R121=L121,"Identique","Changé"),"")</f>
        <v>Identique</v>
      </c>
    </row>
    <row r="122" customFormat="false" ht="35.05" hidden="false" customHeight="false" outlineLevel="0" collapsed="false">
      <c r="A122" s="13" t="s">
        <v>592</v>
      </c>
      <c r="B122" s="13" t="s">
        <v>593</v>
      </c>
      <c r="C122" s="13" t="n">
        <v>1</v>
      </c>
      <c r="D122" s="13" t="s">
        <v>97</v>
      </c>
      <c r="E122" s="13" t="s">
        <v>98</v>
      </c>
      <c r="F122" s="13" t="s">
        <v>524</v>
      </c>
      <c r="G122" s="13" t="s">
        <v>100</v>
      </c>
      <c r="H122" s="13" t="s">
        <v>101</v>
      </c>
      <c r="I122" s="21" t="s">
        <v>594</v>
      </c>
      <c r="J122" s="21" t="s">
        <v>595</v>
      </c>
      <c r="K122" s="21" t="s">
        <v>596</v>
      </c>
      <c r="L122" s="22" t="s">
        <v>36</v>
      </c>
      <c r="M122" s="21" t="s">
        <v>105</v>
      </c>
      <c r="N122" s="13" t="s">
        <v>106</v>
      </c>
      <c r="O122" s="23" t="n">
        <v>40.92</v>
      </c>
      <c r="P122" s="13" t="n">
        <v>4</v>
      </c>
      <c r="Q122" s="24" t="n">
        <v>46310.4297106482</v>
      </c>
      <c r="R122" s="22" t="s">
        <v>36</v>
      </c>
      <c r="S122" s="13" t="s">
        <v>107</v>
      </c>
      <c r="T122" s="13" t="str">
        <f aca="false">IF(S122="Oui",IF(R122=L122,"Identique","Changé"),"")</f>
        <v>Identique</v>
      </c>
    </row>
    <row r="123" customFormat="false" ht="35.05" hidden="false" customHeight="false" outlineLevel="0" collapsed="false">
      <c r="A123" s="13" t="s">
        <v>597</v>
      </c>
      <c r="B123" s="13" t="s">
        <v>593</v>
      </c>
      <c r="C123" s="13" t="n">
        <v>2</v>
      </c>
      <c r="D123" s="13" t="s">
        <v>97</v>
      </c>
      <c r="E123" s="13" t="s">
        <v>98</v>
      </c>
      <c r="F123" s="13" t="s">
        <v>524</v>
      </c>
      <c r="G123" s="13" t="s">
        <v>109</v>
      </c>
      <c r="H123" s="13" t="s">
        <v>101</v>
      </c>
      <c r="I123" s="21" t="s">
        <v>598</v>
      </c>
      <c r="J123" s="21" t="s">
        <v>530</v>
      </c>
      <c r="K123" s="21" t="s">
        <v>599</v>
      </c>
      <c r="L123" s="22" t="s">
        <v>36</v>
      </c>
      <c r="M123" s="21" t="s">
        <v>105</v>
      </c>
      <c r="N123" s="13" t="s">
        <v>106</v>
      </c>
      <c r="O123" s="23" t="n">
        <v>16.69</v>
      </c>
      <c r="P123" s="13" t="n">
        <v>4</v>
      </c>
      <c r="Q123" s="24" t="n">
        <v>46310.43</v>
      </c>
      <c r="R123" s="22" t="s">
        <v>36</v>
      </c>
      <c r="S123" s="13" t="s">
        <v>107</v>
      </c>
      <c r="T123" s="13" t="str">
        <f aca="false">IF(S123="Oui",IF(R123=L123,"Identique","Changé"),"")</f>
        <v>Identique</v>
      </c>
    </row>
    <row r="124" customFormat="false" ht="35.05" hidden="false" customHeight="false" outlineLevel="0" collapsed="false">
      <c r="A124" s="13" t="s">
        <v>600</v>
      </c>
      <c r="B124" s="13" t="s">
        <v>593</v>
      </c>
      <c r="C124" s="13" t="n">
        <v>3</v>
      </c>
      <c r="D124" s="13" t="s">
        <v>97</v>
      </c>
      <c r="E124" s="13" t="s">
        <v>171</v>
      </c>
      <c r="F124" s="13" t="s">
        <v>524</v>
      </c>
      <c r="G124" s="13" t="s">
        <v>172</v>
      </c>
      <c r="H124" s="13" t="s">
        <v>101</v>
      </c>
      <c r="I124" s="21" t="s">
        <v>575</v>
      </c>
      <c r="J124" s="21" t="s">
        <v>174</v>
      </c>
      <c r="K124" s="21" t="s">
        <v>601</v>
      </c>
      <c r="L124" s="22" t="s">
        <v>36</v>
      </c>
      <c r="M124" s="21" t="s">
        <v>120</v>
      </c>
      <c r="N124" s="13" t="s">
        <v>106</v>
      </c>
      <c r="O124" s="23" t="n">
        <v>11.92</v>
      </c>
      <c r="P124" s="13" t="n">
        <v>4</v>
      </c>
      <c r="Q124" s="24" t="n">
        <v>46310.4302430556</v>
      </c>
      <c r="R124" s="22" t="s">
        <v>36</v>
      </c>
      <c r="S124" s="13" t="s">
        <v>107</v>
      </c>
      <c r="T124" s="13" t="str">
        <f aca="false">IF(S124="Oui",IF(R124=L124,"Identique","Changé"),"")</f>
        <v>Identique</v>
      </c>
    </row>
    <row r="125" customFormat="false" ht="46.25" hidden="false" customHeight="false" outlineLevel="0" collapsed="false">
      <c r="A125" s="13" t="s">
        <v>602</v>
      </c>
      <c r="B125" s="13" t="s">
        <v>593</v>
      </c>
      <c r="C125" s="13" t="n">
        <v>4</v>
      </c>
      <c r="D125" s="13" t="s">
        <v>97</v>
      </c>
      <c r="E125" s="13" t="s">
        <v>98</v>
      </c>
      <c r="F125" s="13" t="s">
        <v>524</v>
      </c>
      <c r="G125" s="13" t="s">
        <v>181</v>
      </c>
      <c r="H125" s="13" t="s">
        <v>101</v>
      </c>
      <c r="I125" s="21" t="s">
        <v>603</v>
      </c>
      <c r="J125" s="21" t="s">
        <v>604</v>
      </c>
      <c r="K125" s="21" t="s">
        <v>605</v>
      </c>
      <c r="L125" s="22" t="s">
        <v>36</v>
      </c>
      <c r="M125" s="21" t="s">
        <v>105</v>
      </c>
      <c r="N125" s="13" t="s">
        <v>106</v>
      </c>
      <c r="O125" s="23" t="n">
        <v>15.36</v>
      </c>
      <c r="P125" s="13" t="n">
        <v>4</v>
      </c>
      <c r="Q125" s="24" t="n">
        <v>46310.4305208333</v>
      </c>
      <c r="R125" s="22" t="s">
        <v>36</v>
      </c>
      <c r="S125" s="13" t="s">
        <v>107</v>
      </c>
      <c r="T125" s="13" t="str">
        <f aca="false">IF(S125="Oui",IF(R125=L125,"Identique","Changé"),"")</f>
        <v>Identique</v>
      </c>
    </row>
    <row r="126" customFormat="false" ht="35.05" hidden="false" customHeight="false" outlineLevel="0" collapsed="false">
      <c r="A126" s="13" t="s">
        <v>606</v>
      </c>
      <c r="B126" s="13" t="s">
        <v>593</v>
      </c>
      <c r="C126" s="13" t="n">
        <v>5</v>
      </c>
      <c r="D126" s="13" t="s">
        <v>97</v>
      </c>
      <c r="E126" s="13" t="s">
        <v>122</v>
      </c>
      <c r="F126" s="13" t="s">
        <v>524</v>
      </c>
      <c r="G126" s="13" t="s">
        <v>123</v>
      </c>
      <c r="H126" s="13" t="s">
        <v>101</v>
      </c>
      <c r="I126" s="21" t="s">
        <v>607</v>
      </c>
      <c r="J126" s="21" t="s">
        <v>125</v>
      </c>
      <c r="K126" s="21" t="s">
        <v>608</v>
      </c>
      <c r="L126" s="22" t="s">
        <v>36</v>
      </c>
      <c r="M126" s="21" t="s">
        <v>120</v>
      </c>
      <c r="N126" s="13" t="s">
        <v>106</v>
      </c>
      <c r="O126" s="23" t="n">
        <v>10.34</v>
      </c>
      <c r="P126" s="13" t="n">
        <v>4</v>
      </c>
      <c r="Q126" s="24" t="n">
        <v>46310.4307407407</v>
      </c>
      <c r="R126" s="22" t="s">
        <v>36</v>
      </c>
      <c r="S126" s="13" t="s">
        <v>107</v>
      </c>
      <c r="T126" s="13" t="str">
        <f aca="false">IF(S126="Oui",IF(R126=L126,"Identique","Changé"),"")</f>
        <v>Identique</v>
      </c>
    </row>
    <row r="127" customFormat="false" ht="35.05" hidden="false" customHeight="false" outlineLevel="0" collapsed="false">
      <c r="A127" s="13" t="s">
        <v>609</v>
      </c>
      <c r="B127" s="13" t="s">
        <v>610</v>
      </c>
      <c r="C127" s="13" t="n">
        <v>1</v>
      </c>
      <c r="D127" s="13" t="s">
        <v>135</v>
      </c>
      <c r="E127" s="13" t="s">
        <v>114</v>
      </c>
      <c r="F127" s="13" t="s">
        <v>611</v>
      </c>
      <c r="G127" s="13" t="s">
        <v>116</v>
      </c>
      <c r="H127" s="13" t="s">
        <v>101</v>
      </c>
      <c r="I127" s="21" t="s">
        <v>612</v>
      </c>
      <c r="J127" s="21" t="s">
        <v>118</v>
      </c>
      <c r="K127" s="21" t="s">
        <v>613</v>
      </c>
      <c r="L127" s="22" t="s">
        <v>36</v>
      </c>
      <c r="M127" s="21" t="s">
        <v>120</v>
      </c>
      <c r="N127" s="13" t="s">
        <v>106</v>
      </c>
      <c r="O127" s="23" t="n">
        <v>30.61</v>
      </c>
      <c r="P127" s="13" t="n">
        <v>4</v>
      </c>
      <c r="Q127" s="24" t="n">
        <v>46310.4312615741</v>
      </c>
      <c r="R127" s="22" t="s">
        <v>36</v>
      </c>
      <c r="S127" s="13" t="s">
        <v>107</v>
      </c>
      <c r="T127" s="13" t="str">
        <f aca="false">IF(S127="Oui",IF(R127=L127,"Identique","Changé"),"")</f>
        <v>Identique</v>
      </c>
    </row>
    <row r="128" customFormat="false" ht="35.05" hidden="false" customHeight="false" outlineLevel="0" collapsed="false">
      <c r="A128" s="13" t="s">
        <v>614</v>
      </c>
      <c r="B128" s="13" t="s">
        <v>610</v>
      </c>
      <c r="C128" s="13" t="n">
        <v>2</v>
      </c>
      <c r="D128" s="13" t="s">
        <v>135</v>
      </c>
      <c r="E128" s="13" t="s">
        <v>171</v>
      </c>
      <c r="F128" s="13" t="s">
        <v>611</v>
      </c>
      <c r="G128" s="13" t="s">
        <v>172</v>
      </c>
      <c r="H128" s="13" t="s">
        <v>101</v>
      </c>
      <c r="I128" s="21" t="s">
        <v>575</v>
      </c>
      <c r="J128" s="21" t="s">
        <v>228</v>
      </c>
      <c r="K128" s="21" t="s">
        <v>615</v>
      </c>
      <c r="L128" s="22" t="s">
        <v>36</v>
      </c>
      <c r="M128" s="21" t="s">
        <v>120</v>
      </c>
      <c r="N128" s="13" t="s">
        <v>106</v>
      </c>
      <c r="O128" s="23" t="n">
        <v>10.15</v>
      </c>
      <c r="P128" s="13" t="n">
        <v>4</v>
      </c>
      <c r="Q128" s="24" t="n">
        <v>46310.4314814815</v>
      </c>
      <c r="R128" s="22" t="s">
        <v>36</v>
      </c>
      <c r="S128" s="13" t="s">
        <v>107</v>
      </c>
      <c r="T128" s="13" t="str">
        <f aca="false">IF(S128="Oui",IF(R128=L128,"Identique","Changé"),"")</f>
        <v>Identique</v>
      </c>
    </row>
    <row r="129" customFormat="false" ht="23.85" hidden="false" customHeight="false" outlineLevel="0" collapsed="false">
      <c r="A129" s="13" t="s">
        <v>616</v>
      </c>
      <c r="B129" s="13" t="s">
        <v>610</v>
      </c>
      <c r="C129" s="13" t="n">
        <v>3</v>
      </c>
      <c r="D129" s="13" t="s">
        <v>135</v>
      </c>
      <c r="E129" s="13" t="s">
        <v>114</v>
      </c>
      <c r="F129" s="13" t="s">
        <v>617</v>
      </c>
      <c r="G129" s="13" t="s">
        <v>146</v>
      </c>
      <c r="H129" s="13" t="s">
        <v>101</v>
      </c>
      <c r="I129" s="21" t="s">
        <v>618</v>
      </c>
      <c r="J129" s="21" t="s">
        <v>148</v>
      </c>
      <c r="K129" s="21" t="s">
        <v>619</v>
      </c>
      <c r="L129" s="22" t="s">
        <v>36</v>
      </c>
      <c r="M129" s="21" t="s">
        <v>120</v>
      </c>
      <c r="N129" s="13" t="s">
        <v>106</v>
      </c>
      <c r="O129" s="23" t="n">
        <v>9.66</v>
      </c>
      <c r="P129" s="13" t="n">
        <v>4</v>
      </c>
      <c r="Q129" s="24" t="n">
        <v>46310.4317013889</v>
      </c>
      <c r="R129" s="22" t="s">
        <v>36</v>
      </c>
      <c r="S129" s="13" t="s">
        <v>107</v>
      </c>
      <c r="T129" s="13" t="str">
        <f aca="false">IF(S129="Oui",IF(R129=L129,"Identique","Changé"),"")</f>
        <v>Identique</v>
      </c>
    </row>
    <row r="130" customFormat="false" ht="35.05" hidden="false" customHeight="false" outlineLevel="0" collapsed="false">
      <c r="A130" s="13" t="s">
        <v>620</v>
      </c>
      <c r="B130" s="13" t="s">
        <v>610</v>
      </c>
      <c r="C130" s="13" t="n">
        <v>4</v>
      </c>
      <c r="D130" s="13" t="s">
        <v>135</v>
      </c>
      <c r="E130" s="13" t="s">
        <v>122</v>
      </c>
      <c r="F130" s="13" t="s">
        <v>617</v>
      </c>
      <c r="G130" s="13" t="s">
        <v>123</v>
      </c>
      <c r="H130" s="13" t="s">
        <v>101</v>
      </c>
      <c r="I130" s="21" t="s">
        <v>607</v>
      </c>
      <c r="J130" s="21" t="s">
        <v>277</v>
      </c>
      <c r="K130" s="21" t="s">
        <v>621</v>
      </c>
      <c r="L130" s="22" t="s">
        <v>36</v>
      </c>
      <c r="M130" s="21" t="s">
        <v>120</v>
      </c>
      <c r="N130" s="13" t="s">
        <v>106</v>
      </c>
      <c r="O130" s="23" t="n">
        <v>10.5</v>
      </c>
      <c r="P130" s="13" t="n">
        <v>4</v>
      </c>
      <c r="Q130" s="24" t="n">
        <v>46310.4319212963</v>
      </c>
      <c r="R130" s="22" t="s">
        <v>36</v>
      </c>
      <c r="S130" s="13" t="s">
        <v>107</v>
      </c>
      <c r="T130" s="13" t="str">
        <f aca="false">IF(S130="Oui",IF(R130=L130,"Identique","Changé"),"")</f>
        <v>Identique</v>
      </c>
    </row>
    <row r="131" customFormat="false" ht="35.05" hidden="false" customHeight="false" outlineLevel="0" collapsed="false">
      <c r="A131" s="13" t="s">
        <v>622</v>
      </c>
      <c r="B131" s="13" t="s">
        <v>610</v>
      </c>
      <c r="C131" s="13" t="n">
        <v>5</v>
      </c>
      <c r="D131" s="13" t="s">
        <v>135</v>
      </c>
      <c r="E131" s="13" t="s">
        <v>114</v>
      </c>
      <c r="F131" s="13" t="s">
        <v>611</v>
      </c>
      <c r="G131" s="13" t="s">
        <v>141</v>
      </c>
      <c r="H131" s="13" t="s">
        <v>101</v>
      </c>
      <c r="I131" s="21" t="s">
        <v>623</v>
      </c>
      <c r="J131" s="21" t="s">
        <v>143</v>
      </c>
      <c r="K131" s="21" t="s">
        <v>624</v>
      </c>
      <c r="L131" s="22" t="s">
        <v>36</v>
      </c>
      <c r="M131" s="21" t="s">
        <v>120</v>
      </c>
      <c r="N131" s="13" t="s">
        <v>106</v>
      </c>
      <c r="O131" s="23" t="n">
        <v>10.52</v>
      </c>
      <c r="P131" s="13" t="n">
        <v>4</v>
      </c>
      <c r="Q131" s="24" t="n">
        <v>46310.4321527778</v>
      </c>
      <c r="R131" s="22" t="s">
        <v>36</v>
      </c>
      <c r="S131" s="13" t="s">
        <v>107</v>
      </c>
      <c r="T131" s="13" t="str">
        <f aca="false">IF(S131="Oui",IF(R131=L131,"Identique","Changé"),"")</f>
        <v>Identique</v>
      </c>
    </row>
    <row r="132" customFormat="false" ht="68.65" hidden="false" customHeight="false" outlineLevel="0" collapsed="false">
      <c r="A132" s="13" t="s">
        <v>625</v>
      </c>
      <c r="B132" s="13" t="s">
        <v>626</v>
      </c>
      <c r="C132" s="13" t="n">
        <v>1</v>
      </c>
      <c r="D132" s="13" t="s">
        <v>97</v>
      </c>
      <c r="E132" s="13" t="s">
        <v>171</v>
      </c>
      <c r="F132" s="13" t="s">
        <v>627</v>
      </c>
      <c r="G132" s="13" t="s">
        <v>222</v>
      </c>
      <c r="H132" s="13" t="s">
        <v>101</v>
      </c>
      <c r="I132" s="21" t="s">
        <v>628</v>
      </c>
      <c r="J132" s="21" t="s">
        <v>334</v>
      </c>
      <c r="K132" s="21" t="s">
        <v>629</v>
      </c>
      <c r="L132" s="22" t="s">
        <v>36</v>
      </c>
      <c r="M132" s="21" t="s">
        <v>120</v>
      </c>
      <c r="N132" s="13" t="s">
        <v>106</v>
      </c>
      <c r="O132" s="23" t="n">
        <v>39.44</v>
      </c>
      <c r="P132" s="13" t="n">
        <v>2</v>
      </c>
      <c r="Q132" s="24" t="n">
        <v>46310.039849537</v>
      </c>
      <c r="R132" s="22" t="s">
        <v>36</v>
      </c>
      <c r="S132" s="13" t="s">
        <v>107</v>
      </c>
      <c r="T132" s="13" t="str">
        <f aca="false">IF(S132="Oui",IF(R132=L132,"Identique","Changé"),"")</f>
        <v>Identique</v>
      </c>
    </row>
    <row r="133" customFormat="false" ht="35.05" hidden="false" customHeight="false" outlineLevel="0" collapsed="false">
      <c r="A133" s="13" t="s">
        <v>630</v>
      </c>
      <c r="B133" s="13" t="s">
        <v>626</v>
      </c>
      <c r="C133" s="13" t="n">
        <v>2</v>
      </c>
      <c r="D133" s="13" t="s">
        <v>97</v>
      </c>
      <c r="E133" s="13" t="s">
        <v>98</v>
      </c>
      <c r="F133" s="13" t="s">
        <v>627</v>
      </c>
      <c r="G133" s="13" t="s">
        <v>109</v>
      </c>
      <c r="H133" s="13" t="s">
        <v>101</v>
      </c>
      <c r="I133" s="21" t="s">
        <v>631</v>
      </c>
      <c r="J133" s="21" t="s">
        <v>632</v>
      </c>
      <c r="K133" s="21" t="s">
        <v>633</v>
      </c>
      <c r="L133" s="22" t="s">
        <v>36</v>
      </c>
      <c r="M133" s="21" t="s">
        <v>105</v>
      </c>
      <c r="N133" s="13" t="s">
        <v>106</v>
      </c>
      <c r="O133" s="23" t="n">
        <v>16.86</v>
      </c>
      <c r="P133" s="13" t="n">
        <v>2</v>
      </c>
      <c r="Q133" s="24" t="n">
        <v>46310.0401388889</v>
      </c>
      <c r="R133" s="22" t="s">
        <v>36</v>
      </c>
      <c r="S133" s="13" t="s">
        <v>107</v>
      </c>
      <c r="T133" s="13" t="str">
        <f aca="false">IF(S133="Oui",IF(R133=L133,"Identique","Changé"),"")</f>
        <v>Identique</v>
      </c>
    </row>
    <row r="134" customFormat="false" ht="35.05" hidden="false" customHeight="false" outlineLevel="0" collapsed="false">
      <c r="A134" s="13" t="s">
        <v>634</v>
      </c>
      <c r="B134" s="13" t="s">
        <v>626</v>
      </c>
      <c r="C134" s="13" t="n">
        <v>3</v>
      </c>
      <c r="D134" s="13" t="s">
        <v>97</v>
      </c>
      <c r="E134" s="13" t="s">
        <v>98</v>
      </c>
      <c r="F134" s="13" t="s">
        <v>627</v>
      </c>
      <c r="G134" s="13" t="s">
        <v>151</v>
      </c>
      <c r="H134" s="13" t="s">
        <v>101</v>
      </c>
      <c r="I134" s="21" t="s">
        <v>635</v>
      </c>
      <c r="J134" s="21" t="s">
        <v>636</v>
      </c>
      <c r="K134" s="21" t="s">
        <v>637</v>
      </c>
      <c r="L134" s="22" t="s">
        <v>36</v>
      </c>
      <c r="M134" s="21" t="s">
        <v>105</v>
      </c>
      <c r="N134" s="13" t="s">
        <v>106</v>
      </c>
      <c r="O134" s="23" t="n">
        <v>13.12</v>
      </c>
      <c r="P134" s="13" t="n">
        <v>2</v>
      </c>
      <c r="Q134" s="24" t="n">
        <v>46310.0403935185</v>
      </c>
      <c r="R134" s="22" t="s">
        <v>36</v>
      </c>
      <c r="S134" s="13" t="s">
        <v>107</v>
      </c>
      <c r="T134" s="13" t="str">
        <f aca="false">IF(S134="Oui",IF(R134=L134,"Identique","Changé"),"")</f>
        <v>Identique</v>
      </c>
    </row>
    <row r="135" customFormat="false" ht="57.45" hidden="false" customHeight="false" outlineLevel="0" collapsed="false">
      <c r="A135" s="13" t="s">
        <v>638</v>
      </c>
      <c r="B135" s="13" t="s">
        <v>626</v>
      </c>
      <c r="C135" s="13" t="n">
        <v>4</v>
      </c>
      <c r="D135" s="13" t="s">
        <v>97</v>
      </c>
      <c r="E135" s="13" t="s">
        <v>570</v>
      </c>
      <c r="F135" s="13" t="s">
        <v>627</v>
      </c>
      <c r="G135" s="13" t="s">
        <v>639</v>
      </c>
      <c r="H135" s="13" t="s">
        <v>152</v>
      </c>
      <c r="I135" s="21" t="s">
        <v>640</v>
      </c>
      <c r="J135" s="21" t="s">
        <v>154</v>
      </c>
      <c r="K135" s="21" t="s">
        <v>641</v>
      </c>
      <c r="L135" s="22" t="s">
        <v>40</v>
      </c>
      <c r="M135" s="21" t="s">
        <v>156</v>
      </c>
      <c r="N135" s="13" t="s">
        <v>106</v>
      </c>
      <c r="O135" s="23" t="n">
        <v>12.57</v>
      </c>
      <c r="P135" s="13" t="n">
        <v>2</v>
      </c>
      <c r="Q135" s="24" t="n">
        <v>46310.0406481482</v>
      </c>
      <c r="R135" s="22" t="s">
        <v>40</v>
      </c>
      <c r="S135" s="13" t="s">
        <v>107</v>
      </c>
      <c r="T135" s="13" t="str">
        <f aca="false">IF(S135="Oui",IF(R135=L135,"Identique","Changé"),"")</f>
        <v>Identique</v>
      </c>
    </row>
    <row r="136" customFormat="false" ht="46.25" hidden="false" customHeight="false" outlineLevel="0" collapsed="false">
      <c r="A136" s="13" t="s">
        <v>642</v>
      </c>
      <c r="B136" s="13" t="s">
        <v>626</v>
      </c>
      <c r="C136" s="13" t="n">
        <v>5</v>
      </c>
      <c r="D136" s="13" t="s">
        <v>97</v>
      </c>
      <c r="E136" s="13" t="s">
        <v>122</v>
      </c>
      <c r="F136" s="13" t="s">
        <v>627</v>
      </c>
      <c r="G136" s="13" t="s">
        <v>123</v>
      </c>
      <c r="H136" s="13" t="s">
        <v>101</v>
      </c>
      <c r="I136" s="21" t="s">
        <v>271</v>
      </c>
      <c r="J136" s="21" t="s">
        <v>125</v>
      </c>
      <c r="K136" s="21" t="s">
        <v>643</v>
      </c>
      <c r="L136" s="22" t="s">
        <v>36</v>
      </c>
      <c r="M136" s="21" t="s">
        <v>120</v>
      </c>
      <c r="N136" s="13" t="s">
        <v>106</v>
      </c>
      <c r="O136" s="23" t="n">
        <v>9.24</v>
      </c>
      <c r="P136" s="13" t="n">
        <v>2</v>
      </c>
      <c r="Q136" s="24" t="n">
        <v>46310.0408449074</v>
      </c>
      <c r="R136" s="22" t="s">
        <v>36</v>
      </c>
      <c r="S136" s="13" t="s">
        <v>107</v>
      </c>
      <c r="T136" s="13" t="str">
        <f aca="false">IF(S136="Oui",IF(R136=L136,"Identique","Changé"),"")</f>
        <v>Identique</v>
      </c>
    </row>
    <row r="137" customFormat="false" ht="35.05" hidden="false" customHeight="false" outlineLevel="0" collapsed="false">
      <c r="A137" s="13" t="s">
        <v>644</v>
      </c>
      <c r="B137" s="13" t="s">
        <v>645</v>
      </c>
      <c r="C137" s="13" t="n">
        <v>1</v>
      </c>
      <c r="D137" s="13" t="s">
        <v>135</v>
      </c>
      <c r="E137" s="13" t="s">
        <v>128</v>
      </c>
      <c r="F137" s="13" t="s">
        <v>646</v>
      </c>
      <c r="G137" s="13" t="s">
        <v>193</v>
      </c>
      <c r="H137" s="13" t="s">
        <v>101</v>
      </c>
      <c r="I137" s="21" t="s">
        <v>647</v>
      </c>
      <c r="J137" s="21" t="s">
        <v>195</v>
      </c>
      <c r="K137" s="21" t="s">
        <v>648</v>
      </c>
      <c r="L137" s="22" t="s">
        <v>36</v>
      </c>
      <c r="M137" s="21" t="s">
        <v>120</v>
      </c>
      <c r="N137" s="13" t="s">
        <v>106</v>
      </c>
      <c r="O137" s="23" t="n">
        <v>53.98</v>
      </c>
      <c r="P137" s="13" t="n">
        <v>5</v>
      </c>
      <c r="Q137" s="24" t="n">
        <v>46310.4375694445</v>
      </c>
      <c r="R137" s="22" t="s">
        <v>36</v>
      </c>
      <c r="S137" s="13" t="s">
        <v>107</v>
      </c>
      <c r="T137" s="13" t="str">
        <f aca="false">IF(S137="Oui",IF(R137=L137,"Identique","Changé"),"")</f>
        <v>Identique</v>
      </c>
    </row>
    <row r="138" customFormat="false" ht="35.05" hidden="false" customHeight="false" outlineLevel="0" collapsed="false">
      <c r="A138" s="13" t="s">
        <v>649</v>
      </c>
      <c r="B138" s="13" t="s">
        <v>645</v>
      </c>
      <c r="C138" s="13" t="n">
        <v>2</v>
      </c>
      <c r="D138" s="13" t="s">
        <v>135</v>
      </c>
      <c r="E138" s="13" t="s">
        <v>128</v>
      </c>
      <c r="F138" s="13" t="s">
        <v>646</v>
      </c>
      <c r="G138" s="13" t="s">
        <v>129</v>
      </c>
      <c r="H138" s="13" t="s">
        <v>101</v>
      </c>
      <c r="I138" s="21" t="s">
        <v>650</v>
      </c>
      <c r="J138" s="21" t="s">
        <v>199</v>
      </c>
      <c r="K138" s="21" t="s">
        <v>651</v>
      </c>
      <c r="L138" s="22" t="s">
        <v>36</v>
      </c>
      <c r="M138" s="21" t="s">
        <v>120</v>
      </c>
      <c r="N138" s="13" t="s">
        <v>106</v>
      </c>
      <c r="O138" s="23" t="n">
        <v>17.55</v>
      </c>
      <c r="P138" s="13" t="n">
        <v>5</v>
      </c>
      <c r="Q138" s="24" t="n">
        <v>46310.4378935185</v>
      </c>
      <c r="R138" s="22" t="s">
        <v>36</v>
      </c>
      <c r="S138" s="13" t="s">
        <v>107</v>
      </c>
      <c r="T138" s="13" t="str">
        <f aca="false">IF(S138="Oui",IF(R138=L138,"Identique","Changé"),"")</f>
        <v>Identique</v>
      </c>
    </row>
    <row r="139" customFormat="false" ht="35.05" hidden="false" customHeight="false" outlineLevel="0" collapsed="false">
      <c r="A139" s="13" t="s">
        <v>652</v>
      </c>
      <c r="B139" s="13" t="s">
        <v>645</v>
      </c>
      <c r="C139" s="13" t="n">
        <v>3</v>
      </c>
      <c r="D139" s="13" t="s">
        <v>135</v>
      </c>
      <c r="E139" s="13" t="s">
        <v>114</v>
      </c>
      <c r="F139" s="13" t="s">
        <v>646</v>
      </c>
      <c r="G139" s="13" t="s">
        <v>146</v>
      </c>
      <c r="H139" s="13" t="s">
        <v>101</v>
      </c>
      <c r="I139" s="21" t="s">
        <v>653</v>
      </c>
      <c r="J139" s="21" t="s">
        <v>148</v>
      </c>
      <c r="K139" s="21" t="s">
        <v>654</v>
      </c>
      <c r="L139" s="22" t="s">
        <v>36</v>
      </c>
      <c r="M139" s="21" t="s">
        <v>120</v>
      </c>
      <c r="N139" s="13" t="s">
        <v>106</v>
      </c>
      <c r="O139" s="23" t="n">
        <v>11.94</v>
      </c>
      <c r="P139" s="13" t="n">
        <v>5</v>
      </c>
      <c r="Q139" s="24" t="n">
        <v>46310.4381481482</v>
      </c>
      <c r="R139" s="22" t="s">
        <v>36</v>
      </c>
      <c r="S139" s="13" t="s">
        <v>107</v>
      </c>
      <c r="T139" s="13" t="str">
        <f aca="false">IF(S139="Oui",IF(R139=L139,"Identique","Changé"),"")</f>
        <v>Identique</v>
      </c>
    </row>
    <row r="140" customFormat="false" ht="46.25" hidden="false" customHeight="false" outlineLevel="0" collapsed="false">
      <c r="A140" s="13" t="s">
        <v>655</v>
      </c>
      <c r="B140" s="13" t="s">
        <v>645</v>
      </c>
      <c r="C140" s="13" t="n">
        <v>4</v>
      </c>
      <c r="D140" s="13" t="s">
        <v>135</v>
      </c>
      <c r="E140" s="13" t="s">
        <v>570</v>
      </c>
      <c r="F140" s="13" t="s">
        <v>646</v>
      </c>
      <c r="G140" s="13" t="s">
        <v>571</v>
      </c>
      <c r="H140" s="13" t="s">
        <v>152</v>
      </c>
      <c r="I140" s="21" t="s">
        <v>656</v>
      </c>
      <c r="J140" s="21" t="s">
        <v>154</v>
      </c>
      <c r="K140" s="21" t="s">
        <v>657</v>
      </c>
      <c r="L140" s="22" t="s">
        <v>40</v>
      </c>
      <c r="M140" s="21" t="s">
        <v>156</v>
      </c>
      <c r="N140" s="13" t="s">
        <v>106</v>
      </c>
      <c r="O140" s="23" t="n">
        <v>14</v>
      </c>
      <c r="P140" s="13" t="n">
        <v>5</v>
      </c>
      <c r="Q140" s="24" t="n">
        <v>46310.4384259259</v>
      </c>
      <c r="R140" s="22" t="s">
        <v>40</v>
      </c>
      <c r="S140" s="13" t="s">
        <v>107</v>
      </c>
      <c r="T140" s="13" t="str">
        <f aca="false">IF(S140="Oui",IF(R140=L140,"Identique","Changé"),"")</f>
        <v>Identique</v>
      </c>
    </row>
    <row r="141" customFormat="false" ht="35.05" hidden="false" customHeight="false" outlineLevel="0" collapsed="false">
      <c r="A141" s="13" t="s">
        <v>658</v>
      </c>
      <c r="B141" s="13" t="s">
        <v>645</v>
      </c>
      <c r="C141" s="13" t="n">
        <v>5</v>
      </c>
      <c r="D141" s="13" t="s">
        <v>135</v>
      </c>
      <c r="E141" s="13" t="s">
        <v>128</v>
      </c>
      <c r="F141" s="13" t="s">
        <v>646</v>
      </c>
      <c r="G141" s="13" t="s">
        <v>209</v>
      </c>
      <c r="H141" s="13" t="s">
        <v>101</v>
      </c>
      <c r="I141" s="21" t="s">
        <v>659</v>
      </c>
      <c r="J141" s="21" t="s">
        <v>660</v>
      </c>
      <c r="K141" s="21" t="s">
        <v>661</v>
      </c>
      <c r="L141" s="22" t="s">
        <v>36</v>
      </c>
      <c r="M141" s="21" t="s">
        <v>120</v>
      </c>
      <c r="N141" s="13" t="s">
        <v>106</v>
      </c>
      <c r="O141" s="23" t="n">
        <v>16.86</v>
      </c>
      <c r="P141" s="13" t="n">
        <v>5</v>
      </c>
      <c r="Q141" s="24" t="n">
        <v>46310.4387384259</v>
      </c>
      <c r="R141" s="22" t="s">
        <v>36</v>
      </c>
      <c r="S141" s="13" t="s">
        <v>107</v>
      </c>
      <c r="T141" s="13" t="str">
        <f aca="false">IF(S141="Oui",IF(R141=L141,"Identique","Changé"),"")</f>
        <v>Identique</v>
      </c>
    </row>
    <row r="142" customFormat="false" ht="46.25" hidden="false" customHeight="false" outlineLevel="0" collapsed="false">
      <c r="A142" s="13" t="s">
        <v>662</v>
      </c>
      <c r="B142" s="13" t="s">
        <v>663</v>
      </c>
      <c r="C142" s="13" t="n">
        <v>1</v>
      </c>
      <c r="D142" s="13" t="s">
        <v>97</v>
      </c>
      <c r="E142" s="13" t="s">
        <v>98</v>
      </c>
      <c r="F142" s="13" t="s">
        <v>664</v>
      </c>
      <c r="G142" s="13" t="s">
        <v>100</v>
      </c>
      <c r="H142" s="13" t="s">
        <v>101</v>
      </c>
      <c r="I142" s="21" t="s">
        <v>665</v>
      </c>
      <c r="J142" s="21" t="s">
        <v>632</v>
      </c>
      <c r="K142" s="21" t="s">
        <v>666</v>
      </c>
      <c r="L142" s="22" t="s">
        <v>36</v>
      </c>
      <c r="M142" s="21" t="s">
        <v>105</v>
      </c>
      <c r="N142" s="13" t="s">
        <v>106</v>
      </c>
      <c r="O142" s="23" t="n">
        <v>49.7</v>
      </c>
      <c r="P142" s="13" t="n">
        <v>4</v>
      </c>
      <c r="Q142" s="24" t="n">
        <v>46310.4394907407</v>
      </c>
      <c r="R142" s="22" t="s">
        <v>36</v>
      </c>
      <c r="S142" s="13" t="s">
        <v>107</v>
      </c>
      <c r="T142" s="13" t="str">
        <f aca="false">IF(S142="Oui",IF(R142=L142,"Identique","Changé"),"")</f>
        <v>Identique</v>
      </c>
    </row>
    <row r="143" customFormat="false" ht="35.05" hidden="false" customHeight="false" outlineLevel="0" collapsed="false">
      <c r="A143" s="13" t="s">
        <v>667</v>
      </c>
      <c r="B143" s="13" t="s">
        <v>663</v>
      </c>
      <c r="C143" s="13" t="n">
        <v>2</v>
      </c>
      <c r="D143" s="13" t="s">
        <v>97</v>
      </c>
      <c r="E143" s="13" t="s">
        <v>114</v>
      </c>
      <c r="F143" s="13" t="s">
        <v>664</v>
      </c>
      <c r="G143" s="13" t="s">
        <v>146</v>
      </c>
      <c r="H143" s="13" t="s">
        <v>101</v>
      </c>
      <c r="I143" s="21" t="s">
        <v>653</v>
      </c>
      <c r="J143" s="21" t="s">
        <v>148</v>
      </c>
      <c r="K143" s="21" t="s">
        <v>668</v>
      </c>
      <c r="L143" s="22" t="s">
        <v>36</v>
      </c>
      <c r="M143" s="21" t="s">
        <v>120</v>
      </c>
      <c r="N143" s="13" t="s">
        <v>106</v>
      </c>
      <c r="O143" s="23" t="n">
        <v>11.06</v>
      </c>
      <c r="P143" s="13" t="n">
        <v>4</v>
      </c>
      <c r="Q143" s="24" t="n">
        <v>46310.4397337963</v>
      </c>
      <c r="R143" s="22" t="s">
        <v>36</v>
      </c>
      <c r="S143" s="13" t="s">
        <v>107</v>
      </c>
      <c r="T143" s="13" t="str">
        <f aca="false">IF(S143="Oui",IF(R143=L143,"Identique","Changé"),"")</f>
        <v>Identique</v>
      </c>
    </row>
    <row r="144" customFormat="false" ht="46.25" hidden="false" customHeight="false" outlineLevel="0" collapsed="false">
      <c r="A144" s="13" t="s">
        <v>669</v>
      </c>
      <c r="B144" s="13" t="s">
        <v>663</v>
      </c>
      <c r="C144" s="13" t="n">
        <v>3</v>
      </c>
      <c r="D144" s="13" t="s">
        <v>97</v>
      </c>
      <c r="E144" s="13" t="s">
        <v>171</v>
      </c>
      <c r="F144" s="13" t="s">
        <v>664</v>
      </c>
      <c r="G144" s="13" t="s">
        <v>222</v>
      </c>
      <c r="H144" s="13" t="s">
        <v>101</v>
      </c>
      <c r="I144" s="21" t="s">
        <v>670</v>
      </c>
      <c r="J144" s="21" t="s">
        <v>334</v>
      </c>
      <c r="K144" s="21" t="s">
        <v>671</v>
      </c>
      <c r="L144" s="22" t="s">
        <v>36</v>
      </c>
      <c r="M144" s="21" t="s">
        <v>120</v>
      </c>
      <c r="N144" s="13" t="s">
        <v>106</v>
      </c>
      <c r="O144" s="23" t="n">
        <v>23.93</v>
      </c>
      <c r="P144" s="13" t="n">
        <v>4</v>
      </c>
      <c r="Q144" s="24" t="n">
        <v>46310.4401273148</v>
      </c>
      <c r="R144" s="22" t="s">
        <v>36</v>
      </c>
      <c r="S144" s="13" t="s">
        <v>107</v>
      </c>
      <c r="T144" s="13" t="str">
        <f aca="false">IF(S144="Oui",IF(R144=L144,"Identique","Changé"),"")</f>
        <v>Identique</v>
      </c>
    </row>
    <row r="145" customFormat="false" ht="35.05" hidden="false" customHeight="false" outlineLevel="0" collapsed="false">
      <c r="A145" s="13" t="s">
        <v>672</v>
      </c>
      <c r="B145" s="13" t="s">
        <v>663</v>
      </c>
      <c r="C145" s="13" t="n">
        <v>4</v>
      </c>
      <c r="D145" s="13" t="s">
        <v>97</v>
      </c>
      <c r="E145" s="13" t="s">
        <v>171</v>
      </c>
      <c r="F145" s="13" t="s">
        <v>664</v>
      </c>
      <c r="G145" s="13" t="s">
        <v>172</v>
      </c>
      <c r="H145" s="13" t="s">
        <v>101</v>
      </c>
      <c r="I145" s="21" t="s">
        <v>673</v>
      </c>
      <c r="J145" s="21" t="s">
        <v>228</v>
      </c>
      <c r="K145" s="21" t="s">
        <v>674</v>
      </c>
      <c r="L145" s="22" t="s">
        <v>37</v>
      </c>
      <c r="M145" s="21" t="s">
        <v>163</v>
      </c>
      <c r="N145" s="13" t="s">
        <v>106</v>
      </c>
      <c r="O145" s="23" t="n">
        <v>10.55</v>
      </c>
      <c r="P145" s="13" t="n">
        <v>4</v>
      </c>
      <c r="Q145" s="24" t="n">
        <v>46310.4403703704</v>
      </c>
      <c r="R145" s="22" t="s">
        <v>37</v>
      </c>
      <c r="S145" s="13" t="s">
        <v>107</v>
      </c>
      <c r="T145" s="13" t="str">
        <f aca="false">IF(S145="Oui",IF(R145=L145,"Identique","Changé"),"")</f>
        <v>Identique</v>
      </c>
    </row>
    <row r="146" customFormat="false" ht="23.85" hidden="false" customHeight="false" outlineLevel="0" collapsed="false">
      <c r="A146" s="13" t="s">
        <v>675</v>
      </c>
      <c r="B146" s="13" t="s">
        <v>663</v>
      </c>
      <c r="C146" s="13" t="n">
        <v>5</v>
      </c>
      <c r="D146" s="13" t="s">
        <v>97</v>
      </c>
      <c r="E146" s="13" t="s">
        <v>114</v>
      </c>
      <c r="F146" s="13" t="s">
        <v>664</v>
      </c>
      <c r="G146" s="13" t="s">
        <v>141</v>
      </c>
      <c r="H146" s="13" t="s">
        <v>101</v>
      </c>
      <c r="I146" s="21" t="s">
        <v>676</v>
      </c>
      <c r="J146" s="21" t="s">
        <v>143</v>
      </c>
      <c r="K146" s="21" t="s">
        <v>677</v>
      </c>
      <c r="L146" s="22" t="s">
        <v>36</v>
      </c>
      <c r="M146" s="21" t="s">
        <v>120</v>
      </c>
      <c r="N146" s="13" t="s">
        <v>106</v>
      </c>
      <c r="O146" s="23" t="n">
        <v>26</v>
      </c>
      <c r="P146" s="13" t="n">
        <v>4</v>
      </c>
      <c r="Q146" s="24" t="n">
        <v>46310.4407986111</v>
      </c>
      <c r="R146" s="22" t="s">
        <v>36</v>
      </c>
      <c r="S146" s="13" t="s">
        <v>107</v>
      </c>
      <c r="T146" s="13" t="str">
        <f aca="false">IF(S146="Oui",IF(R146=L146,"Identique","Changé"),"")</f>
        <v>Identique</v>
      </c>
    </row>
    <row r="147" customFormat="false" ht="23.85" hidden="false" customHeight="false" outlineLevel="0" collapsed="false">
      <c r="A147" s="13" t="s">
        <v>678</v>
      </c>
      <c r="B147" s="13" t="s">
        <v>679</v>
      </c>
      <c r="C147" s="13" t="n">
        <v>1</v>
      </c>
      <c r="D147" s="13" t="s">
        <v>135</v>
      </c>
      <c r="E147" s="13" t="s">
        <v>114</v>
      </c>
      <c r="F147" s="13" t="s">
        <v>680</v>
      </c>
      <c r="G147" s="13" t="s">
        <v>146</v>
      </c>
      <c r="H147" s="13" t="s">
        <v>101</v>
      </c>
      <c r="I147" s="21" t="s">
        <v>681</v>
      </c>
      <c r="J147" s="21" t="s">
        <v>148</v>
      </c>
      <c r="K147" s="21"/>
      <c r="L147" s="22" t="s">
        <v>39</v>
      </c>
      <c r="M147" s="21" t="s">
        <v>565</v>
      </c>
      <c r="N147" s="13" t="s">
        <v>106</v>
      </c>
      <c r="O147" s="23" t="n">
        <v>18.06</v>
      </c>
      <c r="P147" s="13" t="n">
        <v>4</v>
      </c>
      <c r="Q147" s="24" t="n">
        <v>46310.44125</v>
      </c>
      <c r="R147" s="22" t="s">
        <v>36</v>
      </c>
      <c r="S147" s="13" t="s">
        <v>107</v>
      </c>
      <c r="T147" s="13" t="str">
        <f aca="false">IF(S147="Oui",IF(R147=L147,"Identique","Changé"),"")</f>
        <v>Changé</v>
      </c>
    </row>
    <row r="148" customFormat="false" ht="57.45" hidden="false" customHeight="false" outlineLevel="0" collapsed="false">
      <c r="A148" s="13" t="s">
        <v>682</v>
      </c>
      <c r="B148" s="13" t="s">
        <v>679</v>
      </c>
      <c r="C148" s="13" t="n">
        <v>2</v>
      </c>
      <c r="D148" s="13" t="s">
        <v>135</v>
      </c>
      <c r="E148" s="13" t="s">
        <v>114</v>
      </c>
      <c r="F148" s="13" t="s">
        <v>680</v>
      </c>
      <c r="G148" s="13" t="s">
        <v>116</v>
      </c>
      <c r="H148" s="13" t="s">
        <v>101</v>
      </c>
      <c r="I148" s="21" t="s">
        <v>683</v>
      </c>
      <c r="J148" s="21" t="s">
        <v>118</v>
      </c>
      <c r="K148" s="21" t="s">
        <v>684</v>
      </c>
      <c r="L148" s="22" t="s">
        <v>37</v>
      </c>
      <c r="M148" s="21" t="s">
        <v>163</v>
      </c>
      <c r="N148" s="13" t="s">
        <v>106</v>
      </c>
      <c r="O148" s="23" t="n">
        <v>17.92</v>
      </c>
      <c r="P148" s="13" t="n">
        <v>4</v>
      </c>
      <c r="Q148" s="24" t="n">
        <v>46310.4415856482</v>
      </c>
      <c r="R148" s="22" t="s">
        <v>36</v>
      </c>
      <c r="S148" s="13" t="s">
        <v>107</v>
      </c>
      <c r="T148" s="13" t="str">
        <f aca="false">IF(S148="Oui",IF(R148=L148,"Identique","Changé"),"")</f>
        <v>Changé</v>
      </c>
    </row>
    <row r="149" customFormat="false" ht="57.45" hidden="false" customHeight="false" outlineLevel="0" collapsed="false">
      <c r="A149" s="13" t="s">
        <v>685</v>
      </c>
      <c r="B149" s="13" t="s">
        <v>679</v>
      </c>
      <c r="C149" s="13" t="n">
        <v>3</v>
      </c>
      <c r="D149" s="13" t="s">
        <v>135</v>
      </c>
      <c r="E149" s="13" t="s">
        <v>128</v>
      </c>
      <c r="F149" s="13" t="s">
        <v>680</v>
      </c>
      <c r="G149" s="13" t="s">
        <v>129</v>
      </c>
      <c r="H149" s="13" t="s">
        <v>101</v>
      </c>
      <c r="I149" s="21" t="s">
        <v>686</v>
      </c>
      <c r="J149" s="21" t="s">
        <v>199</v>
      </c>
      <c r="K149" s="21" t="s">
        <v>687</v>
      </c>
      <c r="L149" s="22" t="s">
        <v>37</v>
      </c>
      <c r="M149" s="21" t="s">
        <v>163</v>
      </c>
      <c r="N149" s="13" t="s">
        <v>106</v>
      </c>
      <c r="O149" s="23" t="n">
        <v>23.69</v>
      </c>
      <c r="P149" s="13" t="n">
        <v>4</v>
      </c>
      <c r="Q149" s="24" t="n">
        <v>46310.4419907407</v>
      </c>
      <c r="R149" s="22" t="s">
        <v>36</v>
      </c>
      <c r="S149" s="13" t="s">
        <v>107</v>
      </c>
      <c r="T149" s="13" t="str">
        <f aca="false">IF(S149="Oui",IF(R149=L149,"Identique","Changé"),"")</f>
        <v>Changé</v>
      </c>
    </row>
    <row r="150" customFormat="false" ht="35.05" hidden="false" customHeight="false" outlineLevel="0" collapsed="false">
      <c r="A150" s="13" t="s">
        <v>688</v>
      </c>
      <c r="B150" s="13" t="s">
        <v>679</v>
      </c>
      <c r="C150" s="13" t="n">
        <v>4</v>
      </c>
      <c r="D150" s="13" t="s">
        <v>135</v>
      </c>
      <c r="E150" s="13" t="s">
        <v>185</v>
      </c>
      <c r="F150" s="13" t="s">
        <v>680</v>
      </c>
      <c r="G150" s="13" t="s">
        <v>186</v>
      </c>
      <c r="H150" s="13" t="s">
        <v>101</v>
      </c>
      <c r="I150" s="21" t="s">
        <v>689</v>
      </c>
      <c r="J150" s="21" t="s">
        <v>188</v>
      </c>
      <c r="K150" s="21" t="s">
        <v>690</v>
      </c>
      <c r="L150" s="22" t="s">
        <v>36</v>
      </c>
      <c r="M150" s="21" t="s">
        <v>120</v>
      </c>
      <c r="N150" s="13" t="s">
        <v>106</v>
      </c>
      <c r="O150" s="23" t="n">
        <v>17.42</v>
      </c>
      <c r="P150" s="13" t="n">
        <v>4</v>
      </c>
      <c r="Q150" s="24" t="n">
        <v>46310.4423263889</v>
      </c>
      <c r="R150" s="22" t="s">
        <v>36</v>
      </c>
      <c r="S150" s="13" t="s">
        <v>107</v>
      </c>
      <c r="T150" s="13" t="str">
        <f aca="false">IF(S150="Oui",IF(R150=L150,"Identique","Changé"),"")</f>
        <v>Identique</v>
      </c>
    </row>
    <row r="151" customFormat="false" ht="35.05" hidden="false" customHeight="false" outlineLevel="0" collapsed="false">
      <c r="A151" s="13" t="s">
        <v>691</v>
      </c>
      <c r="B151" s="13" t="s">
        <v>679</v>
      </c>
      <c r="C151" s="13" t="n">
        <v>5</v>
      </c>
      <c r="D151" s="13" t="s">
        <v>135</v>
      </c>
      <c r="E151" s="13" t="s">
        <v>122</v>
      </c>
      <c r="F151" s="13" t="s">
        <v>680</v>
      </c>
      <c r="G151" s="13" t="s">
        <v>123</v>
      </c>
      <c r="H151" s="13" t="s">
        <v>101</v>
      </c>
      <c r="I151" s="21" t="s">
        <v>124</v>
      </c>
      <c r="J151" s="21" t="s">
        <v>277</v>
      </c>
      <c r="K151" s="21" t="s">
        <v>692</v>
      </c>
      <c r="L151" s="22" t="s">
        <v>36</v>
      </c>
      <c r="M151" s="21" t="s">
        <v>120</v>
      </c>
      <c r="N151" s="13" t="s">
        <v>106</v>
      </c>
      <c r="O151" s="23" t="n">
        <v>10.44</v>
      </c>
      <c r="P151" s="13" t="n">
        <v>4</v>
      </c>
      <c r="Q151" s="24" t="n">
        <v>46310.4425694444</v>
      </c>
      <c r="R151" s="22" t="s">
        <v>36</v>
      </c>
      <c r="S151" s="13" t="s">
        <v>107</v>
      </c>
      <c r="T151" s="13" t="str">
        <f aca="false">IF(S151="Oui",IF(R151=L151,"Identique","Changé"),"")</f>
        <v>Identique</v>
      </c>
    </row>
    <row r="152" customFormat="false" ht="35.05" hidden="false" customHeight="false" outlineLevel="0" collapsed="false">
      <c r="A152" s="13" t="s">
        <v>693</v>
      </c>
      <c r="B152" s="13" t="s">
        <v>694</v>
      </c>
      <c r="C152" s="13" t="n">
        <v>1</v>
      </c>
      <c r="D152" s="13" t="s">
        <v>97</v>
      </c>
      <c r="E152" s="13" t="s">
        <v>114</v>
      </c>
      <c r="F152" s="13" t="s">
        <v>409</v>
      </c>
      <c r="G152" s="13" t="s">
        <v>146</v>
      </c>
      <c r="H152" s="13" t="s">
        <v>101</v>
      </c>
      <c r="I152" s="21" t="s">
        <v>695</v>
      </c>
      <c r="J152" s="21" t="s">
        <v>148</v>
      </c>
      <c r="K152" s="21" t="s">
        <v>696</v>
      </c>
      <c r="L152" s="22" t="s">
        <v>36</v>
      </c>
      <c r="M152" s="21" t="s">
        <v>120</v>
      </c>
      <c r="N152" s="13" t="s">
        <v>106</v>
      </c>
      <c r="O152" s="23" t="n">
        <v>38.82</v>
      </c>
      <c r="P152" s="13" t="n">
        <v>1</v>
      </c>
      <c r="Q152" s="24" t="n">
        <v>46310.4432175926</v>
      </c>
      <c r="R152" s="22" t="s">
        <v>36</v>
      </c>
      <c r="S152" s="13" t="s">
        <v>107</v>
      </c>
      <c r="T152" s="13" t="str">
        <f aca="false">IF(S152="Oui",IF(R152=L152,"Identique","Changé"),"")</f>
        <v>Identique</v>
      </c>
    </row>
    <row r="153" customFormat="false" ht="35.05" hidden="false" customHeight="false" outlineLevel="0" collapsed="false">
      <c r="A153" s="13" t="s">
        <v>697</v>
      </c>
      <c r="B153" s="13" t="s">
        <v>694</v>
      </c>
      <c r="C153" s="13" t="n">
        <v>2</v>
      </c>
      <c r="D153" s="13" t="s">
        <v>97</v>
      </c>
      <c r="E153" s="13" t="s">
        <v>260</v>
      </c>
      <c r="F153" s="13" t="s">
        <v>409</v>
      </c>
      <c r="G153" s="13" t="s">
        <v>261</v>
      </c>
      <c r="H153" s="13" t="s">
        <v>101</v>
      </c>
      <c r="I153" s="21" t="s">
        <v>698</v>
      </c>
      <c r="J153" s="21" t="s">
        <v>263</v>
      </c>
      <c r="K153" s="21" t="s">
        <v>699</v>
      </c>
      <c r="L153" s="22" t="s">
        <v>36</v>
      </c>
      <c r="M153" s="21" t="s">
        <v>120</v>
      </c>
      <c r="N153" s="13" t="s">
        <v>106</v>
      </c>
      <c r="O153" s="23" t="n">
        <v>16.47</v>
      </c>
      <c r="P153" s="13" t="n">
        <v>1</v>
      </c>
      <c r="Q153" s="24" t="n">
        <v>46310.4435300926</v>
      </c>
      <c r="R153" s="22" t="s">
        <v>36</v>
      </c>
      <c r="S153" s="13" t="s">
        <v>107</v>
      </c>
      <c r="T153" s="13" t="str">
        <f aca="false">IF(S153="Oui",IF(R153=L153,"Identique","Changé"),"")</f>
        <v>Identique</v>
      </c>
    </row>
    <row r="154" customFormat="false" ht="46.25" hidden="false" customHeight="false" outlineLevel="0" collapsed="false">
      <c r="A154" s="13" t="s">
        <v>700</v>
      </c>
      <c r="B154" s="13" t="s">
        <v>694</v>
      </c>
      <c r="C154" s="13" t="n">
        <v>3</v>
      </c>
      <c r="D154" s="13" t="s">
        <v>97</v>
      </c>
      <c r="E154" s="13" t="s">
        <v>185</v>
      </c>
      <c r="F154" s="13" t="s">
        <v>701</v>
      </c>
      <c r="G154" s="13" t="s">
        <v>186</v>
      </c>
      <c r="H154" s="13" t="s">
        <v>101</v>
      </c>
      <c r="I154" s="21" t="s">
        <v>702</v>
      </c>
      <c r="J154" s="21" t="s">
        <v>188</v>
      </c>
      <c r="K154" s="21" t="s">
        <v>703</v>
      </c>
      <c r="L154" s="22" t="s">
        <v>36</v>
      </c>
      <c r="M154" s="21" t="s">
        <v>120</v>
      </c>
      <c r="N154" s="13" t="s">
        <v>106</v>
      </c>
      <c r="O154" s="23" t="n">
        <v>14.61</v>
      </c>
      <c r="P154" s="13" t="n">
        <v>1</v>
      </c>
      <c r="Q154" s="24" t="n">
        <v>46310.4438310185</v>
      </c>
      <c r="R154" s="22" t="s">
        <v>36</v>
      </c>
      <c r="S154" s="13" t="s">
        <v>107</v>
      </c>
      <c r="T154" s="13" t="str">
        <f aca="false">IF(S154="Oui",IF(R154=L154,"Identique","Changé"),"")</f>
        <v>Identique</v>
      </c>
    </row>
    <row r="155" customFormat="false" ht="35.05" hidden="false" customHeight="false" outlineLevel="0" collapsed="false">
      <c r="A155" s="13" t="s">
        <v>704</v>
      </c>
      <c r="B155" s="13" t="s">
        <v>694</v>
      </c>
      <c r="C155" s="13" t="n">
        <v>4</v>
      </c>
      <c r="D155" s="13" t="s">
        <v>97</v>
      </c>
      <c r="E155" s="13" t="s">
        <v>114</v>
      </c>
      <c r="F155" s="13" t="s">
        <v>701</v>
      </c>
      <c r="G155" s="13" t="s">
        <v>141</v>
      </c>
      <c r="H155" s="13" t="s">
        <v>101</v>
      </c>
      <c r="I155" s="21" t="s">
        <v>705</v>
      </c>
      <c r="J155" s="21" t="s">
        <v>143</v>
      </c>
      <c r="K155" s="21" t="s">
        <v>706</v>
      </c>
      <c r="L155" s="22" t="s">
        <v>36</v>
      </c>
      <c r="M155" s="21" t="s">
        <v>120</v>
      </c>
      <c r="N155" s="13" t="s">
        <v>106</v>
      </c>
      <c r="O155" s="23" t="n">
        <v>12.54</v>
      </c>
      <c r="P155" s="13" t="n">
        <v>1</v>
      </c>
      <c r="Q155" s="24" t="n">
        <v>46310.4440972222</v>
      </c>
      <c r="R155" s="22" t="s">
        <v>36</v>
      </c>
      <c r="S155" s="13" t="s">
        <v>107</v>
      </c>
      <c r="T155" s="13" t="str">
        <f aca="false">IF(S155="Oui",IF(R155=L155,"Identique","Changé"),"")</f>
        <v>Identique</v>
      </c>
    </row>
    <row r="156" customFormat="false" ht="35.05" hidden="false" customHeight="false" outlineLevel="0" collapsed="false">
      <c r="A156" s="13" t="s">
        <v>707</v>
      </c>
      <c r="B156" s="13" t="s">
        <v>694</v>
      </c>
      <c r="C156" s="13" t="n">
        <v>5</v>
      </c>
      <c r="D156" s="13" t="s">
        <v>97</v>
      </c>
      <c r="E156" s="13" t="s">
        <v>122</v>
      </c>
      <c r="F156" s="13" t="s">
        <v>409</v>
      </c>
      <c r="G156" s="13" t="s">
        <v>123</v>
      </c>
      <c r="H156" s="13" t="s">
        <v>101</v>
      </c>
      <c r="I156" s="21" t="s">
        <v>708</v>
      </c>
      <c r="J156" s="21" t="s">
        <v>125</v>
      </c>
      <c r="K156" s="21" t="s">
        <v>709</v>
      </c>
      <c r="L156" s="22" t="s">
        <v>36</v>
      </c>
      <c r="M156" s="21" t="s">
        <v>120</v>
      </c>
      <c r="N156" s="13" t="s">
        <v>106</v>
      </c>
      <c r="O156" s="23" t="n">
        <v>12.11</v>
      </c>
      <c r="P156" s="13" t="n">
        <v>1</v>
      </c>
      <c r="Q156" s="24" t="n">
        <v>46310.4443634259</v>
      </c>
      <c r="R156" s="22" t="s">
        <v>36</v>
      </c>
      <c r="S156" s="13" t="s">
        <v>107</v>
      </c>
      <c r="T156" s="13" t="str">
        <f aca="false">IF(S156="Oui",IF(R156=L156,"Identique","Changé"),"")</f>
        <v>Identique</v>
      </c>
    </row>
    <row r="157" customFormat="false" ht="23.85" hidden="false" customHeight="false" outlineLevel="0" collapsed="false">
      <c r="A157" s="13" t="s">
        <v>710</v>
      </c>
      <c r="B157" s="13" t="s">
        <v>711</v>
      </c>
      <c r="C157" s="13" t="n">
        <v>1</v>
      </c>
      <c r="D157" s="13" t="s">
        <v>135</v>
      </c>
      <c r="E157" s="13" t="s">
        <v>122</v>
      </c>
      <c r="F157" s="13" t="s">
        <v>712</v>
      </c>
      <c r="G157" s="13" t="s">
        <v>123</v>
      </c>
      <c r="H157" s="13" t="s">
        <v>101</v>
      </c>
      <c r="I157" s="21" t="s">
        <v>713</v>
      </c>
      <c r="J157" s="21" t="s">
        <v>277</v>
      </c>
      <c r="K157" s="21" t="s">
        <v>714</v>
      </c>
      <c r="L157" s="22" t="s">
        <v>36</v>
      </c>
      <c r="M157" s="21" t="s">
        <v>120</v>
      </c>
      <c r="N157" s="13" t="s">
        <v>106</v>
      </c>
      <c r="O157" s="23" t="n">
        <v>38.7</v>
      </c>
      <c r="P157" s="13" t="n">
        <v>1</v>
      </c>
      <c r="Q157" s="24" t="n">
        <v>46310.4449768519</v>
      </c>
      <c r="R157" s="22" t="s">
        <v>36</v>
      </c>
      <c r="S157" s="13" t="s">
        <v>107</v>
      </c>
      <c r="T157" s="13" t="str">
        <f aca="false">IF(S157="Oui",IF(R157=L157,"Identique","Changé"),"")</f>
        <v>Identique</v>
      </c>
    </row>
    <row r="158" customFormat="false" ht="35.05" hidden="false" customHeight="false" outlineLevel="0" collapsed="false">
      <c r="A158" s="13" t="s">
        <v>715</v>
      </c>
      <c r="B158" s="13" t="s">
        <v>711</v>
      </c>
      <c r="C158" s="13" t="n">
        <v>2</v>
      </c>
      <c r="D158" s="13" t="s">
        <v>135</v>
      </c>
      <c r="E158" s="13" t="s">
        <v>114</v>
      </c>
      <c r="F158" s="13" t="s">
        <v>712</v>
      </c>
      <c r="G158" s="13" t="s">
        <v>141</v>
      </c>
      <c r="H158" s="13" t="s">
        <v>101</v>
      </c>
      <c r="I158" s="21" t="s">
        <v>142</v>
      </c>
      <c r="J158" s="21" t="s">
        <v>143</v>
      </c>
      <c r="K158" s="21" t="s">
        <v>716</v>
      </c>
      <c r="L158" s="22" t="s">
        <v>36</v>
      </c>
      <c r="M158" s="21" t="s">
        <v>120</v>
      </c>
      <c r="N158" s="13" t="s">
        <v>106</v>
      </c>
      <c r="O158" s="23" t="n">
        <v>16.25</v>
      </c>
      <c r="P158" s="13" t="n">
        <v>1</v>
      </c>
      <c r="Q158" s="24" t="n">
        <v>46310.4452893519</v>
      </c>
      <c r="R158" s="22" t="s">
        <v>36</v>
      </c>
      <c r="S158" s="13" t="s">
        <v>107</v>
      </c>
      <c r="T158" s="13" t="str">
        <f aca="false">IF(S158="Oui",IF(R158=L158,"Identique","Changé"),"")</f>
        <v>Identique</v>
      </c>
    </row>
    <row r="159" customFormat="false" ht="35.05" hidden="false" customHeight="false" outlineLevel="0" collapsed="false">
      <c r="A159" s="13" t="s">
        <v>717</v>
      </c>
      <c r="B159" s="13" t="s">
        <v>711</v>
      </c>
      <c r="C159" s="13" t="n">
        <v>3</v>
      </c>
      <c r="D159" s="13" t="s">
        <v>135</v>
      </c>
      <c r="E159" s="13" t="s">
        <v>122</v>
      </c>
      <c r="F159" s="13" t="s">
        <v>712</v>
      </c>
      <c r="G159" s="13" t="s">
        <v>282</v>
      </c>
      <c r="H159" s="13" t="s">
        <v>101</v>
      </c>
      <c r="I159" s="21" t="s">
        <v>718</v>
      </c>
      <c r="J159" s="21" t="s">
        <v>284</v>
      </c>
      <c r="K159" s="21" t="s">
        <v>719</v>
      </c>
      <c r="L159" s="22" t="s">
        <v>36</v>
      </c>
      <c r="M159" s="21" t="s">
        <v>120</v>
      </c>
      <c r="N159" s="13" t="s">
        <v>106</v>
      </c>
      <c r="O159" s="23" t="n">
        <v>11.48</v>
      </c>
      <c r="P159" s="13" t="n">
        <v>1</v>
      </c>
      <c r="Q159" s="24" t="n">
        <v>46310.4455439815</v>
      </c>
      <c r="R159" s="22" t="s">
        <v>37</v>
      </c>
      <c r="S159" s="13" t="s">
        <v>107</v>
      </c>
      <c r="T159" s="13" t="str">
        <f aca="false">IF(S159="Oui",IF(R159=L159,"Identique","Changé"),"")</f>
        <v>Changé</v>
      </c>
    </row>
    <row r="160" customFormat="false" ht="46.25" hidden="false" customHeight="false" outlineLevel="0" collapsed="false">
      <c r="A160" s="13" t="s">
        <v>720</v>
      </c>
      <c r="B160" s="13" t="s">
        <v>711</v>
      </c>
      <c r="C160" s="13" t="n">
        <v>4</v>
      </c>
      <c r="D160" s="13" t="s">
        <v>135</v>
      </c>
      <c r="E160" s="13" t="s">
        <v>570</v>
      </c>
      <c r="F160" s="13" t="s">
        <v>712</v>
      </c>
      <c r="G160" s="13" t="s">
        <v>639</v>
      </c>
      <c r="H160" s="13" t="s">
        <v>152</v>
      </c>
      <c r="I160" s="21" t="s">
        <v>721</v>
      </c>
      <c r="J160" s="21" t="s">
        <v>154</v>
      </c>
      <c r="K160" s="21" t="s">
        <v>722</v>
      </c>
      <c r="L160" s="22" t="s">
        <v>40</v>
      </c>
      <c r="M160" s="21" t="s">
        <v>156</v>
      </c>
      <c r="N160" s="13" t="s">
        <v>106</v>
      </c>
      <c r="O160" s="23" t="n">
        <v>10.84</v>
      </c>
      <c r="P160" s="13" t="n">
        <v>1</v>
      </c>
      <c r="Q160" s="24" t="n">
        <v>46310.445775463</v>
      </c>
      <c r="R160" s="22" t="s">
        <v>40</v>
      </c>
      <c r="S160" s="13" t="s">
        <v>107</v>
      </c>
      <c r="T160" s="13" t="str">
        <f aca="false">IF(S160="Oui",IF(R160=L160,"Identique","Changé"),"")</f>
        <v>Identique</v>
      </c>
    </row>
    <row r="161" customFormat="false" ht="57.45" hidden="false" customHeight="false" outlineLevel="0" collapsed="false">
      <c r="A161" s="13" t="s">
        <v>723</v>
      </c>
      <c r="B161" s="13" t="s">
        <v>711</v>
      </c>
      <c r="C161" s="13" t="n">
        <v>5</v>
      </c>
      <c r="D161" s="13" t="s">
        <v>135</v>
      </c>
      <c r="E161" s="13" t="s">
        <v>158</v>
      </c>
      <c r="F161" s="13" t="s">
        <v>712</v>
      </c>
      <c r="G161" s="13" t="s">
        <v>343</v>
      </c>
      <c r="H161" s="13" t="s">
        <v>101</v>
      </c>
      <c r="I161" s="21" t="s">
        <v>724</v>
      </c>
      <c r="J161" s="21" t="s">
        <v>233</v>
      </c>
      <c r="K161" s="21" t="s">
        <v>725</v>
      </c>
      <c r="L161" s="22" t="s">
        <v>37</v>
      </c>
      <c r="M161" s="21" t="s">
        <v>163</v>
      </c>
      <c r="N161" s="13" t="s">
        <v>106</v>
      </c>
      <c r="O161" s="23" t="n">
        <v>41.35</v>
      </c>
      <c r="P161" s="13" t="n">
        <v>1</v>
      </c>
      <c r="Q161" s="24" t="n">
        <v>46310.4463773148</v>
      </c>
      <c r="R161" s="22" t="s">
        <v>37</v>
      </c>
      <c r="S161" s="13" t="s">
        <v>107</v>
      </c>
      <c r="T161" s="13" t="str">
        <f aca="false">IF(S161="Oui",IF(R161=L161,"Identique","Changé"),"")</f>
        <v>Identique</v>
      </c>
    </row>
    <row r="162" customFormat="false" ht="46.25" hidden="false" customHeight="false" outlineLevel="0" collapsed="false">
      <c r="A162" s="13" t="s">
        <v>726</v>
      </c>
      <c r="B162" s="13" t="s">
        <v>727</v>
      </c>
      <c r="C162" s="13" t="n">
        <v>1</v>
      </c>
      <c r="D162" s="13" t="s">
        <v>97</v>
      </c>
      <c r="E162" s="13" t="s">
        <v>114</v>
      </c>
      <c r="F162" s="13" t="s">
        <v>728</v>
      </c>
      <c r="G162" s="13" t="s">
        <v>141</v>
      </c>
      <c r="H162" s="13" t="s">
        <v>101</v>
      </c>
      <c r="I162" s="21" t="s">
        <v>729</v>
      </c>
      <c r="J162" s="21" t="s">
        <v>143</v>
      </c>
      <c r="K162" s="21" t="s">
        <v>730</v>
      </c>
      <c r="L162" s="22" t="s">
        <v>36</v>
      </c>
      <c r="M162" s="21" t="s">
        <v>120</v>
      </c>
      <c r="N162" s="13" t="s">
        <v>106</v>
      </c>
      <c r="O162" s="23" t="n">
        <v>26.56</v>
      </c>
      <c r="P162" s="13" t="n">
        <v>1</v>
      </c>
      <c r="Q162" s="24" t="n">
        <v>46310.4468865741</v>
      </c>
      <c r="R162" s="22" t="s">
        <v>36</v>
      </c>
      <c r="S162" s="13" t="s">
        <v>107</v>
      </c>
      <c r="T162" s="13" t="str">
        <f aca="false">IF(S162="Oui",IF(R162=L162,"Identique","Changé"),"")</f>
        <v>Identique</v>
      </c>
    </row>
    <row r="163" customFormat="false" ht="35.05" hidden="false" customHeight="false" outlineLevel="0" collapsed="false">
      <c r="A163" s="13" t="s">
        <v>731</v>
      </c>
      <c r="B163" s="13" t="s">
        <v>727</v>
      </c>
      <c r="C163" s="13" t="n">
        <v>2</v>
      </c>
      <c r="D163" s="13" t="s">
        <v>97</v>
      </c>
      <c r="E163" s="13" t="s">
        <v>98</v>
      </c>
      <c r="F163" s="13" t="s">
        <v>728</v>
      </c>
      <c r="G163" s="13" t="s">
        <v>109</v>
      </c>
      <c r="H163" s="13" t="s">
        <v>101</v>
      </c>
      <c r="I163" s="21" t="s">
        <v>732</v>
      </c>
      <c r="J163" s="21" t="s">
        <v>733</v>
      </c>
      <c r="K163" s="21" t="s">
        <v>734</v>
      </c>
      <c r="L163" s="22" t="s">
        <v>36</v>
      </c>
      <c r="M163" s="21" t="s">
        <v>105</v>
      </c>
      <c r="N163" s="13" t="s">
        <v>106</v>
      </c>
      <c r="O163" s="23" t="n">
        <v>15.58</v>
      </c>
      <c r="P163" s="13" t="n">
        <v>1</v>
      </c>
      <c r="Q163" s="24" t="n">
        <v>46310.4471759259</v>
      </c>
      <c r="R163" s="22" t="s">
        <v>36</v>
      </c>
      <c r="S163" s="13" t="s">
        <v>107</v>
      </c>
      <c r="T163" s="13" t="str">
        <f aca="false">IF(S163="Oui",IF(R163=L163,"Identique","Changé"),"")</f>
        <v>Identique</v>
      </c>
    </row>
    <row r="164" customFormat="false" ht="35.05" hidden="false" customHeight="false" outlineLevel="0" collapsed="false">
      <c r="A164" s="13" t="s">
        <v>735</v>
      </c>
      <c r="B164" s="13" t="s">
        <v>727</v>
      </c>
      <c r="C164" s="13" t="n">
        <v>3</v>
      </c>
      <c r="D164" s="13" t="s">
        <v>97</v>
      </c>
      <c r="E164" s="13" t="s">
        <v>171</v>
      </c>
      <c r="F164" s="13" t="s">
        <v>728</v>
      </c>
      <c r="G164" s="13" t="s">
        <v>222</v>
      </c>
      <c r="H164" s="13" t="s">
        <v>101</v>
      </c>
      <c r="I164" s="21" t="s">
        <v>736</v>
      </c>
      <c r="J164" s="21" t="s">
        <v>224</v>
      </c>
      <c r="K164" s="21" t="s">
        <v>737</v>
      </c>
      <c r="L164" s="22" t="s">
        <v>36</v>
      </c>
      <c r="M164" s="21" t="s">
        <v>120</v>
      </c>
      <c r="N164" s="13" t="s">
        <v>106</v>
      </c>
      <c r="O164" s="23" t="n">
        <v>25.85</v>
      </c>
      <c r="P164" s="13" t="n">
        <v>1</v>
      </c>
      <c r="Q164" s="24" t="n">
        <v>46310.4476041667</v>
      </c>
      <c r="R164" s="22" t="s">
        <v>36</v>
      </c>
      <c r="S164" s="13" t="s">
        <v>107</v>
      </c>
      <c r="T164" s="13" t="str">
        <f aca="false">IF(S164="Oui",IF(R164=L164,"Identique","Changé"),"")</f>
        <v>Identique</v>
      </c>
    </row>
    <row r="165" customFormat="false" ht="46.25" hidden="false" customHeight="false" outlineLevel="0" collapsed="false">
      <c r="A165" s="13" t="s">
        <v>738</v>
      </c>
      <c r="B165" s="13" t="s">
        <v>727</v>
      </c>
      <c r="C165" s="13" t="n">
        <v>4</v>
      </c>
      <c r="D165" s="13" t="s">
        <v>97</v>
      </c>
      <c r="E165" s="13" t="s">
        <v>570</v>
      </c>
      <c r="F165" s="13" t="s">
        <v>728</v>
      </c>
      <c r="G165" s="13" t="s">
        <v>639</v>
      </c>
      <c r="H165" s="13" t="s">
        <v>152</v>
      </c>
      <c r="I165" s="21" t="s">
        <v>739</v>
      </c>
      <c r="J165" s="21" t="s">
        <v>154</v>
      </c>
      <c r="K165" s="21" t="s">
        <v>740</v>
      </c>
      <c r="L165" s="22" t="s">
        <v>40</v>
      </c>
      <c r="M165" s="21" t="s">
        <v>156</v>
      </c>
      <c r="N165" s="13" t="s">
        <v>106</v>
      </c>
      <c r="O165" s="23" t="n">
        <v>12.03</v>
      </c>
      <c r="P165" s="13" t="n">
        <v>1</v>
      </c>
      <c r="Q165" s="24" t="n">
        <v>46310.4478587963</v>
      </c>
      <c r="R165" s="22" t="s">
        <v>40</v>
      </c>
      <c r="S165" s="13" t="s">
        <v>107</v>
      </c>
      <c r="T165" s="13" t="str">
        <f aca="false">IF(S165="Oui",IF(R165=L165,"Identique","Changé"),"")</f>
        <v>Identique</v>
      </c>
    </row>
    <row r="166" customFormat="false" ht="46.25" hidden="false" customHeight="false" outlineLevel="0" collapsed="false">
      <c r="A166" s="13" t="s">
        <v>741</v>
      </c>
      <c r="B166" s="13" t="s">
        <v>727</v>
      </c>
      <c r="C166" s="13" t="n">
        <v>5</v>
      </c>
      <c r="D166" s="13" t="s">
        <v>97</v>
      </c>
      <c r="E166" s="13" t="s">
        <v>158</v>
      </c>
      <c r="F166" s="13" t="s">
        <v>728</v>
      </c>
      <c r="G166" s="13" t="s">
        <v>159</v>
      </c>
      <c r="H166" s="13" t="s">
        <v>101</v>
      </c>
      <c r="I166" s="21" t="s">
        <v>416</v>
      </c>
      <c r="J166" s="21" t="s">
        <v>311</v>
      </c>
      <c r="K166" s="21" t="s">
        <v>742</v>
      </c>
      <c r="L166" s="22" t="s">
        <v>37</v>
      </c>
      <c r="M166" s="21" t="s">
        <v>163</v>
      </c>
      <c r="N166" s="13" t="s">
        <v>106</v>
      </c>
      <c r="O166" s="23" t="n">
        <v>10.48</v>
      </c>
      <c r="P166" s="13" t="n">
        <v>1</v>
      </c>
      <c r="Q166" s="24" t="n">
        <v>46310.4481018519</v>
      </c>
      <c r="R166" s="22" t="s">
        <v>37</v>
      </c>
      <c r="S166" s="13" t="s">
        <v>107</v>
      </c>
      <c r="T166" s="13" t="str">
        <f aca="false">IF(S166="Oui",IF(R166=L166,"Identique","Changé"),"")</f>
        <v>Identique</v>
      </c>
    </row>
    <row r="167" customFormat="false" ht="46.25" hidden="false" customHeight="false" outlineLevel="0" collapsed="false">
      <c r="A167" s="13" t="s">
        <v>743</v>
      </c>
      <c r="B167" s="13" t="s">
        <v>744</v>
      </c>
      <c r="C167" s="13" t="n">
        <v>1</v>
      </c>
      <c r="D167" s="13" t="s">
        <v>135</v>
      </c>
      <c r="E167" s="13" t="s">
        <v>128</v>
      </c>
      <c r="F167" s="13" t="s">
        <v>745</v>
      </c>
      <c r="G167" s="13" t="s">
        <v>193</v>
      </c>
      <c r="H167" s="13" t="s">
        <v>101</v>
      </c>
      <c r="I167" s="21" t="s">
        <v>746</v>
      </c>
      <c r="J167" s="21" t="s">
        <v>195</v>
      </c>
      <c r="K167" s="21" t="s">
        <v>747</v>
      </c>
      <c r="L167" s="22" t="s">
        <v>36</v>
      </c>
      <c r="M167" s="21" t="s">
        <v>120</v>
      </c>
      <c r="N167" s="13" t="s">
        <v>106</v>
      </c>
      <c r="O167" s="23" t="n">
        <v>41.51</v>
      </c>
      <c r="P167" s="13" t="n">
        <v>1</v>
      </c>
      <c r="Q167" s="24" t="n">
        <v>46310.4487847222</v>
      </c>
      <c r="R167" s="22" t="s">
        <v>36</v>
      </c>
      <c r="S167" s="13" t="s">
        <v>107</v>
      </c>
      <c r="T167" s="13" t="str">
        <f aca="false">IF(S167="Oui",IF(R167=L167,"Identique","Changé"),"")</f>
        <v>Identique</v>
      </c>
    </row>
    <row r="168" customFormat="false" ht="35.05" hidden="false" customHeight="false" outlineLevel="0" collapsed="false">
      <c r="A168" s="13" t="s">
        <v>748</v>
      </c>
      <c r="B168" s="13" t="s">
        <v>744</v>
      </c>
      <c r="C168" s="13" t="n">
        <v>2</v>
      </c>
      <c r="D168" s="13" t="s">
        <v>135</v>
      </c>
      <c r="E168" s="13" t="s">
        <v>128</v>
      </c>
      <c r="F168" s="13" t="s">
        <v>745</v>
      </c>
      <c r="G168" s="13" t="s">
        <v>129</v>
      </c>
      <c r="H168" s="13" t="s">
        <v>101</v>
      </c>
      <c r="I168" s="21" t="s">
        <v>198</v>
      </c>
      <c r="J168" s="21" t="s">
        <v>292</v>
      </c>
      <c r="K168" s="21" t="s">
        <v>749</v>
      </c>
      <c r="L168" s="22" t="s">
        <v>36</v>
      </c>
      <c r="M168" s="21" t="s">
        <v>120</v>
      </c>
      <c r="N168" s="13" t="s">
        <v>106</v>
      </c>
      <c r="O168" s="23" t="n">
        <v>17.22</v>
      </c>
      <c r="P168" s="13" t="n">
        <v>1</v>
      </c>
      <c r="Q168" s="24" t="n">
        <v>46310.4491087963</v>
      </c>
      <c r="R168" s="22" t="s">
        <v>36</v>
      </c>
      <c r="S168" s="13" t="s">
        <v>107</v>
      </c>
      <c r="T168" s="13" t="str">
        <f aca="false">IF(S168="Oui",IF(R168=L168,"Identique","Changé"),"")</f>
        <v>Identique</v>
      </c>
    </row>
    <row r="169" customFormat="false" ht="46.25" hidden="false" customHeight="false" outlineLevel="0" collapsed="false">
      <c r="A169" s="13" t="s">
        <v>750</v>
      </c>
      <c r="B169" s="13" t="s">
        <v>744</v>
      </c>
      <c r="C169" s="13" t="n">
        <v>3</v>
      </c>
      <c r="D169" s="13" t="s">
        <v>135</v>
      </c>
      <c r="E169" s="13" t="s">
        <v>158</v>
      </c>
      <c r="F169" s="13" t="s">
        <v>745</v>
      </c>
      <c r="G169" s="13" t="s">
        <v>343</v>
      </c>
      <c r="H169" s="13" t="s">
        <v>101</v>
      </c>
      <c r="I169" s="21" t="s">
        <v>724</v>
      </c>
      <c r="J169" s="21" t="s">
        <v>161</v>
      </c>
      <c r="K169" s="21" t="s">
        <v>751</v>
      </c>
      <c r="L169" s="22" t="s">
        <v>36</v>
      </c>
      <c r="M169" s="21" t="s">
        <v>235</v>
      </c>
      <c r="N169" s="13" t="s">
        <v>106</v>
      </c>
      <c r="O169" s="23" t="n">
        <v>16.3</v>
      </c>
      <c r="P169" s="13" t="n">
        <v>1</v>
      </c>
      <c r="Q169" s="24" t="n">
        <v>46310.4494097222</v>
      </c>
      <c r="R169" s="22" t="s">
        <v>37</v>
      </c>
      <c r="S169" s="13" t="s">
        <v>107</v>
      </c>
      <c r="T169" s="13" t="str">
        <f aca="false">IF(S169="Oui",IF(R169=L169,"Identique","Changé"),"")</f>
        <v>Changé</v>
      </c>
    </row>
    <row r="170" customFormat="false" ht="23.85" hidden="false" customHeight="false" outlineLevel="0" collapsed="false">
      <c r="A170" s="13" t="s">
        <v>752</v>
      </c>
      <c r="B170" s="13" t="s">
        <v>744</v>
      </c>
      <c r="C170" s="13" t="n">
        <v>4</v>
      </c>
      <c r="D170" s="13" t="s">
        <v>135</v>
      </c>
      <c r="E170" s="13" t="s">
        <v>260</v>
      </c>
      <c r="F170" s="13" t="s">
        <v>745</v>
      </c>
      <c r="G170" s="13" t="s">
        <v>261</v>
      </c>
      <c r="H170" s="13" t="s">
        <v>101</v>
      </c>
      <c r="I170" s="21" t="s">
        <v>753</v>
      </c>
      <c r="J170" s="21" t="s">
        <v>263</v>
      </c>
      <c r="K170" s="21" t="s">
        <v>754</v>
      </c>
      <c r="L170" s="22" t="s">
        <v>36</v>
      </c>
      <c r="M170" s="21" t="s">
        <v>120</v>
      </c>
      <c r="N170" s="13" t="s">
        <v>106</v>
      </c>
      <c r="O170" s="23" t="n">
        <v>16.03</v>
      </c>
      <c r="P170" s="13" t="n">
        <v>1</v>
      </c>
      <c r="Q170" s="24" t="n">
        <v>46310.4497106482</v>
      </c>
      <c r="R170" s="22" t="s">
        <v>36</v>
      </c>
      <c r="S170" s="13" t="s">
        <v>107</v>
      </c>
      <c r="T170" s="13" t="str">
        <f aca="false">IF(S170="Oui",IF(R170=L170,"Identique","Changé"),"")</f>
        <v>Identique</v>
      </c>
    </row>
    <row r="171" customFormat="false" ht="35.05" hidden="false" customHeight="false" outlineLevel="0" collapsed="false">
      <c r="A171" s="13" t="s">
        <v>755</v>
      </c>
      <c r="B171" s="13" t="s">
        <v>744</v>
      </c>
      <c r="C171" s="13" t="n">
        <v>5</v>
      </c>
      <c r="D171" s="13" t="s">
        <v>135</v>
      </c>
      <c r="E171" s="13" t="s">
        <v>114</v>
      </c>
      <c r="F171" s="13" t="s">
        <v>745</v>
      </c>
      <c r="G171" s="13" t="s">
        <v>116</v>
      </c>
      <c r="H171" s="13" t="s">
        <v>101</v>
      </c>
      <c r="I171" s="21" t="s">
        <v>756</v>
      </c>
      <c r="J171" s="21" t="s">
        <v>118</v>
      </c>
      <c r="K171" s="21" t="s">
        <v>757</v>
      </c>
      <c r="L171" s="22" t="s">
        <v>36</v>
      </c>
      <c r="M171" s="21" t="s">
        <v>120</v>
      </c>
      <c r="N171" s="13" t="s">
        <v>106</v>
      </c>
      <c r="O171" s="23" t="n">
        <v>10.97</v>
      </c>
      <c r="P171" s="13" t="n">
        <v>1</v>
      </c>
      <c r="Q171" s="24" t="n">
        <v>46310.4499652778</v>
      </c>
      <c r="R171" s="22" t="s">
        <v>36</v>
      </c>
      <c r="S171" s="13" t="s">
        <v>107</v>
      </c>
      <c r="T171" s="13" t="str">
        <f aca="false">IF(S171="Oui",IF(R171=L171,"Identique","Changé"),"")</f>
        <v>Identique</v>
      </c>
    </row>
    <row r="172" customFormat="false" ht="46.25" hidden="false" customHeight="false" outlineLevel="0" collapsed="false">
      <c r="A172" s="13" t="s">
        <v>758</v>
      </c>
      <c r="B172" s="13" t="s">
        <v>759</v>
      </c>
      <c r="C172" s="13" t="n">
        <v>1</v>
      </c>
      <c r="D172" s="13" t="s">
        <v>97</v>
      </c>
      <c r="E172" s="13" t="s">
        <v>171</v>
      </c>
      <c r="F172" s="13" t="s">
        <v>728</v>
      </c>
      <c r="G172" s="13" t="s">
        <v>222</v>
      </c>
      <c r="H172" s="13" t="s">
        <v>101</v>
      </c>
      <c r="I172" s="21" t="s">
        <v>760</v>
      </c>
      <c r="J172" s="21" t="s">
        <v>224</v>
      </c>
      <c r="K172" s="21" t="s">
        <v>761</v>
      </c>
      <c r="L172" s="22" t="s">
        <v>36</v>
      </c>
      <c r="M172" s="21" t="s">
        <v>120</v>
      </c>
      <c r="N172" s="13" t="s">
        <v>106</v>
      </c>
      <c r="O172" s="23" t="n">
        <v>33.79</v>
      </c>
      <c r="P172" s="13" t="n">
        <v>1</v>
      </c>
      <c r="Q172" s="24" t="n">
        <v>46310.4505555556</v>
      </c>
      <c r="R172" s="22" t="s">
        <v>36</v>
      </c>
      <c r="S172" s="13" t="s">
        <v>107</v>
      </c>
      <c r="T172" s="13" t="str">
        <f aca="false">IF(S172="Oui",IF(R172=L172,"Identique","Changé"),"")</f>
        <v>Identique</v>
      </c>
    </row>
    <row r="173" customFormat="false" ht="46.25" hidden="false" customHeight="false" outlineLevel="0" collapsed="false">
      <c r="A173" s="13" t="s">
        <v>762</v>
      </c>
      <c r="B173" s="13" t="s">
        <v>759</v>
      </c>
      <c r="C173" s="13" t="n">
        <v>2</v>
      </c>
      <c r="D173" s="13" t="s">
        <v>97</v>
      </c>
      <c r="E173" s="13" t="s">
        <v>158</v>
      </c>
      <c r="F173" s="13" t="s">
        <v>728</v>
      </c>
      <c r="G173" s="13" t="s">
        <v>343</v>
      </c>
      <c r="H173" s="13" t="s">
        <v>101</v>
      </c>
      <c r="I173" s="21" t="s">
        <v>724</v>
      </c>
      <c r="J173" s="21" t="s">
        <v>311</v>
      </c>
      <c r="K173" s="21" t="s">
        <v>763</v>
      </c>
      <c r="L173" s="22" t="s">
        <v>37</v>
      </c>
      <c r="M173" s="21" t="s">
        <v>163</v>
      </c>
      <c r="N173" s="13" t="s">
        <v>106</v>
      </c>
      <c r="O173" s="23" t="n">
        <v>31.66</v>
      </c>
      <c r="P173" s="13" t="n">
        <v>1</v>
      </c>
      <c r="Q173" s="24" t="n">
        <v>46310.4510416667</v>
      </c>
      <c r="R173" s="22" t="s">
        <v>37</v>
      </c>
      <c r="S173" s="13" t="s">
        <v>107</v>
      </c>
      <c r="T173" s="13" t="str">
        <f aca="false">IF(S173="Oui",IF(R173=L173,"Identique","Changé"),"")</f>
        <v>Identique</v>
      </c>
    </row>
    <row r="174" customFormat="false" ht="35.05" hidden="false" customHeight="false" outlineLevel="0" collapsed="false">
      <c r="A174" s="13" t="s">
        <v>764</v>
      </c>
      <c r="B174" s="13" t="s">
        <v>759</v>
      </c>
      <c r="C174" s="13" t="n">
        <v>3</v>
      </c>
      <c r="D174" s="13" t="s">
        <v>97</v>
      </c>
      <c r="E174" s="13" t="s">
        <v>122</v>
      </c>
      <c r="F174" s="13" t="s">
        <v>728</v>
      </c>
      <c r="G174" s="13" t="s">
        <v>123</v>
      </c>
      <c r="H174" s="13" t="s">
        <v>101</v>
      </c>
      <c r="I174" s="21" t="s">
        <v>384</v>
      </c>
      <c r="J174" s="21" t="s">
        <v>125</v>
      </c>
      <c r="K174" s="21" t="s">
        <v>765</v>
      </c>
      <c r="L174" s="22" t="s">
        <v>36</v>
      </c>
      <c r="M174" s="21" t="s">
        <v>120</v>
      </c>
      <c r="N174" s="13" t="s">
        <v>106</v>
      </c>
      <c r="O174" s="23" t="n">
        <v>10</v>
      </c>
      <c r="P174" s="13" t="n">
        <v>1</v>
      </c>
      <c r="Q174" s="24" t="n">
        <v>46310.45125</v>
      </c>
      <c r="R174" s="22" t="s">
        <v>36</v>
      </c>
      <c r="S174" s="13" t="s">
        <v>107</v>
      </c>
      <c r="T174" s="13" t="str">
        <f aca="false">IF(S174="Oui",IF(R174=L174,"Identique","Changé"),"")</f>
        <v>Identique</v>
      </c>
    </row>
    <row r="175" customFormat="false" ht="35.05" hidden="false" customHeight="false" outlineLevel="0" collapsed="false">
      <c r="A175" s="13" t="s">
        <v>766</v>
      </c>
      <c r="B175" s="13" t="s">
        <v>759</v>
      </c>
      <c r="C175" s="13" t="n">
        <v>4</v>
      </c>
      <c r="D175" s="13" t="s">
        <v>97</v>
      </c>
      <c r="E175" s="13" t="s">
        <v>122</v>
      </c>
      <c r="F175" s="13" t="s">
        <v>728</v>
      </c>
      <c r="G175" s="13" t="s">
        <v>231</v>
      </c>
      <c r="H175" s="13" t="s">
        <v>101</v>
      </c>
      <c r="I175" s="21" t="s">
        <v>767</v>
      </c>
      <c r="J175" s="21" t="s">
        <v>233</v>
      </c>
      <c r="K175" s="21" t="s">
        <v>768</v>
      </c>
      <c r="L175" s="22" t="s">
        <v>36</v>
      </c>
      <c r="M175" s="21" t="s">
        <v>235</v>
      </c>
      <c r="N175" s="13" t="s">
        <v>106</v>
      </c>
      <c r="O175" s="23" t="n">
        <v>10.07</v>
      </c>
      <c r="P175" s="13" t="n">
        <v>1</v>
      </c>
      <c r="Q175" s="24" t="n">
        <v>46310.4514699074</v>
      </c>
      <c r="R175" s="22" t="s">
        <v>36</v>
      </c>
      <c r="S175" s="13" t="s">
        <v>107</v>
      </c>
      <c r="T175" s="13" t="str">
        <f aca="false">IF(S175="Oui",IF(R175=L175,"Identique","Changé"),"")</f>
        <v>Identique</v>
      </c>
    </row>
    <row r="176" customFormat="false" ht="35.05" hidden="false" customHeight="false" outlineLevel="0" collapsed="false">
      <c r="A176" s="13" t="s">
        <v>769</v>
      </c>
      <c r="B176" s="13" t="s">
        <v>759</v>
      </c>
      <c r="C176" s="13" t="n">
        <v>5</v>
      </c>
      <c r="D176" s="13" t="s">
        <v>97</v>
      </c>
      <c r="E176" s="13" t="s">
        <v>128</v>
      </c>
      <c r="F176" s="13" t="s">
        <v>728</v>
      </c>
      <c r="G176" s="13" t="s">
        <v>129</v>
      </c>
      <c r="H176" s="13" t="s">
        <v>101</v>
      </c>
      <c r="I176" s="21" t="s">
        <v>650</v>
      </c>
      <c r="J176" s="21" t="s">
        <v>131</v>
      </c>
      <c r="K176" s="21" t="s">
        <v>770</v>
      </c>
      <c r="L176" s="22" t="s">
        <v>36</v>
      </c>
      <c r="M176" s="21" t="s">
        <v>120</v>
      </c>
      <c r="N176" s="13" t="s">
        <v>106</v>
      </c>
      <c r="O176" s="23" t="n">
        <v>13.51</v>
      </c>
      <c r="P176" s="13" t="n">
        <v>1</v>
      </c>
      <c r="Q176" s="24" t="n">
        <v>46310.4517361111</v>
      </c>
      <c r="R176" s="22" t="s">
        <v>36</v>
      </c>
      <c r="S176" s="13" t="s">
        <v>107</v>
      </c>
      <c r="T176" s="13" t="str">
        <f aca="false">IF(S176="Oui",IF(R176=L176,"Identique","Changé"),"")</f>
        <v>Identique</v>
      </c>
    </row>
    <row r="177" customFormat="false" ht="68.65" hidden="false" customHeight="false" outlineLevel="0" collapsed="false">
      <c r="A177" s="13" t="s">
        <v>771</v>
      </c>
      <c r="B177" s="13" t="s">
        <v>772</v>
      </c>
      <c r="C177" s="13" t="n">
        <v>1</v>
      </c>
      <c r="D177" s="13" t="s">
        <v>135</v>
      </c>
      <c r="E177" s="13" t="s">
        <v>158</v>
      </c>
      <c r="F177" s="13" t="s">
        <v>773</v>
      </c>
      <c r="G177" s="13" t="s">
        <v>343</v>
      </c>
      <c r="H177" s="13" t="s">
        <v>101</v>
      </c>
      <c r="I177" s="21" t="s">
        <v>774</v>
      </c>
      <c r="J177" s="21" t="s">
        <v>161</v>
      </c>
      <c r="K177" s="21" t="s">
        <v>775</v>
      </c>
      <c r="L177" s="22" t="s">
        <v>37</v>
      </c>
      <c r="M177" s="21" t="s">
        <v>163</v>
      </c>
      <c r="N177" s="13" t="s">
        <v>106</v>
      </c>
      <c r="O177" s="23" t="n">
        <v>62.85</v>
      </c>
      <c r="P177" s="13" t="n">
        <v>2</v>
      </c>
      <c r="Q177" s="24" t="n">
        <v>46310.4572337963</v>
      </c>
      <c r="R177" s="22" t="s">
        <v>37</v>
      </c>
      <c r="S177" s="13" t="s">
        <v>107</v>
      </c>
      <c r="T177" s="13" t="str">
        <f aca="false">IF(S177="Oui",IF(R177=L177,"Identique","Changé"),"")</f>
        <v>Identique</v>
      </c>
    </row>
    <row r="178" customFormat="false" ht="35.05" hidden="false" customHeight="false" outlineLevel="0" collapsed="false">
      <c r="A178" s="13" t="s">
        <v>776</v>
      </c>
      <c r="B178" s="13" t="s">
        <v>772</v>
      </c>
      <c r="C178" s="13" t="n">
        <v>2</v>
      </c>
      <c r="D178" s="13" t="s">
        <v>135</v>
      </c>
      <c r="E178" s="13" t="s">
        <v>122</v>
      </c>
      <c r="F178" s="13" t="s">
        <v>773</v>
      </c>
      <c r="G178" s="13" t="s">
        <v>123</v>
      </c>
      <c r="H178" s="13" t="s">
        <v>101</v>
      </c>
      <c r="I178" s="21" t="s">
        <v>384</v>
      </c>
      <c r="J178" s="21" t="s">
        <v>277</v>
      </c>
      <c r="K178" s="21" t="s">
        <v>777</v>
      </c>
      <c r="L178" s="22" t="s">
        <v>36</v>
      </c>
      <c r="M178" s="21" t="s">
        <v>120</v>
      </c>
      <c r="N178" s="13" t="s">
        <v>106</v>
      </c>
      <c r="O178" s="23" t="n">
        <v>11.96</v>
      </c>
      <c r="P178" s="13" t="n">
        <v>2</v>
      </c>
      <c r="Q178" s="24" t="n">
        <v>46310.4574768519</v>
      </c>
      <c r="R178" s="22" t="s">
        <v>36</v>
      </c>
      <c r="S178" s="13" t="s">
        <v>107</v>
      </c>
      <c r="T178" s="13" t="str">
        <f aca="false">IF(S178="Oui",IF(R178=L178,"Identique","Changé"),"")</f>
        <v>Identique</v>
      </c>
    </row>
    <row r="179" customFormat="false" ht="46.25" hidden="false" customHeight="false" outlineLevel="0" collapsed="false">
      <c r="A179" s="13" t="s">
        <v>778</v>
      </c>
      <c r="B179" s="13" t="s">
        <v>772</v>
      </c>
      <c r="C179" s="13" t="n">
        <v>3</v>
      </c>
      <c r="D179" s="13" t="s">
        <v>135</v>
      </c>
      <c r="E179" s="13" t="s">
        <v>171</v>
      </c>
      <c r="F179" s="13" t="s">
        <v>779</v>
      </c>
      <c r="G179" s="13" t="s">
        <v>172</v>
      </c>
      <c r="H179" s="13" t="s">
        <v>101</v>
      </c>
      <c r="I179" s="21" t="s">
        <v>780</v>
      </c>
      <c r="J179" s="21" t="s">
        <v>228</v>
      </c>
      <c r="K179" s="21" t="s">
        <v>781</v>
      </c>
      <c r="L179" s="22" t="s">
        <v>37</v>
      </c>
      <c r="M179" s="21" t="s">
        <v>163</v>
      </c>
      <c r="N179" s="13" t="s">
        <v>106</v>
      </c>
      <c r="O179" s="23" t="n">
        <v>22.58</v>
      </c>
      <c r="P179" s="13" t="n">
        <v>2</v>
      </c>
      <c r="Q179" s="24" t="n">
        <v>46310.4578356482</v>
      </c>
      <c r="R179" s="22" t="s">
        <v>37</v>
      </c>
      <c r="S179" s="13" t="s">
        <v>107</v>
      </c>
      <c r="T179" s="13" t="str">
        <f aca="false">IF(S179="Oui",IF(R179=L179,"Identique","Changé"),"")</f>
        <v>Identique</v>
      </c>
    </row>
    <row r="180" customFormat="false" ht="35.05" hidden="false" customHeight="false" outlineLevel="0" collapsed="false">
      <c r="A180" s="13" t="s">
        <v>782</v>
      </c>
      <c r="B180" s="13" t="s">
        <v>772</v>
      </c>
      <c r="C180" s="13" t="n">
        <v>4</v>
      </c>
      <c r="D180" s="13" t="s">
        <v>135</v>
      </c>
      <c r="E180" s="13" t="s">
        <v>128</v>
      </c>
      <c r="F180" s="13" t="s">
        <v>779</v>
      </c>
      <c r="G180" s="13" t="s">
        <v>193</v>
      </c>
      <c r="H180" s="13" t="s">
        <v>101</v>
      </c>
      <c r="I180" s="21" t="s">
        <v>249</v>
      </c>
      <c r="J180" s="21" t="s">
        <v>195</v>
      </c>
      <c r="K180" s="21" t="s">
        <v>783</v>
      </c>
      <c r="L180" s="22" t="s">
        <v>36</v>
      </c>
      <c r="M180" s="21" t="s">
        <v>120</v>
      </c>
      <c r="N180" s="13" t="s">
        <v>106</v>
      </c>
      <c r="O180" s="23" t="n">
        <v>15.12</v>
      </c>
      <c r="P180" s="13" t="n">
        <v>2</v>
      </c>
      <c r="Q180" s="24" t="n">
        <v>46310.4581134259</v>
      </c>
      <c r="R180" s="22" t="s">
        <v>36</v>
      </c>
      <c r="S180" s="13" t="s">
        <v>107</v>
      </c>
      <c r="T180" s="13" t="str">
        <f aca="false">IF(S180="Oui",IF(R180=L180,"Identique","Changé"),"")</f>
        <v>Identique</v>
      </c>
    </row>
    <row r="181" customFormat="false" ht="23.85" hidden="false" customHeight="false" outlineLevel="0" collapsed="false">
      <c r="A181" s="13" t="s">
        <v>784</v>
      </c>
      <c r="B181" s="13" t="s">
        <v>772</v>
      </c>
      <c r="C181" s="13" t="n">
        <v>5</v>
      </c>
      <c r="D181" s="13" t="s">
        <v>135</v>
      </c>
      <c r="E181" s="13" t="s">
        <v>128</v>
      </c>
      <c r="F181" s="13" t="s">
        <v>773</v>
      </c>
      <c r="G181" s="13" t="s">
        <v>204</v>
      </c>
      <c r="H181" s="13" t="s">
        <v>101</v>
      </c>
      <c r="I181" s="21" t="s">
        <v>785</v>
      </c>
      <c r="J181" s="21" t="s">
        <v>206</v>
      </c>
      <c r="K181" s="21" t="s">
        <v>786</v>
      </c>
      <c r="L181" s="22" t="s">
        <v>36</v>
      </c>
      <c r="M181" s="21" t="s">
        <v>120</v>
      </c>
      <c r="N181" s="13" t="s">
        <v>106</v>
      </c>
      <c r="O181" s="23" t="n">
        <v>17.95</v>
      </c>
      <c r="P181" s="13" t="n">
        <v>2</v>
      </c>
      <c r="Q181" s="24" t="n">
        <v>46310.4584259259</v>
      </c>
      <c r="R181" s="22" t="s">
        <v>36</v>
      </c>
      <c r="S181" s="13" t="s">
        <v>107</v>
      </c>
      <c r="T181" s="13" t="str">
        <f aca="false">IF(S181="Oui",IF(R181=L181,"Identique","Changé"),"")</f>
        <v>Identique</v>
      </c>
    </row>
    <row r="182" customFormat="false" ht="23.85" hidden="false" customHeight="false" outlineLevel="0" collapsed="false">
      <c r="A182" s="13" t="s">
        <v>787</v>
      </c>
      <c r="B182" s="13" t="s">
        <v>788</v>
      </c>
      <c r="C182" s="13" t="n">
        <v>1</v>
      </c>
      <c r="D182" s="13" t="s">
        <v>97</v>
      </c>
      <c r="E182" s="13" t="s">
        <v>98</v>
      </c>
      <c r="F182" s="13" t="s">
        <v>256</v>
      </c>
      <c r="G182" s="13" t="s">
        <v>100</v>
      </c>
      <c r="H182" s="13" t="s">
        <v>101</v>
      </c>
      <c r="I182" s="21" t="s">
        <v>371</v>
      </c>
      <c r="J182" s="21" t="s">
        <v>111</v>
      </c>
      <c r="K182" s="21" t="s">
        <v>789</v>
      </c>
      <c r="L182" s="22" t="s">
        <v>36</v>
      </c>
      <c r="M182" s="21" t="s">
        <v>105</v>
      </c>
      <c r="N182" s="13" t="s">
        <v>106</v>
      </c>
      <c r="O182" s="23" t="n">
        <v>51.3</v>
      </c>
      <c r="P182" s="13" t="n">
        <v>2</v>
      </c>
      <c r="Q182" s="24" t="n">
        <v>46310.4638078704</v>
      </c>
      <c r="R182" s="22" t="s">
        <v>36</v>
      </c>
      <c r="S182" s="13" t="s">
        <v>107</v>
      </c>
      <c r="T182" s="13" t="str">
        <f aca="false">IF(S182="Oui",IF(R182=L182,"Identique","Changé"),"")</f>
        <v>Identique</v>
      </c>
    </row>
    <row r="183" customFormat="false" ht="35.05" hidden="false" customHeight="false" outlineLevel="0" collapsed="false">
      <c r="A183" s="13" t="s">
        <v>790</v>
      </c>
      <c r="B183" s="13" t="s">
        <v>788</v>
      </c>
      <c r="C183" s="13" t="n">
        <v>2</v>
      </c>
      <c r="D183" s="13" t="s">
        <v>97</v>
      </c>
      <c r="E183" s="13" t="s">
        <v>98</v>
      </c>
      <c r="F183" s="13" t="s">
        <v>256</v>
      </c>
      <c r="G183" s="13" t="s">
        <v>109</v>
      </c>
      <c r="H183" s="13" t="s">
        <v>101</v>
      </c>
      <c r="I183" s="21" t="s">
        <v>791</v>
      </c>
      <c r="J183" s="21" t="s">
        <v>103</v>
      </c>
      <c r="K183" s="21" t="s">
        <v>792</v>
      </c>
      <c r="L183" s="22" t="s">
        <v>36</v>
      </c>
      <c r="M183" s="21" t="s">
        <v>105</v>
      </c>
      <c r="N183" s="13" t="s">
        <v>106</v>
      </c>
      <c r="O183" s="23" t="n">
        <v>15.41</v>
      </c>
      <c r="P183" s="13" t="n">
        <v>2</v>
      </c>
      <c r="Q183" s="24" t="n">
        <v>46310.4640856482</v>
      </c>
      <c r="R183" s="22" t="s">
        <v>36</v>
      </c>
      <c r="S183" s="13" t="s">
        <v>107</v>
      </c>
      <c r="T183" s="13" t="str">
        <f aca="false">IF(S183="Oui",IF(R183=L183,"Identique","Changé"),"")</f>
        <v>Identique</v>
      </c>
    </row>
    <row r="184" customFormat="false" ht="35.05" hidden="false" customHeight="false" outlineLevel="0" collapsed="false">
      <c r="A184" s="13" t="s">
        <v>793</v>
      </c>
      <c r="B184" s="13" t="s">
        <v>788</v>
      </c>
      <c r="C184" s="13" t="n">
        <v>3</v>
      </c>
      <c r="D184" s="13" t="s">
        <v>97</v>
      </c>
      <c r="E184" s="13" t="s">
        <v>128</v>
      </c>
      <c r="F184" s="13" t="s">
        <v>256</v>
      </c>
      <c r="G184" s="13" t="s">
        <v>193</v>
      </c>
      <c r="H184" s="13" t="s">
        <v>101</v>
      </c>
      <c r="I184" s="21" t="s">
        <v>249</v>
      </c>
      <c r="J184" s="21" t="s">
        <v>195</v>
      </c>
      <c r="K184" s="21" t="s">
        <v>794</v>
      </c>
      <c r="L184" s="22" t="s">
        <v>36</v>
      </c>
      <c r="M184" s="21" t="s">
        <v>120</v>
      </c>
      <c r="N184" s="13" t="s">
        <v>106</v>
      </c>
      <c r="O184" s="23" t="n">
        <v>15.16</v>
      </c>
      <c r="P184" s="13" t="n">
        <v>2</v>
      </c>
      <c r="Q184" s="24" t="n">
        <v>46310.4643634259</v>
      </c>
      <c r="R184" s="22" t="s">
        <v>36</v>
      </c>
      <c r="S184" s="13" t="s">
        <v>107</v>
      </c>
      <c r="T184" s="13" t="str">
        <f aca="false">IF(S184="Oui",IF(R184=L184,"Identique","Changé"),"")</f>
        <v>Identique</v>
      </c>
    </row>
    <row r="185" customFormat="false" ht="46.25" hidden="false" customHeight="false" outlineLevel="0" collapsed="false">
      <c r="A185" s="13" t="s">
        <v>795</v>
      </c>
      <c r="B185" s="13" t="s">
        <v>788</v>
      </c>
      <c r="C185" s="13" t="n">
        <v>4</v>
      </c>
      <c r="D185" s="13" t="s">
        <v>97</v>
      </c>
      <c r="E185" s="13" t="s">
        <v>98</v>
      </c>
      <c r="F185" s="13" t="s">
        <v>256</v>
      </c>
      <c r="G185" s="13" t="s">
        <v>151</v>
      </c>
      <c r="H185" s="13" t="s">
        <v>152</v>
      </c>
      <c r="I185" s="21" t="s">
        <v>796</v>
      </c>
      <c r="J185" s="21" t="s">
        <v>154</v>
      </c>
      <c r="K185" s="21" t="s">
        <v>797</v>
      </c>
      <c r="L185" s="22" t="s">
        <v>40</v>
      </c>
      <c r="M185" s="21" t="s">
        <v>156</v>
      </c>
      <c r="N185" s="13" t="s">
        <v>106</v>
      </c>
      <c r="O185" s="23" t="n">
        <v>11.1</v>
      </c>
      <c r="P185" s="13" t="n">
        <v>2</v>
      </c>
      <c r="Q185" s="24" t="n">
        <v>46310.4645833333</v>
      </c>
      <c r="R185" s="22" t="s">
        <v>40</v>
      </c>
      <c r="S185" s="13" t="s">
        <v>107</v>
      </c>
      <c r="T185" s="13" t="str">
        <f aca="false">IF(S185="Oui",IF(R185=L185,"Identique","Changé"),"")</f>
        <v>Identique</v>
      </c>
    </row>
    <row r="186" customFormat="false" ht="35.05" hidden="false" customHeight="false" outlineLevel="0" collapsed="false">
      <c r="A186" s="13" t="s">
        <v>798</v>
      </c>
      <c r="B186" s="13" t="s">
        <v>788</v>
      </c>
      <c r="C186" s="13" t="n">
        <v>5</v>
      </c>
      <c r="D186" s="13" t="s">
        <v>97</v>
      </c>
      <c r="E186" s="13" t="s">
        <v>128</v>
      </c>
      <c r="F186" s="13" t="s">
        <v>256</v>
      </c>
      <c r="G186" s="13" t="s">
        <v>129</v>
      </c>
      <c r="H186" s="13" t="s">
        <v>101</v>
      </c>
      <c r="I186" s="21" t="s">
        <v>319</v>
      </c>
      <c r="J186" s="21" t="s">
        <v>131</v>
      </c>
      <c r="K186" s="21" t="s">
        <v>799</v>
      </c>
      <c r="L186" s="22" t="s">
        <v>36</v>
      </c>
      <c r="M186" s="21" t="s">
        <v>120</v>
      </c>
      <c r="N186" s="13" t="s">
        <v>106</v>
      </c>
      <c r="O186" s="23" t="n">
        <v>15.92</v>
      </c>
      <c r="P186" s="13" t="n">
        <v>2</v>
      </c>
      <c r="Q186" s="24" t="n">
        <v>46310.4648726852</v>
      </c>
      <c r="R186" s="22" t="s">
        <v>36</v>
      </c>
      <c r="S186" s="13" t="s">
        <v>107</v>
      </c>
      <c r="T186" s="13" t="str">
        <f aca="false">IF(S186="Oui",IF(R186=L186,"Identique","Changé"),"")</f>
        <v>Identique</v>
      </c>
    </row>
    <row r="187" customFormat="false" ht="23.85" hidden="false" customHeight="false" outlineLevel="0" collapsed="false">
      <c r="A187" s="13" t="s">
        <v>800</v>
      </c>
      <c r="B187" s="13" t="s">
        <v>801</v>
      </c>
      <c r="C187" s="13" t="n">
        <v>1</v>
      </c>
      <c r="D187" s="13" t="s">
        <v>135</v>
      </c>
      <c r="E187" s="13" t="s">
        <v>114</v>
      </c>
      <c r="F187" s="13" t="s">
        <v>802</v>
      </c>
      <c r="G187" s="13" t="s">
        <v>116</v>
      </c>
      <c r="H187" s="13" t="s">
        <v>101</v>
      </c>
      <c r="I187" s="21" t="s">
        <v>803</v>
      </c>
      <c r="J187" s="21" t="s">
        <v>138</v>
      </c>
      <c r="K187" s="21" t="s">
        <v>804</v>
      </c>
      <c r="L187" s="22" t="s">
        <v>36</v>
      </c>
      <c r="M187" s="21" t="s">
        <v>120</v>
      </c>
      <c r="N187" s="13" t="s">
        <v>106</v>
      </c>
      <c r="O187" s="23" t="n">
        <v>40.62</v>
      </c>
      <c r="P187" s="13" t="n">
        <v>2</v>
      </c>
      <c r="Q187" s="24" t="n">
        <v>46310.4701157407</v>
      </c>
      <c r="R187" s="22" t="s">
        <v>36</v>
      </c>
      <c r="S187" s="13" t="s">
        <v>107</v>
      </c>
      <c r="T187" s="13" t="str">
        <f aca="false">IF(S187="Oui",IF(R187=L187,"Identique","Changé"),"")</f>
        <v>Identique</v>
      </c>
    </row>
    <row r="188" customFormat="false" ht="23.85" hidden="false" customHeight="false" outlineLevel="0" collapsed="false">
      <c r="A188" s="13" t="s">
        <v>805</v>
      </c>
      <c r="B188" s="13" t="s">
        <v>801</v>
      </c>
      <c r="C188" s="13" t="n">
        <v>2</v>
      </c>
      <c r="D188" s="13" t="s">
        <v>135</v>
      </c>
      <c r="E188" s="13" t="s">
        <v>128</v>
      </c>
      <c r="F188" s="13" t="s">
        <v>802</v>
      </c>
      <c r="G188" s="13" t="s">
        <v>193</v>
      </c>
      <c r="H188" s="13" t="s">
        <v>101</v>
      </c>
      <c r="I188" s="21" t="s">
        <v>249</v>
      </c>
      <c r="J188" s="21" t="s">
        <v>195</v>
      </c>
      <c r="K188" s="21" t="s">
        <v>806</v>
      </c>
      <c r="L188" s="22" t="s">
        <v>36</v>
      </c>
      <c r="M188" s="21" t="s">
        <v>120</v>
      </c>
      <c r="N188" s="13" t="s">
        <v>106</v>
      </c>
      <c r="O188" s="23" t="n">
        <v>17.02</v>
      </c>
      <c r="P188" s="13" t="n">
        <v>2</v>
      </c>
      <c r="Q188" s="24" t="n">
        <v>46310.4704050926</v>
      </c>
      <c r="R188" s="22" t="s">
        <v>36</v>
      </c>
      <c r="S188" s="13" t="s">
        <v>107</v>
      </c>
      <c r="T188" s="13" t="str">
        <f aca="false">IF(S188="Oui",IF(R188=L188,"Identique","Changé"),"")</f>
        <v>Identique</v>
      </c>
    </row>
    <row r="189" customFormat="false" ht="23.85" hidden="false" customHeight="false" outlineLevel="0" collapsed="false">
      <c r="A189" s="13" t="s">
        <v>807</v>
      </c>
      <c r="B189" s="13" t="s">
        <v>801</v>
      </c>
      <c r="C189" s="13" t="n">
        <v>3</v>
      </c>
      <c r="D189" s="13" t="s">
        <v>135</v>
      </c>
      <c r="E189" s="13" t="s">
        <v>114</v>
      </c>
      <c r="F189" s="13" t="s">
        <v>802</v>
      </c>
      <c r="G189" s="13" t="s">
        <v>146</v>
      </c>
      <c r="H189" s="13" t="s">
        <v>101</v>
      </c>
      <c r="I189" s="21" t="s">
        <v>653</v>
      </c>
      <c r="J189" s="21" t="s">
        <v>148</v>
      </c>
      <c r="K189" s="21" t="s">
        <v>808</v>
      </c>
      <c r="L189" s="22" t="s">
        <v>36</v>
      </c>
      <c r="M189" s="21" t="s">
        <v>120</v>
      </c>
      <c r="N189" s="13" t="s">
        <v>106</v>
      </c>
      <c r="O189" s="23" t="n">
        <v>11.12</v>
      </c>
      <c r="P189" s="13" t="n">
        <v>2</v>
      </c>
      <c r="Q189" s="24" t="n">
        <v>46310.4706365741</v>
      </c>
      <c r="R189" s="22" t="s">
        <v>36</v>
      </c>
      <c r="S189" s="13" t="s">
        <v>107</v>
      </c>
      <c r="T189" s="13" t="str">
        <f aca="false">IF(S189="Oui",IF(R189=L189,"Identique","Changé"),"")</f>
        <v>Identique</v>
      </c>
    </row>
    <row r="190" customFormat="false" ht="35.05" hidden="false" customHeight="false" outlineLevel="0" collapsed="false">
      <c r="A190" s="13" t="s">
        <v>809</v>
      </c>
      <c r="B190" s="13" t="s">
        <v>801</v>
      </c>
      <c r="C190" s="13" t="n">
        <v>4</v>
      </c>
      <c r="D190" s="13" t="s">
        <v>135</v>
      </c>
      <c r="E190" s="13" t="s">
        <v>98</v>
      </c>
      <c r="F190" s="13" t="s">
        <v>802</v>
      </c>
      <c r="G190" s="13" t="s">
        <v>151</v>
      </c>
      <c r="H190" s="13" t="s">
        <v>152</v>
      </c>
      <c r="I190" s="21" t="s">
        <v>810</v>
      </c>
      <c r="J190" s="21" t="s">
        <v>154</v>
      </c>
      <c r="K190" s="21" t="s">
        <v>811</v>
      </c>
      <c r="L190" s="22" t="s">
        <v>40</v>
      </c>
      <c r="M190" s="21" t="s">
        <v>156</v>
      </c>
      <c r="N190" s="13" t="s">
        <v>106</v>
      </c>
      <c r="O190" s="23" t="n">
        <v>11.32</v>
      </c>
      <c r="P190" s="13" t="n">
        <v>2</v>
      </c>
      <c r="Q190" s="24" t="n">
        <v>46310.4708796296</v>
      </c>
      <c r="R190" s="22" t="s">
        <v>40</v>
      </c>
      <c r="S190" s="13" t="s">
        <v>107</v>
      </c>
      <c r="T190" s="13" t="str">
        <f aca="false">IF(S190="Oui",IF(R190=L190,"Identique","Changé"),"")</f>
        <v>Identique</v>
      </c>
    </row>
    <row r="191" customFormat="false" ht="46.25" hidden="false" customHeight="false" outlineLevel="0" collapsed="false">
      <c r="A191" s="13" t="s">
        <v>812</v>
      </c>
      <c r="B191" s="13" t="s">
        <v>801</v>
      </c>
      <c r="C191" s="13" t="n">
        <v>5</v>
      </c>
      <c r="D191" s="13" t="s">
        <v>135</v>
      </c>
      <c r="E191" s="13" t="s">
        <v>128</v>
      </c>
      <c r="F191" s="13" t="s">
        <v>802</v>
      </c>
      <c r="G191" s="13" t="s">
        <v>204</v>
      </c>
      <c r="H191" s="13" t="s">
        <v>101</v>
      </c>
      <c r="I191" s="21" t="s">
        <v>322</v>
      </c>
      <c r="J191" s="21" t="s">
        <v>206</v>
      </c>
      <c r="K191" s="21" t="s">
        <v>813</v>
      </c>
      <c r="L191" s="22" t="s">
        <v>36</v>
      </c>
      <c r="M191" s="21" t="s">
        <v>120</v>
      </c>
      <c r="N191" s="13" t="s">
        <v>106</v>
      </c>
      <c r="O191" s="23" t="n">
        <v>197.54</v>
      </c>
      <c r="P191" s="13" t="n">
        <v>2</v>
      </c>
      <c r="Q191" s="24" t="n">
        <v>46310.4732638889</v>
      </c>
      <c r="R191" s="22" t="s">
        <v>36</v>
      </c>
      <c r="S191" s="13" t="s">
        <v>107</v>
      </c>
      <c r="T191" s="13" t="str">
        <f aca="false">IF(S191="Oui",IF(R191=L191,"Identique","Changé"),"")</f>
        <v>Identique</v>
      </c>
    </row>
    <row r="192" customFormat="false" ht="57.45" hidden="false" customHeight="false" outlineLevel="0" collapsed="false">
      <c r="A192" s="13" t="s">
        <v>814</v>
      </c>
      <c r="B192" s="13" t="s">
        <v>815</v>
      </c>
      <c r="C192" s="13" t="n">
        <v>1</v>
      </c>
      <c r="D192" s="13" t="s">
        <v>97</v>
      </c>
      <c r="E192" s="13" t="s">
        <v>128</v>
      </c>
      <c r="F192" s="13" t="s">
        <v>816</v>
      </c>
      <c r="G192" s="13" t="s">
        <v>193</v>
      </c>
      <c r="H192" s="13" t="s">
        <v>101</v>
      </c>
      <c r="I192" s="21" t="s">
        <v>817</v>
      </c>
      <c r="J192" s="21" t="s">
        <v>195</v>
      </c>
      <c r="K192" s="21" t="s">
        <v>818</v>
      </c>
      <c r="L192" s="22" t="s">
        <v>36</v>
      </c>
      <c r="M192" s="21" t="s">
        <v>120</v>
      </c>
      <c r="N192" s="13" t="s">
        <v>106</v>
      </c>
      <c r="O192" s="23" t="n">
        <v>49.48</v>
      </c>
      <c r="P192" s="13" t="n">
        <v>1</v>
      </c>
      <c r="Q192" s="24" t="n">
        <v>46310.4739930556</v>
      </c>
      <c r="R192" s="22" t="s">
        <v>36</v>
      </c>
      <c r="S192" s="13" t="s">
        <v>107</v>
      </c>
      <c r="T192" s="13" t="str">
        <f aca="false">IF(S192="Oui",IF(R192=L192,"Identique","Changé"),"")</f>
        <v>Identique</v>
      </c>
    </row>
    <row r="193" customFormat="false" ht="57.45" hidden="false" customHeight="false" outlineLevel="0" collapsed="false">
      <c r="A193" s="13" t="s">
        <v>819</v>
      </c>
      <c r="B193" s="13" t="s">
        <v>815</v>
      </c>
      <c r="C193" s="13" t="n">
        <v>2</v>
      </c>
      <c r="D193" s="13" t="s">
        <v>97</v>
      </c>
      <c r="E193" s="13" t="s">
        <v>171</v>
      </c>
      <c r="F193" s="13" t="s">
        <v>816</v>
      </c>
      <c r="G193" s="13" t="s">
        <v>172</v>
      </c>
      <c r="H193" s="13" t="s">
        <v>101</v>
      </c>
      <c r="I193" s="21" t="s">
        <v>820</v>
      </c>
      <c r="J193" s="21" t="s">
        <v>821</v>
      </c>
      <c r="K193" s="21" t="s">
        <v>822</v>
      </c>
      <c r="L193" s="22" t="s">
        <v>37</v>
      </c>
      <c r="M193" s="21" t="s">
        <v>163</v>
      </c>
      <c r="N193" s="13" t="s">
        <v>106</v>
      </c>
      <c r="O193" s="23" t="n">
        <v>23.86</v>
      </c>
      <c r="P193" s="13" t="n">
        <v>1</v>
      </c>
      <c r="Q193" s="24" t="n">
        <v>46310.4743634259</v>
      </c>
      <c r="R193" s="22" t="s">
        <v>37</v>
      </c>
      <c r="S193" s="13" t="s">
        <v>107</v>
      </c>
      <c r="T193" s="13" t="str">
        <f aca="false">IF(S193="Oui",IF(R193=L193,"Identique","Changé"),"")</f>
        <v>Identique</v>
      </c>
    </row>
    <row r="194" customFormat="false" ht="57.45" hidden="false" customHeight="false" outlineLevel="0" collapsed="false">
      <c r="A194" s="13" t="s">
        <v>823</v>
      </c>
      <c r="B194" s="13" t="s">
        <v>815</v>
      </c>
      <c r="C194" s="13" t="n">
        <v>3</v>
      </c>
      <c r="D194" s="13" t="s">
        <v>97</v>
      </c>
      <c r="E194" s="13" t="s">
        <v>158</v>
      </c>
      <c r="F194" s="13" t="s">
        <v>816</v>
      </c>
      <c r="G194" s="13" t="s">
        <v>159</v>
      </c>
      <c r="H194" s="13" t="s">
        <v>101</v>
      </c>
      <c r="I194" s="21" t="s">
        <v>824</v>
      </c>
      <c r="J194" s="21" t="s">
        <v>178</v>
      </c>
      <c r="K194" s="21" t="s">
        <v>825</v>
      </c>
      <c r="L194" s="22" t="s">
        <v>37</v>
      </c>
      <c r="M194" s="21" t="s">
        <v>163</v>
      </c>
      <c r="N194" s="13" t="s">
        <v>106</v>
      </c>
      <c r="O194" s="23" t="n">
        <v>15.19</v>
      </c>
      <c r="P194" s="13" t="n">
        <v>1</v>
      </c>
      <c r="Q194" s="24" t="n">
        <v>46310.4746412037</v>
      </c>
      <c r="R194" s="22" t="s">
        <v>37</v>
      </c>
      <c r="S194" s="13" t="s">
        <v>107</v>
      </c>
      <c r="T194" s="13" t="str">
        <f aca="false">IF(S194="Oui",IF(R194=L194,"Identique","Changé"),"")</f>
        <v>Identique</v>
      </c>
    </row>
    <row r="195" customFormat="false" ht="46.25" hidden="false" customHeight="false" outlineLevel="0" collapsed="false">
      <c r="A195" s="13" t="s">
        <v>826</v>
      </c>
      <c r="B195" s="13" t="s">
        <v>815</v>
      </c>
      <c r="C195" s="13" t="n">
        <v>4</v>
      </c>
      <c r="D195" s="13" t="s">
        <v>97</v>
      </c>
      <c r="E195" s="13" t="s">
        <v>128</v>
      </c>
      <c r="F195" s="13" t="s">
        <v>816</v>
      </c>
      <c r="G195" s="13" t="s">
        <v>204</v>
      </c>
      <c r="H195" s="13" t="s">
        <v>101</v>
      </c>
      <c r="I195" s="21" t="s">
        <v>322</v>
      </c>
      <c r="J195" s="21" t="s">
        <v>206</v>
      </c>
      <c r="K195" s="21" t="s">
        <v>827</v>
      </c>
      <c r="L195" s="22" t="s">
        <v>36</v>
      </c>
      <c r="M195" s="21" t="s">
        <v>120</v>
      </c>
      <c r="N195" s="13" t="s">
        <v>106</v>
      </c>
      <c r="O195" s="23" t="n">
        <v>15.22</v>
      </c>
      <c r="P195" s="13" t="n">
        <v>1</v>
      </c>
      <c r="Q195" s="24" t="n">
        <v>46310.4749189815</v>
      </c>
      <c r="R195" s="22" t="s">
        <v>36</v>
      </c>
      <c r="S195" s="13" t="s">
        <v>107</v>
      </c>
      <c r="T195" s="13" t="str">
        <f aca="false">IF(S195="Oui",IF(R195=L195,"Identique","Changé"),"")</f>
        <v>Identique</v>
      </c>
    </row>
    <row r="196" customFormat="false" ht="46.25" hidden="false" customHeight="false" outlineLevel="0" collapsed="false">
      <c r="A196" s="13" t="s">
        <v>828</v>
      </c>
      <c r="B196" s="13" t="s">
        <v>815</v>
      </c>
      <c r="C196" s="13" t="n">
        <v>5</v>
      </c>
      <c r="D196" s="13" t="s">
        <v>97</v>
      </c>
      <c r="E196" s="13" t="s">
        <v>185</v>
      </c>
      <c r="F196" s="13" t="s">
        <v>816</v>
      </c>
      <c r="G196" s="13" t="s">
        <v>186</v>
      </c>
      <c r="H196" s="13" t="s">
        <v>101</v>
      </c>
      <c r="I196" s="21" t="s">
        <v>689</v>
      </c>
      <c r="J196" s="21" t="s">
        <v>188</v>
      </c>
      <c r="K196" s="21" t="s">
        <v>829</v>
      </c>
      <c r="L196" s="22" t="s">
        <v>36</v>
      </c>
      <c r="M196" s="21" t="s">
        <v>120</v>
      </c>
      <c r="N196" s="13" t="s">
        <v>106</v>
      </c>
      <c r="O196" s="23" t="n">
        <v>10.02</v>
      </c>
      <c r="P196" s="13" t="n">
        <v>1</v>
      </c>
      <c r="Q196" s="24" t="n">
        <v>46310.4751388889</v>
      </c>
      <c r="R196" s="22" t="s">
        <v>36</v>
      </c>
      <c r="S196" s="13" t="s">
        <v>107</v>
      </c>
      <c r="T196" s="13" t="str">
        <f aca="false">IF(S196="Oui",IF(R196=L196,"Identique","Changé"),"")</f>
        <v>Identique</v>
      </c>
    </row>
    <row r="197" customFormat="false" ht="57.45" hidden="false" customHeight="false" outlineLevel="0" collapsed="false">
      <c r="A197" s="13" t="s">
        <v>830</v>
      </c>
      <c r="B197" s="13" t="s">
        <v>831</v>
      </c>
      <c r="C197" s="13" t="n">
        <v>1</v>
      </c>
      <c r="D197" s="13" t="s">
        <v>135</v>
      </c>
      <c r="E197" s="13" t="s">
        <v>128</v>
      </c>
      <c r="F197" s="13" t="s">
        <v>832</v>
      </c>
      <c r="G197" s="13" t="s">
        <v>193</v>
      </c>
      <c r="H197" s="13" t="s">
        <v>101</v>
      </c>
      <c r="I197" s="21" t="s">
        <v>833</v>
      </c>
      <c r="J197" s="21" t="s">
        <v>195</v>
      </c>
      <c r="K197" s="21" t="s">
        <v>834</v>
      </c>
      <c r="L197" s="22" t="s">
        <v>36</v>
      </c>
      <c r="M197" s="21" t="s">
        <v>120</v>
      </c>
      <c r="N197" s="13" t="s">
        <v>106</v>
      </c>
      <c r="O197" s="23" t="n">
        <v>40.17</v>
      </c>
      <c r="P197" s="13" t="n">
        <v>2</v>
      </c>
      <c r="Q197" s="24" t="n">
        <v>46310.4803587963</v>
      </c>
      <c r="R197" s="22" t="s">
        <v>36</v>
      </c>
      <c r="S197" s="13" t="s">
        <v>107</v>
      </c>
      <c r="T197" s="13" t="str">
        <f aca="false">IF(S197="Oui",IF(R197=L197,"Identique","Changé"),"")</f>
        <v>Identique</v>
      </c>
    </row>
    <row r="198" customFormat="false" ht="46.25" hidden="false" customHeight="false" outlineLevel="0" collapsed="false">
      <c r="A198" s="13" t="s">
        <v>835</v>
      </c>
      <c r="B198" s="13" t="s">
        <v>831</v>
      </c>
      <c r="C198" s="13" t="n">
        <v>2</v>
      </c>
      <c r="D198" s="13" t="s">
        <v>135</v>
      </c>
      <c r="E198" s="13" t="s">
        <v>128</v>
      </c>
      <c r="F198" s="13" t="s">
        <v>832</v>
      </c>
      <c r="G198" s="13" t="s">
        <v>129</v>
      </c>
      <c r="H198" s="13" t="s">
        <v>101</v>
      </c>
      <c r="I198" s="21" t="s">
        <v>319</v>
      </c>
      <c r="J198" s="21" t="s">
        <v>131</v>
      </c>
      <c r="K198" s="21" t="s">
        <v>836</v>
      </c>
      <c r="L198" s="22" t="s">
        <v>36</v>
      </c>
      <c r="M198" s="21" t="s">
        <v>120</v>
      </c>
      <c r="N198" s="13" t="s">
        <v>106</v>
      </c>
      <c r="O198" s="23" t="n">
        <v>14.03</v>
      </c>
      <c r="P198" s="13" t="n">
        <v>2</v>
      </c>
      <c r="Q198" s="24" t="n">
        <v>46310.480625</v>
      </c>
      <c r="R198" s="22" t="s">
        <v>36</v>
      </c>
      <c r="S198" s="13" t="s">
        <v>107</v>
      </c>
      <c r="T198" s="13" t="str">
        <f aca="false">IF(S198="Oui",IF(R198=L198,"Identique","Changé"),"")</f>
        <v>Identique</v>
      </c>
    </row>
    <row r="199" customFormat="false" ht="46.25" hidden="false" customHeight="false" outlineLevel="0" collapsed="false">
      <c r="A199" s="13" t="s">
        <v>837</v>
      </c>
      <c r="B199" s="13" t="s">
        <v>831</v>
      </c>
      <c r="C199" s="13" t="n">
        <v>3</v>
      </c>
      <c r="D199" s="13" t="s">
        <v>135</v>
      </c>
      <c r="E199" s="13" t="s">
        <v>128</v>
      </c>
      <c r="F199" s="13" t="s">
        <v>832</v>
      </c>
      <c r="G199" s="13" t="s">
        <v>204</v>
      </c>
      <c r="H199" s="13" t="s">
        <v>101</v>
      </c>
      <c r="I199" s="21" t="s">
        <v>322</v>
      </c>
      <c r="J199" s="21" t="s">
        <v>206</v>
      </c>
      <c r="K199" s="21" t="s">
        <v>838</v>
      </c>
      <c r="L199" s="22" t="s">
        <v>36</v>
      </c>
      <c r="M199" s="21" t="s">
        <v>120</v>
      </c>
      <c r="N199" s="13" t="s">
        <v>106</v>
      </c>
      <c r="O199" s="23" t="n">
        <v>14.23</v>
      </c>
      <c r="P199" s="13" t="n">
        <v>2</v>
      </c>
      <c r="Q199" s="24" t="n">
        <v>46310.4808912037</v>
      </c>
      <c r="R199" s="22" t="s">
        <v>36</v>
      </c>
      <c r="S199" s="13" t="s">
        <v>107</v>
      </c>
      <c r="T199" s="13" t="str">
        <f aca="false">IF(S199="Oui",IF(R199=L199,"Identique","Changé"),"")</f>
        <v>Identique</v>
      </c>
    </row>
    <row r="200" customFormat="false" ht="46.25" hidden="false" customHeight="false" outlineLevel="0" collapsed="false">
      <c r="A200" s="13" t="s">
        <v>839</v>
      </c>
      <c r="B200" s="13" t="s">
        <v>831</v>
      </c>
      <c r="C200" s="13" t="n">
        <v>4</v>
      </c>
      <c r="D200" s="13" t="s">
        <v>135</v>
      </c>
      <c r="E200" s="13" t="s">
        <v>128</v>
      </c>
      <c r="F200" s="13" t="s">
        <v>832</v>
      </c>
      <c r="G200" s="13" t="s">
        <v>209</v>
      </c>
      <c r="H200" s="13" t="s">
        <v>101</v>
      </c>
      <c r="I200" s="21" t="s">
        <v>840</v>
      </c>
      <c r="J200" s="21" t="s">
        <v>447</v>
      </c>
      <c r="K200" s="21" t="s">
        <v>841</v>
      </c>
      <c r="L200" s="22" t="s">
        <v>36</v>
      </c>
      <c r="M200" s="21" t="s">
        <v>120</v>
      </c>
      <c r="N200" s="13" t="s">
        <v>106</v>
      </c>
      <c r="O200" s="23" t="n">
        <v>13.41</v>
      </c>
      <c r="P200" s="13" t="n">
        <v>2</v>
      </c>
      <c r="Q200" s="24" t="n">
        <v>46310.4811458333</v>
      </c>
      <c r="R200" s="22" t="s">
        <v>36</v>
      </c>
      <c r="S200" s="13" t="s">
        <v>107</v>
      </c>
      <c r="T200" s="13" t="str">
        <f aca="false">IF(S200="Oui",IF(R200=L200,"Identique","Changé"),"")</f>
        <v>Identique</v>
      </c>
    </row>
    <row r="201" customFormat="false" ht="46.25" hidden="false" customHeight="false" outlineLevel="0" collapsed="false">
      <c r="A201" s="13" t="s">
        <v>842</v>
      </c>
      <c r="B201" s="13" t="s">
        <v>831</v>
      </c>
      <c r="C201" s="13" t="n">
        <v>5</v>
      </c>
      <c r="D201" s="13" t="s">
        <v>135</v>
      </c>
      <c r="E201" s="13" t="s">
        <v>128</v>
      </c>
      <c r="F201" s="13" t="s">
        <v>832</v>
      </c>
      <c r="G201" s="13" t="s">
        <v>348</v>
      </c>
      <c r="H201" s="13" t="s">
        <v>101</v>
      </c>
      <c r="I201" s="21" t="s">
        <v>843</v>
      </c>
      <c r="J201" s="21" t="s">
        <v>131</v>
      </c>
      <c r="K201" s="21" t="s">
        <v>844</v>
      </c>
      <c r="L201" s="22" t="s">
        <v>36</v>
      </c>
      <c r="M201" s="21" t="s">
        <v>120</v>
      </c>
      <c r="N201" s="13" t="s">
        <v>106</v>
      </c>
      <c r="O201" s="23" t="n">
        <v>15.22</v>
      </c>
      <c r="P201" s="13" t="n">
        <v>2</v>
      </c>
      <c r="Q201" s="24" t="n">
        <v>46310.4814236111</v>
      </c>
      <c r="R201" s="22" t="s">
        <v>36</v>
      </c>
      <c r="S201" s="13" t="s">
        <v>107</v>
      </c>
      <c r="T201" s="13" t="str">
        <f aca="false">IF(S201="Oui",IF(R201=L201,"Identique","Changé"),"")</f>
        <v>Identique</v>
      </c>
    </row>
    <row r="202" customFormat="false" ht="46.25" hidden="false" customHeight="false" outlineLevel="0" collapsed="false">
      <c r="A202" s="13" t="s">
        <v>845</v>
      </c>
      <c r="B202" s="13" t="s">
        <v>846</v>
      </c>
      <c r="C202" s="13" t="n">
        <v>1</v>
      </c>
      <c r="D202" s="13" t="s">
        <v>97</v>
      </c>
      <c r="E202" s="13" t="s">
        <v>98</v>
      </c>
      <c r="F202" s="13" t="s">
        <v>409</v>
      </c>
      <c r="G202" s="13" t="s">
        <v>100</v>
      </c>
      <c r="H202" s="13" t="s">
        <v>101</v>
      </c>
      <c r="I202" s="21" t="s">
        <v>847</v>
      </c>
      <c r="J202" s="21" t="s">
        <v>632</v>
      </c>
      <c r="K202" s="21" t="s">
        <v>848</v>
      </c>
      <c r="L202" s="22" t="s">
        <v>36</v>
      </c>
      <c r="M202" s="21" t="s">
        <v>105</v>
      </c>
      <c r="N202" s="13" t="s">
        <v>106</v>
      </c>
      <c r="O202" s="23" t="n">
        <v>43.85</v>
      </c>
      <c r="P202" s="13" t="n">
        <v>3</v>
      </c>
      <c r="Q202" s="24" t="n">
        <v>46310.4916550926</v>
      </c>
      <c r="R202" s="22" t="s">
        <v>36</v>
      </c>
      <c r="S202" s="13" t="s">
        <v>107</v>
      </c>
      <c r="T202" s="13" t="str">
        <f aca="false">IF(S202="Oui",IF(R202=L202,"Identique","Changé"),"")</f>
        <v>Identique</v>
      </c>
    </row>
    <row r="203" customFormat="false" ht="35.05" hidden="false" customHeight="false" outlineLevel="0" collapsed="false">
      <c r="A203" s="13" t="s">
        <v>849</v>
      </c>
      <c r="B203" s="13" t="s">
        <v>846</v>
      </c>
      <c r="C203" s="13" t="n">
        <v>2</v>
      </c>
      <c r="D203" s="13" t="s">
        <v>97</v>
      </c>
      <c r="E203" s="13" t="s">
        <v>128</v>
      </c>
      <c r="F203" s="13" t="s">
        <v>409</v>
      </c>
      <c r="G203" s="13" t="s">
        <v>204</v>
      </c>
      <c r="H203" s="13" t="s">
        <v>101</v>
      </c>
      <c r="I203" s="21" t="s">
        <v>322</v>
      </c>
      <c r="J203" s="21" t="s">
        <v>206</v>
      </c>
      <c r="K203" s="21" t="s">
        <v>850</v>
      </c>
      <c r="L203" s="22" t="s">
        <v>36</v>
      </c>
      <c r="M203" s="21" t="s">
        <v>120</v>
      </c>
      <c r="N203" s="13" t="s">
        <v>106</v>
      </c>
      <c r="O203" s="23" t="n">
        <v>15.81</v>
      </c>
      <c r="P203" s="13" t="n">
        <v>3</v>
      </c>
      <c r="Q203" s="24" t="n">
        <v>46310.4919328704</v>
      </c>
      <c r="R203" s="22" t="s">
        <v>36</v>
      </c>
      <c r="S203" s="13" t="s">
        <v>107</v>
      </c>
      <c r="T203" s="13" t="str">
        <f aca="false">IF(S203="Oui",IF(R203=L203,"Identique","Changé"),"")</f>
        <v>Identique</v>
      </c>
    </row>
    <row r="204" customFormat="false" ht="46.25" hidden="false" customHeight="false" outlineLevel="0" collapsed="false">
      <c r="A204" s="13" t="s">
        <v>851</v>
      </c>
      <c r="B204" s="13" t="s">
        <v>846</v>
      </c>
      <c r="C204" s="13" t="n">
        <v>3</v>
      </c>
      <c r="D204" s="13" t="s">
        <v>97</v>
      </c>
      <c r="E204" s="13" t="s">
        <v>171</v>
      </c>
      <c r="F204" s="13" t="s">
        <v>664</v>
      </c>
      <c r="G204" s="13" t="s">
        <v>222</v>
      </c>
      <c r="H204" s="13" t="s">
        <v>101</v>
      </c>
      <c r="I204" s="21" t="s">
        <v>852</v>
      </c>
      <c r="J204" s="21" t="s">
        <v>334</v>
      </c>
      <c r="K204" s="21" t="s">
        <v>853</v>
      </c>
      <c r="L204" s="22" t="s">
        <v>36</v>
      </c>
      <c r="M204" s="21" t="s">
        <v>120</v>
      </c>
      <c r="N204" s="13" t="s">
        <v>106</v>
      </c>
      <c r="O204" s="23" t="n">
        <v>18.78</v>
      </c>
      <c r="P204" s="13" t="n">
        <v>3</v>
      </c>
      <c r="Q204" s="24" t="n">
        <v>46310.4922453704</v>
      </c>
      <c r="R204" s="22" t="s">
        <v>36</v>
      </c>
      <c r="S204" s="13" t="s">
        <v>107</v>
      </c>
      <c r="T204" s="13" t="str">
        <f aca="false">IF(S204="Oui",IF(R204=L204,"Identique","Changé"),"")</f>
        <v>Identique</v>
      </c>
    </row>
    <row r="205" customFormat="false" ht="35.05" hidden="false" customHeight="false" outlineLevel="0" collapsed="false">
      <c r="A205" s="13" t="s">
        <v>854</v>
      </c>
      <c r="B205" s="13" t="s">
        <v>846</v>
      </c>
      <c r="C205" s="13" t="n">
        <v>4</v>
      </c>
      <c r="D205" s="13" t="s">
        <v>97</v>
      </c>
      <c r="E205" s="13" t="s">
        <v>171</v>
      </c>
      <c r="F205" s="13" t="s">
        <v>664</v>
      </c>
      <c r="G205" s="13" t="s">
        <v>172</v>
      </c>
      <c r="H205" s="13" t="s">
        <v>101</v>
      </c>
      <c r="I205" s="21" t="s">
        <v>173</v>
      </c>
      <c r="J205" s="21" t="s">
        <v>228</v>
      </c>
      <c r="K205" s="21" t="s">
        <v>855</v>
      </c>
      <c r="L205" s="22" t="s">
        <v>36</v>
      </c>
      <c r="M205" s="21" t="s">
        <v>120</v>
      </c>
      <c r="N205" s="13" t="s">
        <v>106</v>
      </c>
      <c r="O205" s="23" t="n">
        <v>16.54</v>
      </c>
      <c r="P205" s="13" t="n">
        <v>3</v>
      </c>
      <c r="Q205" s="24" t="n">
        <v>46310.4925462963</v>
      </c>
      <c r="R205" s="22" t="s">
        <v>36</v>
      </c>
      <c r="S205" s="13" t="s">
        <v>107</v>
      </c>
      <c r="T205" s="13" t="str">
        <f aca="false">IF(S205="Oui",IF(R205=L205,"Identique","Changé"),"")</f>
        <v>Identique</v>
      </c>
    </row>
    <row r="206" customFormat="false" ht="35.05" hidden="false" customHeight="false" outlineLevel="0" collapsed="false">
      <c r="A206" s="13" t="s">
        <v>856</v>
      </c>
      <c r="B206" s="13" t="s">
        <v>846</v>
      </c>
      <c r="C206" s="13" t="n">
        <v>5</v>
      </c>
      <c r="D206" s="13" t="s">
        <v>97</v>
      </c>
      <c r="E206" s="13" t="s">
        <v>114</v>
      </c>
      <c r="F206" s="13" t="s">
        <v>409</v>
      </c>
      <c r="G206" s="13" t="s">
        <v>857</v>
      </c>
      <c r="H206" s="13" t="s">
        <v>101</v>
      </c>
      <c r="I206" s="21" t="s">
        <v>858</v>
      </c>
      <c r="J206" s="21" t="s">
        <v>284</v>
      </c>
      <c r="K206" s="21" t="s">
        <v>859</v>
      </c>
      <c r="L206" s="22" t="s">
        <v>36</v>
      </c>
      <c r="M206" s="21" t="s">
        <v>120</v>
      </c>
      <c r="N206" s="13" t="s">
        <v>106</v>
      </c>
      <c r="O206" s="23" t="n">
        <v>15.72</v>
      </c>
      <c r="P206" s="13" t="n">
        <v>3</v>
      </c>
      <c r="Q206" s="24" t="n">
        <v>46310.4928472222</v>
      </c>
      <c r="R206" s="22" t="s">
        <v>36</v>
      </c>
      <c r="S206" s="13" t="s">
        <v>107</v>
      </c>
      <c r="T206" s="13" t="str">
        <f aca="false">IF(S206="Oui",IF(R206=L206,"Identique","Changé"),"")</f>
        <v>Identique</v>
      </c>
    </row>
    <row r="207" customFormat="false" ht="35.05" hidden="false" customHeight="false" outlineLevel="0" collapsed="false">
      <c r="A207" s="13" t="s">
        <v>860</v>
      </c>
      <c r="B207" s="13" t="s">
        <v>861</v>
      </c>
      <c r="C207" s="13" t="n">
        <v>1</v>
      </c>
      <c r="D207" s="13" t="s">
        <v>135</v>
      </c>
      <c r="E207" s="13" t="s">
        <v>128</v>
      </c>
      <c r="F207" s="13" t="s">
        <v>862</v>
      </c>
      <c r="G207" s="13" t="s">
        <v>204</v>
      </c>
      <c r="H207" s="13" t="s">
        <v>101</v>
      </c>
      <c r="I207" s="21" t="s">
        <v>863</v>
      </c>
      <c r="J207" s="21" t="s">
        <v>206</v>
      </c>
      <c r="K207" s="21" t="s">
        <v>864</v>
      </c>
      <c r="L207" s="22" t="s">
        <v>36</v>
      </c>
      <c r="M207" s="21" t="s">
        <v>120</v>
      </c>
      <c r="N207" s="13" t="s">
        <v>106</v>
      </c>
      <c r="O207" s="23" t="n">
        <v>33.71</v>
      </c>
      <c r="P207" s="13" t="n">
        <v>1</v>
      </c>
      <c r="Q207" s="24" t="n">
        <v>46310.4934259259</v>
      </c>
      <c r="R207" s="22" t="s">
        <v>36</v>
      </c>
      <c r="S207" s="13" t="s">
        <v>107</v>
      </c>
      <c r="T207" s="13" t="str">
        <f aca="false">IF(S207="Oui",IF(R207=L207,"Identique","Changé"),"")</f>
        <v>Identique</v>
      </c>
    </row>
    <row r="208" customFormat="false" ht="35.05" hidden="false" customHeight="false" outlineLevel="0" collapsed="false">
      <c r="A208" s="13" t="s">
        <v>865</v>
      </c>
      <c r="B208" s="13" t="s">
        <v>861</v>
      </c>
      <c r="C208" s="13" t="n">
        <v>2</v>
      </c>
      <c r="D208" s="13" t="s">
        <v>135</v>
      </c>
      <c r="E208" s="13" t="s">
        <v>114</v>
      </c>
      <c r="F208" s="13" t="s">
        <v>862</v>
      </c>
      <c r="G208" s="13" t="s">
        <v>116</v>
      </c>
      <c r="H208" s="13" t="s">
        <v>101</v>
      </c>
      <c r="I208" s="21" t="s">
        <v>866</v>
      </c>
      <c r="J208" s="21" t="s">
        <v>138</v>
      </c>
      <c r="K208" s="21" t="s">
        <v>867</v>
      </c>
      <c r="L208" s="22" t="s">
        <v>36</v>
      </c>
      <c r="M208" s="21" t="s">
        <v>120</v>
      </c>
      <c r="N208" s="13" t="s">
        <v>106</v>
      </c>
      <c r="O208" s="23" t="n">
        <v>11.77</v>
      </c>
      <c r="P208" s="13" t="n">
        <v>1</v>
      </c>
      <c r="Q208" s="24" t="n">
        <v>46310.4936689815</v>
      </c>
      <c r="R208" s="22" t="s">
        <v>36</v>
      </c>
      <c r="S208" s="13" t="s">
        <v>107</v>
      </c>
      <c r="T208" s="13" t="str">
        <f aca="false">IF(S208="Oui",IF(R208=L208,"Identique","Changé"),"")</f>
        <v>Identique</v>
      </c>
    </row>
    <row r="209" customFormat="false" ht="23.85" hidden="false" customHeight="false" outlineLevel="0" collapsed="false">
      <c r="A209" s="13" t="s">
        <v>868</v>
      </c>
      <c r="B209" s="13" t="s">
        <v>861</v>
      </c>
      <c r="C209" s="13" t="n">
        <v>3</v>
      </c>
      <c r="D209" s="13" t="s">
        <v>135</v>
      </c>
      <c r="E209" s="13" t="s">
        <v>128</v>
      </c>
      <c r="F209" s="13" t="s">
        <v>862</v>
      </c>
      <c r="G209" s="13" t="s">
        <v>129</v>
      </c>
      <c r="H209" s="13" t="s">
        <v>101</v>
      </c>
      <c r="I209" s="21" t="s">
        <v>869</v>
      </c>
      <c r="J209" s="21" t="s">
        <v>199</v>
      </c>
      <c r="K209" s="21" t="s">
        <v>870</v>
      </c>
      <c r="L209" s="22" t="s">
        <v>36</v>
      </c>
      <c r="M209" s="21" t="s">
        <v>120</v>
      </c>
      <c r="N209" s="13" t="s">
        <v>106</v>
      </c>
      <c r="O209" s="23" t="n">
        <v>11.43</v>
      </c>
      <c r="P209" s="13" t="n">
        <v>1</v>
      </c>
      <c r="Q209" s="24" t="n">
        <v>46310.4939236111</v>
      </c>
      <c r="R209" s="22" t="s">
        <v>36</v>
      </c>
      <c r="S209" s="13" t="s">
        <v>107</v>
      </c>
      <c r="T209" s="13" t="str">
        <f aca="false">IF(S209="Oui",IF(R209=L209,"Identique","Changé"),"")</f>
        <v>Identique</v>
      </c>
    </row>
    <row r="210" customFormat="false" ht="35.05" hidden="false" customHeight="false" outlineLevel="0" collapsed="false">
      <c r="A210" s="13" t="s">
        <v>871</v>
      </c>
      <c r="B210" s="13" t="s">
        <v>861</v>
      </c>
      <c r="C210" s="13" t="n">
        <v>4</v>
      </c>
      <c r="D210" s="13" t="s">
        <v>135</v>
      </c>
      <c r="E210" s="13" t="s">
        <v>98</v>
      </c>
      <c r="F210" s="13" t="s">
        <v>862</v>
      </c>
      <c r="G210" s="13" t="s">
        <v>181</v>
      </c>
      <c r="H210" s="13" t="s">
        <v>152</v>
      </c>
      <c r="I210" s="21" t="s">
        <v>872</v>
      </c>
      <c r="J210" s="21" t="s">
        <v>154</v>
      </c>
      <c r="K210" s="21" t="s">
        <v>873</v>
      </c>
      <c r="L210" s="22" t="s">
        <v>40</v>
      </c>
      <c r="M210" s="21" t="s">
        <v>156</v>
      </c>
      <c r="N210" s="13" t="s">
        <v>106</v>
      </c>
      <c r="O210" s="23" t="n">
        <v>17.02</v>
      </c>
      <c r="P210" s="13" t="n">
        <v>1</v>
      </c>
      <c r="Q210" s="24" t="n">
        <v>46310.4942476852</v>
      </c>
      <c r="R210" s="22" t="s">
        <v>40</v>
      </c>
      <c r="S210" s="13" t="s">
        <v>107</v>
      </c>
      <c r="T210" s="13" t="str">
        <f aca="false">IF(S210="Oui",IF(R210=L210,"Identique","Changé"),"")</f>
        <v>Identique</v>
      </c>
    </row>
    <row r="211" customFormat="false" ht="35.05" hidden="false" customHeight="false" outlineLevel="0" collapsed="false">
      <c r="A211" s="13" t="s">
        <v>874</v>
      </c>
      <c r="B211" s="13" t="s">
        <v>861</v>
      </c>
      <c r="C211" s="13" t="n">
        <v>5</v>
      </c>
      <c r="D211" s="13" t="s">
        <v>135</v>
      </c>
      <c r="E211" s="13" t="s">
        <v>122</v>
      </c>
      <c r="F211" s="13" t="s">
        <v>862</v>
      </c>
      <c r="G211" s="13" t="s">
        <v>123</v>
      </c>
      <c r="H211" s="13" t="s">
        <v>101</v>
      </c>
      <c r="I211" s="21" t="s">
        <v>875</v>
      </c>
      <c r="J211" s="21" t="s">
        <v>125</v>
      </c>
      <c r="K211" s="21" t="s">
        <v>876</v>
      </c>
      <c r="L211" s="22" t="s">
        <v>36</v>
      </c>
      <c r="M211" s="21" t="s">
        <v>120</v>
      </c>
      <c r="N211" s="13" t="s">
        <v>106</v>
      </c>
      <c r="O211" s="23" t="n">
        <v>11.01</v>
      </c>
      <c r="P211" s="13" t="n">
        <v>1</v>
      </c>
      <c r="Q211" s="24" t="n">
        <v>46310.4945023148</v>
      </c>
      <c r="R211" s="22" t="s">
        <v>36</v>
      </c>
      <c r="S211" s="13" t="s">
        <v>107</v>
      </c>
      <c r="T211" s="13" t="str">
        <f aca="false">IF(S211="Oui",IF(R211=L211,"Identique","Changé"),"")</f>
        <v>Identique</v>
      </c>
    </row>
    <row r="212" customFormat="false" ht="35.05" hidden="false" customHeight="false" outlineLevel="0" collapsed="false">
      <c r="A212" s="13" t="s">
        <v>877</v>
      </c>
      <c r="B212" s="13" t="s">
        <v>878</v>
      </c>
      <c r="C212" s="13" t="n">
        <v>1</v>
      </c>
      <c r="D212" s="13" t="s">
        <v>97</v>
      </c>
      <c r="E212" s="13" t="s">
        <v>128</v>
      </c>
      <c r="F212" s="13" t="s">
        <v>339</v>
      </c>
      <c r="G212" s="13" t="s">
        <v>204</v>
      </c>
      <c r="H212" s="13" t="s">
        <v>101</v>
      </c>
      <c r="I212" s="21" t="s">
        <v>879</v>
      </c>
      <c r="J212" s="21" t="s">
        <v>206</v>
      </c>
      <c r="K212" s="21" t="s">
        <v>880</v>
      </c>
      <c r="L212" s="22" t="s">
        <v>36</v>
      </c>
      <c r="M212" s="21" t="s">
        <v>120</v>
      </c>
      <c r="N212" s="13" t="s">
        <v>106</v>
      </c>
      <c r="O212" s="23" t="n">
        <v>21.6</v>
      </c>
      <c r="P212" s="13" t="n">
        <v>1</v>
      </c>
      <c r="Q212" s="24" t="n">
        <v>46310.4949421296</v>
      </c>
      <c r="R212" s="22" t="s">
        <v>36</v>
      </c>
      <c r="S212" s="13" t="s">
        <v>107</v>
      </c>
      <c r="T212" s="13" t="str">
        <f aca="false">IF(S212="Oui",IF(R212=L212,"Identique","Changé"),"")</f>
        <v>Identique</v>
      </c>
    </row>
    <row r="213" customFormat="false" ht="35.05" hidden="false" customHeight="false" outlineLevel="0" collapsed="false">
      <c r="A213" s="13" t="s">
        <v>881</v>
      </c>
      <c r="B213" s="13" t="s">
        <v>878</v>
      </c>
      <c r="C213" s="13" t="n">
        <v>2</v>
      </c>
      <c r="D213" s="13" t="s">
        <v>97</v>
      </c>
      <c r="E213" s="13" t="s">
        <v>260</v>
      </c>
      <c r="F213" s="13" t="s">
        <v>339</v>
      </c>
      <c r="G213" s="13" t="s">
        <v>261</v>
      </c>
      <c r="H213" s="13" t="s">
        <v>101</v>
      </c>
      <c r="I213" s="21" t="s">
        <v>882</v>
      </c>
      <c r="J213" s="21" t="s">
        <v>263</v>
      </c>
      <c r="K213" s="21" t="s">
        <v>883</v>
      </c>
      <c r="L213" s="22" t="s">
        <v>36</v>
      </c>
      <c r="M213" s="21" t="s">
        <v>120</v>
      </c>
      <c r="N213" s="13" t="s">
        <v>106</v>
      </c>
      <c r="O213" s="23" t="n">
        <v>10.77</v>
      </c>
      <c r="P213" s="13" t="n">
        <v>1</v>
      </c>
      <c r="Q213" s="24" t="n">
        <v>46310.4951851852</v>
      </c>
      <c r="R213" s="22" t="s">
        <v>36</v>
      </c>
      <c r="S213" s="13" t="s">
        <v>107</v>
      </c>
      <c r="T213" s="13" t="str">
        <f aca="false">IF(S213="Oui",IF(R213=L213,"Identique","Changé"),"")</f>
        <v>Identique</v>
      </c>
    </row>
    <row r="214" customFormat="false" ht="35.05" hidden="false" customHeight="false" outlineLevel="0" collapsed="false">
      <c r="A214" s="13" t="s">
        <v>884</v>
      </c>
      <c r="B214" s="13" t="s">
        <v>878</v>
      </c>
      <c r="C214" s="13" t="n">
        <v>3</v>
      </c>
      <c r="D214" s="13" t="s">
        <v>97</v>
      </c>
      <c r="E214" s="13" t="s">
        <v>114</v>
      </c>
      <c r="F214" s="13" t="s">
        <v>339</v>
      </c>
      <c r="G214" s="13" t="s">
        <v>857</v>
      </c>
      <c r="H214" s="13" t="s">
        <v>101</v>
      </c>
      <c r="I214" s="21" t="s">
        <v>885</v>
      </c>
      <c r="J214" s="21" t="s">
        <v>284</v>
      </c>
      <c r="K214" s="21" t="s">
        <v>886</v>
      </c>
      <c r="L214" s="22" t="s">
        <v>36</v>
      </c>
      <c r="M214" s="21" t="s">
        <v>120</v>
      </c>
      <c r="N214" s="13" t="s">
        <v>106</v>
      </c>
      <c r="O214" s="23" t="n">
        <v>11</v>
      </c>
      <c r="P214" s="13" t="n">
        <v>1</v>
      </c>
      <c r="Q214" s="24" t="n">
        <v>46310.4954398148</v>
      </c>
      <c r="R214" s="22" t="s">
        <v>36</v>
      </c>
      <c r="S214" s="13" t="s">
        <v>107</v>
      </c>
      <c r="T214" s="13" t="str">
        <f aca="false">IF(S214="Oui",IF(R214=L214,"Identique","Changé"),"")</f>
        <v>Identique</v>
      </c>
    </row>
    <row r="215" customFormat="false" ht="57.45" hidden="false" customHeight="false" outlineLevel="0" collapsed="false">
      <c r="A215" s="13" t="s">
        <v>887</v>
      </c>
      <c r="B215" s="13" t="s">
        <v>878</v>
      </c>
      <c r="C215" s="13" t="n">
        <v>4</v>
      </c>
      <c r="D215" s="13" t="s">
        <v>97</v>
      </c>
      <c r="E215" s="13" t="s">
        <v>98</v>
      </c>
      <c r="F215" s="13" t="s">
        <v>339</v>
      </c>
      <c r="G215" s="13" t="s">
        <v>181</v>
      </c>
      <c r="H215" s="13" t="s">
        <v>152</v>
      </c>
      <c r="I215" s="21" t="s">
        <v>888</v>
      </c>
      <c r="J215" s="21" t="s">
        <v>154</v>
      </c>
      <c r="K215" s="21" t="s">
        <v>889</v>
      </c>
      <c r="L215" s="22" t="s">
        <v>40</v>
      </c>
      <c r="M215" s="21" t="s">
        <v>156</v>
      </c>
      <c r="N215" s="13" t="s">
        <v>106</v>
      </c>
      <c r="O215" s="23" t="n">
        <v>11.01</v>
      </c>
      <c r="P215" s="13" t="n">
        <v>1</v>
      </c>
      <c r="Q215" s="24" t="n">
        <v>46310.4956828704</v>
      </c>
      <c r="R215" s="22" t="s">
        <v>40</v>
      </c>
      <c r="S215" s="13" t="s">
        <v>107</v>
      </c>
      <c r="T215" s="13" t="str">
        <f aca="false">IF(S215="Oui",IF(R215=L215,"Identique","Changé"),"")</f>
        <v>Identique</v>
      </c>
    </row>
    <row r="216" customFormat="false" ht="23.85" hidden="false" customHeight="false" outlineLevel="0" collapsed="false">
      <c r="A216" s="13" t="s">
        <v>890</v>
      </c>
      <c r="B216" s="13" t="s">
        <v>878</v>
      </c>
      <c r="C216" s="13" t="n">
        <v>5</v>
      </c>
      <c r="D216" s="13" t="s">
        <v>97</v>
      </c>
      <c r="E216" s="13" t="s">
        <v>122</v>
      </c>
      <c r="F216" s="13" t="s">
        <v>339</v>
      </c>
      <c r="G216" s="13" t="s">
        <v>123</v>
      </c>
      <c r="H216" s="13" t="s">
        <v>101</v>
      </c>
      <c r="I216" s="21" t="s">
        <v>891</v>
      </c>
      <c r="J216" s="21" t="s">
        <v>125</v>
      </c>
      <c r="K216" s="21" t="s">
        <v>892</v>
      </c>
      <c r="L216" s="22" t="s">
        <v>36</v>
      </c>
      <c r="M216" s="21" t="s">
        <v>120</v>
      </c>
      <c r="N216" s="13" t="s">
        <v>106</v>
      </c>
      <c r="O216" s="23" t="n">
        <v>9.39</v>
      </c>
      <c r="P216" s="13" t="n">
        <v>1</v>
      </c>
      <c r="Q216" s="24" t="n">
        <v>46310.4959143519</v>
      </c>
      <c r="R216" s="22" t="s">
        <v>36</v>
      </c>
      <c r="S216" s="13" t="s">
        <v>107</v>
      </c>
      <c r="T216" s="13" t="str">
        <f aca="false">IF(S216="Oui",IF(R216=L216,"Identique","Changé"),"")</f>
        <v>Identique</v>
      </c>
    </row>
    <row r="217" customFormat="false" ht="35.05" hidden="false" customHeight="false" outlineLevel="0" collapsed="false">
      <c r="A217" s="13" t="s">
        <v>893</v>
      </c>
      <c r="B217" s="13" t="s">
        <v>894</v>
      </c>
      <c r="C217" s="13" t="n">
        <v>1</v>
      </c>
      <c r="D217" s="13" t="s">
        <v>135</v>
      </c>
      <c r="E217" s="13" t="s">
        <v>122</v>
      </c>
      <c r="F217" s="13" t="s">
        <v>895</v>
      </c>
      <c r="G217" s="13" t="s">
        <v>123</v>
      </c>
      <c r="H217" s="13" t="s">
        <v>101</v>
      </c>
      <c r="I217" s="21" t="s">
        <v>896</v>
      </c>
      <c r="J217" s="21" t="s">
        <v>125</v>
      </c>
      <c r="K217" s="21" t="s">
        <v>897</v>
      </c>
      <c r="L217" s="22" t="s">
        <v>36</v>
      </c>
      <c r="M217" s="21" t="s">
        <v>120</v>
      </c>
      <c r="N217" s="13" t="s">
        <v>106</v>
      </c>
      <c r="O217" s="23" t="n">
        <v>40.3</v>
      </c>
      <c r="P217" s="13" t="n">
        <v>1</v>
      </c>
      <c r="Q217" s="24" t="n">
        <v>46310.4965509259</v>
      </c>
      <c r="R217" s="22" t="s">
        <v>36</v>
      </c>
      <c r="S217" s="13" t="s">
        <v>107</v>
      </c>
      <c r="T217" s="13" t="str">
        <f aca="false">IF(S217="Oui",IF(R217=L217,"Identique","Changé"),"")</f>
        <v>Identique</v>
      </c>
    </row>
    <row r="218" customFormat="false" ht="46.25" hidden="false" customHeight="false" outlineLevel="0" collapsed="false">
      <c r="A218" s="13" t="s">
        <v>898</v>
      </c>
      <c r="B218" s="13" t="s">
        <v>894</v>
      </c>
      <c r="C218" s="13" t="n">
        <v>2</v>
      </c>
      <c r="D218" s="13" t="s">
        <v>135</v>
      </c>
      <c r="E218" s="13" t="s">
        <v>114</v>
      </c>
      <c r="F218" s="13" t="s">
        <v>895</v>
      </c>
      <c r="G218" s="13" t="s">
        <v>857</v>
      </c>
      <c r="H218" s="13" t="s">
        <v>101</v>
      </c>
      <c r="I218" s="21" t="s">
        <v>885</v>
      </c>
      <c r="J218" s="21" t="s">
        <v>899</v>
      </c>
      <c r="K218" s="21" t="s">
        <v>900</v>
      </c>
      <c r="L218" s="22" t="s">
        <v>36</v>
      </c>
      <c r="M218" s="21" t="s">
        <v>120</v>
      </c>
      <c r="N218" s="13" t="s">
        <v>106</v>
      </c>
      <c r="O218" s="23" t="n">
        <v>11.66</v>
      </c>
      <c r="P218" s="13" t="n">
        <v>1</v>
      </c>
      <c r="Q218" s="24" t="n">
        <v>46310.4968055556</v>
      </c>
      <c r="R218" s="22" t="s">
        <v>36</v>
      </c>
      <c r="S218" s="13" t="s">
        <v>107</v>
      </c>
      <c r="T218" s="13" t="str">
        <f aca="false">IF(S218="Oui",IF(R218=L218,"Identique","Changé"),"")</f>
        <v>Identique</v>
      </c>
    </row>
    <row r="219" customFormat="false" ht="57.45" hidden="false" customHeight="false" outlineLevel="0" collapsed="false">
      <c r="A219" s="13" t="s">
        <v>901</v>
      </c>
      <c r="B219" s="13" t="s">
        <v>894</v>
      </c>
      <c r="C219" s="13" t="n">
        <v>3</v>
      </c>
      <c r="D219" s="13" t="s">
        <v>135</v>
      </c>
      <c r="E219" s="13" t="s">
        <v>122</v>
      </c>
      <c r="F219" s="13" t="s">
        <v>895</v>
      </c>
      <c r="G219" s="13" t="s">
        <v>282</v>
      </c>
      <c r="H219" s="13" t="s">
        <v>101</v>
      </c>
      <c r="I219" s="21" t="s">
        <v>902</v>
      </c>
      <c r="J219" s="21" t="s">
        <v>512</v>
      </c>
      <c r="K219" s="21" t="s">
        <v>903</v>
      </c>
      <c r="L219" s="22" t="s">
        <v>36</v>
      </c>
      <c r="M219" s="21" t="s">
        <v>120</v>
      </c>
      <c r="N219" s="13" t="s">
        <v>106</v>
      </c>
      <c r="O219" s="23" t="n">
        <v>38.81</v>
      </c>
      <c r="P219" s="13" t="n">
        <v>1</v>
      </c>
      <c r="Q219" s="24" t="n">
        <v>46310.4973611111</v>
      </c>
      <c r="R219" s="22" t="s">
        <v>36</v>
      </c>
      <c r="S219" s="13" t="s">
        <v>107</v>
      </c>
      <c r="T219" s="13" t="str">
        <f aca="false">IF(S219="Oui",IF(R219=L219,"Identique","Changé"),"")</f>
        <v>Identique</v>
      </c>
    </row>
    <row r="220" customFormat="false" ht="57.45" hidden="false" customHeight="false" outlineLevel="0" collapsed="false">
      <c r="A220" s="13" t="s">
        <v>904</v>
      </c>
      <c r="B220" s="13" t="s">
        <v>894</v>
      </c>
      <c r="C220" s="13" t="n">
        <v>4</v>
      </c>
      <c r="D220" s="13" t="s">
        <v>135</v>
      </c>
      <c r="E220" s="13" t="s">
        <v>171</v>
      </c>
      <c r="F220" s="13" t="s">
        <v>895</v>
      </c>
      <c r="G220" s="13" t="s">
        <v>222</v>
      </c>
      <c r="H220" s="13" t="s">
        <v>101</v>
      </c>
      <c r="I220" s="21" t="s">
        <v>905</v>
      </c>
      <c r="J220" s="21" t="s">
        <v>561</v>
      </c>
      <c r="K220" s="21" t="s">
        <v>906</v>
      </c>
      <c r="L220" s="22" t="s">
        <v>36</v>
      </c>
      <c r="M220" s="21" t="s">
        <v>120</v>
      </c>
      <c r="N220" s="13" t="s">
        <v>106</v>
      </c>
      <c r="O220" s="23" t="n">
        <v>15.59</v>
      </c>
      <c r="P220" s="13" t="n">
        <v>1</v>
      </c>
      <c r="Q220" s="24" t="n">
        <v>46310.497662037</v>
      </c>
      <c r="R220" s="22" t="s">
        <v>36</v>
      </c>
      <c r="S220" s="13" t="s">
        <v>107</v>
      </c>
      <c r="T220" s="13" t="str">
        <f aca="false">IF(S220="Oui",IF(R220=L220,"Identique","Changé"),"")</f>
        <v>Identique</v>
      </c>
    </row>
    <row r="221" customFormat="false" ht="35.05" hidden="false" customHeight="false" outlineLevel="0" collapsed="false">
      <c r="A221" s="13" t="s">
        <v>907</v>
      </c>
      <c r="B221" s="13" t="s">
        <v>894</v>
      </c>
      <c r="C221" s="13" t="n">
        <v>5</v>
      </c>
      <c r="D221" s="13" t="s">
        <v>135</v>
      </c>
      <c r="E221" s="13" t="s">
        <v>171</v>
      </c>
      <c r="F221" s="13" t="s">
        <v>895</v>
      </c>
      <c r="G221" s="13" t="s">
        <v>908</v>
      </c>
      <c r="H221" s="13" t="s">
        <v>101</v>
      </c>
      <c r="I221" s="21" t="s">
        <v>909</v>
      </c>
      <c r="J221" s="21" t="s">
        <v>910</v>
      </c>
      <c r="K221" s="21" t="s">
        <v>911</v>
      </c>
      <c r="L221" s="22" t="s">
        <v>36</v>
      </c>
      <c r="M221" s="21" t="s">
        <v>120</v>
      </c>
      <c r="N221" s="13" t="s">
        <v>106</v>
      </c>
      <c r="O221" s="23" t="n">
        <v>10.73</v>
      </c>
      <c r="P221" s="13" t="n">
        <v>1</v>
      </c>
      <c r="Q221" s="24" t="n">
        <v>46310.4979050926</v>
      </c>
      <c r="R221" s="22" t="s">
        <v>36</v>
      </c>
      <c r="S221" s="13" t="s">
        <v>107</v>
      </c>
      <c r="T221" s="13" t="str">
        <f aca="false">IF(S221="Oui",IF(R221=L221,"Identique","Changé"),"")</f>
        <v>Identique</v>
      </c>
    </row>
    <row r="222" customFormat="false" ht="35.05" hidden="false" customHeight="false" outlineLevel="0" collapsed="false">
      <c r="A222" s="13" t="s">
        <v>912</v>
      </c>
      <c r="B222" s="13" t="s">
        <v>913</v>
      </c>
      <c r="C222" s="13" t="n">
        <v>1</v>
      </c>
      <c r="D222" s="13" t="s">
        <v>97</v>
      </c>
      <c r="E222" s="13" t="s">
        <v>114</v>
      </c>
      <c r="F222" s="13" t="s">
        <v>728</v>
      </c>
      <c r="G222" s="13" t="s">
        <v>857</v>
      </c>
      <c r="H222" s="13" t="s">
        <v>101</v>
      </c>
      <c r="I222" s="21" t="s">
        <v>914</v>
      </c>
      <c r="J222" s="21" t="s">
        <v>284</v>
      </c>
      <c r="K222" s="21" t="s">
        <v>915</v>
      </c>
      <c r="L222" s="22" t="s">
        <v>36</v>
      </c>
      <c r="M222" s="21" t="s">
        <v>120</v>
      </c>
      <c r="N222" s="13" t="s">
        <v>106</v>
      </c>
      <c r="O222" s="23" t="n">
        <v>38.27</v>
      </c>
      <c r="P222" s="13" t="n">
        <v>1</v>
      </c>
      <c r="Q222" s="24" t="n">
        <v>46310.4985416667</v>
      </c>
      <c r="R222" s="22" t="s">
        <v>36</v>
      </c>
      <c r="S222" s="13" t="s">
        <v>107</v>
      </c>
      <c r="T222" s="13" t="str">
        <f aca="false">IF(S222="Oui",IF(R222=L222,"Identique","Changé"),"")</f>
        <v>Identique</v>
      </c>
    </row>
    <row r="223" customFormat="false" ht="35.05" hidden="false" customHeight="false" outlineLevel="0" collapsed="false">
      <c r="A223" s="13" t="s">
        <v>916</v>
      </c>
      <c r="B223" s="13" t="s">
        <v>913</v>
      </c>
      <c r="C223" s="13" t="n">
        <v>2</v>
      </c>
      <c r="D223" s="13" t="s">
        <v>97</v>
      </c>
      <c r="E223" s="13" t="s">
        <v>98</v>
      </c>
      <c r="F223" s="13" t="s">
        <v>728</v>
      </c>
      <c r="G223" s="13" t="s">
        <v>109</v>
      </c>
      <c r="H223" s="13" t="s">
        <v>101</v>
      </c>
      <c r="I223" s="21" t="s">
        <v>917</v>
      </c>
      <c r="J223" s="21" t="s">
        <v>733</v>
      </c>
      <c r="K223" s="21" t="s">
        <v>918</v>
      </c>
      <c r="L223" s="22" t="s">
        <v>36</v>
      </c>
      <c r="M223" s="21" t="s">
        <v>105</v>
      </c>
      <c r="N223" s="13" t="s">
        <v>106</v>
      </c>
      <c r="O223" s="23" t="n">
        <v>19.28</v>
      </c>
      <c r="P223" s="13" t="n">
        <v>1</v>
      </c>
      <c r="Q223" s="24" t="n">
        <v>46310.4988773148</v>
      </c>
      <c r="R223" s="22" t="s">
        <v>36</v>
      </c>
      <c r="S223" s="13" t="s">
        <v>107</v>
      </c>
      <c r="T223" s="13" t="str">
        <f aca="false">IF(S223="Oui",IF(R223=L223,"Identique","Changé"),"")</f>
        <v>Identique</v>
      </c>
    </row>
    <row r="224" customFormat="false" ht="35.05" hidden="false" customHeight="false" outlineLevel="0" collapsed="false">
      <c r="A224" s="13" t="s">
        <v>919</v>
      </c>
      <c r="B224" s="13" t="s">
        <v>913</v>
      </c>
      <c r="C224" s="13" t="n">
        <v>3</v>
      </c>
      <c r="D224" s="13" t="s">
        <v>97</v>
      </c>
      <c r="E224" s="13" t="s">
        <v>171</v>
      </c>
      <c r="F224" s="13" t="s">
        <v>728</v>
      </c>
      <c r="G224" s="13" t="s">
        <v>222</v>
      </c>
      <c r="H224" s="13" t="s">
        <v>101</v>
      </c>
      <c r="I224" s="21" t="s">
        <v>905</v>
      </c>
      <c r="J224" s="21" t="s">
        <v>224</v>
      </c>
      <c r="K224" s="21" t="s">
        <v>920</v>
      </c>
      <c r="L224" s="22" t="s">
        <v>36</v>
      </c>
      <c r="M224" s="21" t="s">
        <v>120</v>
      </c>
      <c r="N224" s="13" t="s">
        <v>106</v>
      </c>
      <c r="O224" s="23" t="n">
        <v>17.36</v>
      </c>
      <c r="P224" s="13" t="n">
        <v>1</v>
      </c>
      <c r="Q224" s="24" t="n">
        <v>46310.4992013889</v>
      </c>
      <c r="R224" s="22" t="s">
        <v>36</v>
      </c>
      <c r="S224" s="13" t="s">
        <v>107</v>
      </c>
      <c r="T224" s="13" t="str">
        <f aca="false">IF(S224="Oui",IF(R224=L224,"Identique","Changé"),"")</f>
        <v>Identique</v>
      </c>
    </row>
    <row r="225" customFormat="false" ht="35.05" hidden="false" customHeight="false" outlineLevel="0" collapsed="false">
      <c r="A225" s="13" t="s">
        <v>921</v>
      </c>
      <c r="B225" s="13" t="s">
        <v>913</v>
      </c>
      <c r="C225" s="13" t="n">
        <v>4</v>
      </c>
      <c r="D225" s="13" t="s">
        <v>97</v>
      </c>
      <c r="E225" s="13" t="s">
        <v>401</v>
      </c>
      <c r="F225" s="13" t="s">
        <v>728</v>
      </c>
      <c r="G225" s="13" t="s">
        <v>402</v>
      </c>
      <c r="H225" s="13" t="s">
        <v>101</v>
      </c>
      <c r="I225" s="21" t="s">
        <v>403</v>
      </c>
      <c r="J225" s="21" t="s">
        <v>922</v>
      </c>
      <c r="K225" s="21" t="s">
        <v>923</v>
      </c>
      <c r="L225" s="22" t="s">
        <v>36</v>
      </c>
      <c r="M225" s="21" t="s">
        <v>406</v>
      </c>
      <c r="N225" s="13" t="s">
        <v>106</v>
      </c>
      <c r="O225" s="23" t="n">
        <v>12.83</v>
      </c>
      <c r="P225" s="13" t="n">
        <v>1</v>
      </c>
      <c r="Q225" s="24" t="n">
        <v>46310.4994675926</v>
      </c>
      <c r="R225" s="22" t="s">
        <v>36</v>
      </c>
      <c r="S225" s="13" t="s">
        <v>107</v>
      </c>
      <c r="T225" s="13" t="str">
        <f aca="false">IF(S225="Oui",IF(R225=L225,"Identique","Changé"),"")</f>
        <v>Identique</v>
      </c>
    </row>
    <row r="226" customFormat="false" ht="35.05" hidden="false" customHeight="false" outlineLevel="0" collapsed="false">
      <c r="A226" s="13" t="s">
        <v>924</v>
      </c>
      <c r="B226" s="13" t="s">
        <v>913</v>
      </c>
      <c r="C226" s="13" t="n">
        <v>5</v>
      </c>
      <c r="D226" s="13" t="s">
        <v>97</v>
      </c>
      <c r="E226" s="13" t="s">
        <v>158</v>
      </c>
      <c r="F226" s="13" t="s">
        <v>728</v>
      </c>
      <c r="G226" s="13" t="s">
        <v>159</v>
      </c>
      <c r="H226" s="13" t="s">
        <v>101</v>
      </c>
      <c r="I226" s="21" t="s">
        <v>925</v>
      </c>
      <c r="J226" s="21" t="s">
        <v>311</v>
      </c>
      <c r="K226" s="21" t="s">
        <v>926</v>
      </c>
      <c r="L226" s="22" t="s">
        <v>37</v>
      </c>
      <c r="M226" s="21" t="s">
        <v>163</v>
      </c>
      <c r="N226" s="13" t="s">
        <v>106</v>
      </c>
      <c r="O226" s="23" t="n">
        <v>10.63</v>
      </c>
      <c r="P226" s="13" t="n">
        <v>1</v>
      </c>
      <c r="Q226" s="24" t="n">
        <v>46310.4996875</v>
      </c>
      <c r="R226" s="22" t="s">
        <v>37</v>
      </c>
      <c r="S226" s="13" t="s">
        <v>107</v>
      </c>
      <c r="T226" s="13" t="str">
        <f aca="false">IF(S226="Oui",IF(R226=L226,"Identique","Changé"),"")</f>
        <v>Identique</v>
      </c>
    </row>
    <row r="227" customFormat="false" ht="35.05" hidden="false" customHeight="false" outlineLevel="0" collapsed="false">
      <c r="A227" s="13" t="s">
        <v>927</v>
      </c>
      <c r="B227" s="13" t="s">
        <v>928</v>
      </c>
      <c r="C227" s="13" t="n">
        <v>1</v>
      </c>
      <c r="D227" s="13" t="s">
        <v>135</v>
      </c>
      <c r="E227" s="13" t="s">
        <v>128</v>
      </c>
      <c r="F227" s="13" t="s">
        <v>929</v>
      </c>
      <c r="G227" s="13" t="s">
        <v>193</v>
      </c>
      <c r="H227" s="13" t="s">
        <v>101</v>
      </c>
      <c r="I227" s="21" t="s">
        <v>930</v>
      </c>
      <c r="J227" s="21" t="s">
        <v>195</v>
      </c>
      <c r="K227" s="21" t="s">
        <v>931</v>
      </c>
      <c r="L227" s="22" t="s">
        <v>36</v>
      </c>
      <c r="M227" s="21" t="s">
        <v>120</v>
      </c>
      <c r="N227" s="13" t="s">
        <v>106</v>
      </c>
      <c r="O227" s="23" t="n">
        <v>53.5</v>
      </c>
      <c r="P227" s="13" t="n">
        <v>2</v>
      </c>
      <c r="Q227" s="24" t="n">
        <v>46310.5050347222</v>
      </c>
      <c r="R227" s="22" t="s">
        <v>36</v>
      </c>
      <c r="S227" s="13" t="s">
        <v>107</v>
      </c>
      <c r="T227" s="13" t="str">
        <f aca="false">IF(S227="Oui",IF(R227=L227,"Identique","Changé"),"")</f>
        <v>Identique</v>
      </c>
    </row>
    <row r="228" customFormat="false" ht="35.05" hidden="false" customHeight="false" outlineLevel="0" collapsed="false">
      <c r="A228" s="13" t="s">
        <v>932</v>
      </c>
      <c r="B228" s="13" t="s">
        <v>928</v>
      </c>
      <c r="C228" s="13" t="n">
        <v>2</v>
      </c>
      <c r="D228" s="13" t="s">
        <v>135</v>
      </c>
      <c r="E228" s="13" t="s">
        <v>128</v>
      </c>
      <c r="F228" s="13" t="s">
        <v>929</v>
      </c>
      <c r="G228" s="13" t="s">
        <v>129</v>
      </c>
      <c r="H228" s="13" t="s">
        <v>101</v>
      </c>
      <c r="I228" s="21" t="s">
        <v>434</v>
      </c>
      <c r="J228" s="21" t="s">
        <v>199</v>
      </c>
      <c r="K228" s="21" t="s">
        <v>933</v>
      </c>
      <c r="L228" s="22" t="s">
        <v>36</v>
      </c>
      <c r="M228" s="21" t="s">
        <v>120</v>
      </c>
      <c r="N228" s="13" t="s">
        <v>106</v>
      </c>
      <c r="O228" s="23" t="n">
        <v>16.08</v>
      </c>
      <c r="P228" s="13" t="n">
        <v>2</v>
      </c>
      <c r="Q228" s="24" t="n">
        <v>46310.5053240741</v>
      </c>
      <c r="R228" s="22" t="s">
        <v>36</v>
      </c>
      <c r="S228" s="13" t="s">
        <v>107</v>
      </c>
      <c r="T228" s="13" t="str">
        <f aca="false">IF(S228="Oui",IF(R228=L228,"Identique","Changé"),"")</f>
        <v>Identique</v>
      </c>
    </row>
    <row r="229" customFormat="false" ht="23.85" hidden="false" customHeight="false" outlineLevel="0" collapsed="false">
      <c r="A229" s="13" t="s">
        <v>934</v>
      </c>
      <c r="B229" s="13" t="s">
        <v>928</v>
      </c>
      <c r="C229" s="13" t="n">
        <v>3</v>
      </c>
      <c r="D229" s="13" t="s">
        <v>135</v>
      </c>
      <c r="E229" s="13" t="s">
        <v>401</v>
      </c>
      <c r="F229" s="13" t="s">
        <v>712</v>
      </c>
      <c r="G229" s="13" t="s">
        <v>402</v>
      </c>
      <c r="H229" s="13" t="s">
        <v>101</v>
      </c>
      <c r="I229" s="21" t="s">
        <v>935</v>
      </c>
      <c r="J229" s="21" t="s">
        <v>936</v>
      </c>
      <c r="K229" s="21" t="s">
        <v>937</v>
      </c>
      <c r="L229" s="22" t="s">
        <v>36</v>
      </c>
      <c r="M229" s="21" t="s">
        <v>406</v>
      </c>
      <c r="N229" s="13" t="s">
        <v>106</v>
      </c>
      <c r="O229" s="23" t="n">
        <v>12.42</v>
      </c>
      <c r="P229" s="13" t="n">
        <v>2</v>
      </c>
      <c r="Q229" s="24" t="n">
        <v>46310.5055671296</v>
      </c>
      <c r="R229" s="22" t="s">
        <v>36</v>
      </c>
      <c r="S229" s="13" t="s">
        <v>107</v>
      </c>
      <c r="T229" s="13" t="str">
        <f aca="false">IF(S229="Oui",IF(R229=L229,"Identique","Changé"),"")</f>
        <v>Identique</v>
      </c>
    </row>
    <row r="230" customFormat="false" ht="23.85" hidden="false" customHeight="false" outlineLevel="0" collapsed="false">
      <c r="A230" s="13" t="s">
        <v>938</v>
      </c>
      <c r="B230" s="13" t="s">
        <v>928</v>
      </c>
      <c r="C230" s="13" t="n">
        <v>4</v>
      </c>
      <c r="D230" s="13" t="s">
        <v>135</v>
      </c>
      <c r="E230" s="13" t="s">
        <v>260</v>
      </c>
      <c r="F230" s="13" t="s">
        <v>712</v>
      </c>
      <c r="G230" s="13" t="s">
        <v>261</v>
      </c>
      <c r="H230" s="13" t="s">
        <v>101</v>
      </c>
      <c r="I230" s="21" t="s">
        <v>939</v>
      </c>
      <c r="J230" s="21" t="s">
        <v>263</v>
      </c>
      <c r="K230" s="21" t="s">
        <v>940</v>
      </c>
      <c r="L230" s="22" t="s">
        <v>36</v>
      </c>
      <c r="M230" s="21" t="s">
        <v>120</v>
      </c>
      <c r="N230" s="13" t="s">
        <v>106</v>
      </c>
      <c r="O230" s="23" t="n">
        <v>15.89</v>
      </c>
      <c r="P230" s="13" t="n">
        <v>2</v>
      </c>
      <c r="Q230" s="24" t="n">
        <v>46310.5058564815</v>
      </c>
      <c r="R230" s="22" t="s">
        <v>36</v>
      </c>
      <c r="S230" s="13" t="s">
        <v>107</v>
      </c>
      <c r="T230" s="13" t="str">
        <f aca="false">IF(S230="Oui",IF(R230=L230,"Identique","Changé"),"")</f>
        <v>Identique</v>
      </c>
    </row>
    <row r="231" customFormat="false" ht="35.05" hidden="false" customHeight="false" outlineLevel="0" collapsed="false">
      <c r="A231" s="13" t="s">
        <v>941</v>
      </c>
      <c r="B231" s="13" t="s">
        <v>928</v>
      </c>
      <c r="C231" s="13" t="n">
        <v>5</v>
      </c>
      <c r="D231" s="13" t="s">
        <v>135</v>
      </c>
      <c r="E231" s="13" t="s">
        <v>114</v>
      </c>
      <c r="F231" s="13" t="s">
        <v>929</v>
      </c>
      <c r="G231" s="13" t="s">
        <v>116</v>
      </c>
      <c r="H231" s="13" t="s">
        <v>101</v>
      </c>
      <c r="I231" s="21" t="s">
        <v>942</v>
      </c>
      <c r="J231" s="21" t="s">
        <v>138</v>
      </c>
      <c r="K231" s="21" t="s">
        <v>943</v>
      </c>
      <c r="L231" s="22" t="s">
        <v>36</v>
      </c>
      <c r="M231" s="21" t="s">
        <v>120</v>
      </c>
      <c r="N231" s="13" t="s">
        <v>106</v>
      </c>
      <c r="O231" s="23" t="n">
        <v>13.56</v>
      </c>
      <c r="P231" s="13" t="n">
        <v>2</v>
      </c>
      <c r="Q231" s="24" t="n">
        <v>46310.5061111111</v>
      </c>
      <c r="R231" s="22" t="s">
        <v>36</v>
      </c>
      <c r="S231" s="13" t="s">
        <v>107</v>
      </c>
      <c r="T231" s="13" t="str">
        <f aca="false">IF(S231="Oui",IF(R231=L231,"Identique","Changé"),"")</f>
        <v>Identique</v>
      </c>
    </row>
    <row r="232" customFormat="false" ht="46.25" hidden="false" customHeight="false" outlineLevel="0" collapsed="false">
      <c r="A232" s="13" t="s">
        <v>944</v>
      </c>
      <c r="B232" s="13" t="s">
        <v>945</v>
      </c>
      <c r="C232" s="13" t="n">
        <v>1</v>
      </c>
      <c r="D232" s="13" t="s">
        <v>97</v>
      </c>
      <c r="E232" s="13" t="s">
        <v>171</v>
      </c>
      <c r="F232" s="13" t="s">
        <v>946</v>
      </c>
      <c r="G232" s="13" t="s">
        <v>222</v>
      </c>
      <c r="H232" s="13" t="s">
        <v>101</v>
      </c>
      <c r="I232" s="21" t="s">
        <v>947</v>
      </c>
      <c r="J232" s="21" t="s">
        <v>224</v>
      </c>
      <c r="K232" s="21" t="s">
        <v>948</v>
      </c>
      <c r="L232" s="22" t="s">
        <v>36</v>
      </c>
      <c r="M232" s="21" t="s">
        <v>120</v>
      </c>
      <c r="N232" s="13" t="s">
        <v>106</v>
      </c>
      <c r="O232" s="23" t="n">
        <v>30.2</v>
      </c>
      <c r="P232" s="13" t="n">
        <v>2</v>
      </c>
      <c r="Q232" s="24" t="n">
        <v>46310.5125462963</v>
      </c>
      <c r="R232" s="22" t="s">
        <v>36</v>
      </c>
      <c r="S232" s="13" t="s">
        <v>107</v>
      </c>
      <c r="T232" s="13" t="str">
        <f aca="false">IF(S232="Oui",IF(R232=L232,"Identique","Changé"),"")</f>
        <v>Identique</v>
      </c>
    </row>
    <row r="233" customFormat="false" ht="35.05" hidden="false" customHeight="false" outlineLevel="0" collapsed="false">
      <c r="A233" s="13" t="s">
        <v>949</v>
      </c>
      <c r="B233" s="13" t="s">
        <v>945</v>
      </c>
      <c r="C233" s="13" t="n">
        <v>2</v>
      </c>
      <c r="D233" s="13" t="s">
        <v>97</v>
      </c>
      <c r="E233" s="13" t="s">
        <v>401</v>
      </c>
      <c r="F233" s="13" t="s">
        <v>946</v>
      </c>
      <c r="G233" s="13" t="s">
        <v>402</v>
      </c>
      <c r="H233" s="13" t="s">
        <v>101</v>
      </c>
      <c r="I233" s="21" t="s">
        <v>403</v>
      </c>
      <c r="J233" s="21" t="s">
        <v>950</v>
      </c>
      <c r="K233" s="21" t="s">
        <v>951</v>
      </c>
      <c r="L233" s="22" t="s">
        <v>36</v>
      </c>
      <c r="M233" s="21" t="s">
        <v>406</v>
      </c>
      <c r="N233" s="13" t="s">
        <v>106</v>
      </c>
      <c r="O233" s="23" t="n">
        <v>9.22</v>
      </c>
      <c r="P233" s="13" t="n">
        <v>2</v>
      </c>
      <c r="Q233" s="24" t="n">
        <v>46310.5127430556</v>
      </c>
      <c r="R233" s="22" t="s">
        <v>36</v>
      </c>
      <c r="S233" s="13" t="s">
        <v>107</v>
      </c>
      <c r="T233" s="13" t="str">
        <f aca="false">IF(S233="Oui",IF(R233=L233,"Identique","Changé"),"")</f>
        <v>Identique</v>
      </c>
    </row>
    <row r="234" customFormat="false" ht="46.25" hidden="false" customHeight="false" outlineLevel="0" collapsed="false">
      <c r="A234" s="13" t="s">
        <v>952</v>
      </c>
      <c r="B234" s="13" t="s">
        <v>945</v>
      </c>
      <c r="C234" s="13" t="n">
        <v>3</v>
      </c>
      <c r="D234" s="13" t="s">
        <v>97</v>
      </c>
      <c r="E234" s="13" t="s">
        <v>122</v>
      </c>
      <c r="F234" s="13" t="s">
        <v>946</v>
      </c>
      <c r="G234" s="13" t="s">
        <v>123</v>
      </c>
      <c r="H234" s="13" t="s">
        <v>101</v>
      </c>
      <c r="I234" s="21" t="s">
        <v>607</v>
      </c>
      <c r="J234" s="21" t="s">
        <v>125</v>
      </c>
      <c r="K234" s="21" t="s">
        <v>953</v>
      </c>
      <c r="L234" s="22" t="s">
        <v>36</v>
      </c>
      <c r="M234" s="21" t="s">
        <v>120</v>
      </c>
      <c r="N234" s="13" t="s">
        <v>106</v>
      </c>
      <c r="O234" s="23" t="n">
        <v>7.92</v>
      </c>
      <c r="P234" s="13" t="n">
        <v>2</v>
      </c>
      <c r="Q234" s="24" t="n">
        <v>46310.5129398148</v>
      </c>
      <c r="R234" s="22" t="s">
        <v>36</v>
      </c>
      <c r="S234" s="13" t="s">
        <v>107</v>
      </c>
      <c r="T234" s="13" t="str">
        <f aca="false">IF(S234="Oui",IF(R234=L234,"Identique","Changé"),"")</f>
        <v>Identique</v>
      </c>
    </row>
    <row r="235" customFormat="false" ht="46.25" hidden="false" customHeight="false" outlineLevel="0" collapsed="false">
      <c r="A235" s="13" t="s">
        <v>954</v>
      </c>
      <c r="B235" s="13" t="s">
        <v>945</v>
      </c>
      <c r="C235" s="13" t="n">
        <v>4</v>
      </c>
      <c r="D235" s="13" t="s">
        <v>97</v>
      </c>
      <c r="E235" s="13" t="s">
        <v>570</v>
      </c>
      <c r="F235" s="13" t="s">
        <v>946</v>
      </c>
      <c r="G235" s="13" t="s">
        <v>639</v>
      </c>
      <c r="H235" s="13" t="s">
        <v>152</v>
      </c>
      <c r="I235" s="21" t="s">
        <v>640</v>
      </c>
      <c r="J235" s="21" t="s">
        <v>154</v>
      </c>
      <c r="K235" s="21" t="s">
        <v>955</v>
      </c>
      <c r="L235" s="22" t="s">
        <v>40</v>
      </c>
      <c r="M235" s="21" t="s">
        <v>156</v>
      </c>
      <c r="N235" s="13" t="s">
        <v>106</v>
      </c>
      <c r="O235" s="23" t="n">
        <v>8.89</v>
      </c>
      <c r="P235" s="13" t="n">
        <v>2</v>
      </c>
      <c r="Q235" s="24" t="n">
        <v>46310.5131481482</v>
      </c>
      <c r="R235" s="22" t="s">
        <v>40</v>
      </c>
      <c r="S235" s="13" t="s">
        <v>107</v>
      </c>
      <c r="T235" s="13" t="str">
        <f aca="false">IF(S235="Oui",IF(R235=L235,"Identique","Changé"),"")</f>
        <v>Identique</v>
      </c>
    </row>
    <row r="236" customFormat="false" ht="57.45" hidden="false" customHeight="false" outlineLevel="0" collapsed="false">
      <c r="A236" s="13" t="s">
        <v>956</v>
      </c>
      <c r="B236" s="13" t="s">
        <v>945</v>
      </c>
      <c r="C236" s="13" t="n">
        <v>5</v>
      </c>
      <c r="D236" s="13" t="s">
        <v>97</v>
      </c>
      <c r="E236" s="13" t="s">
        <v>122</v>
      </c>
      <c r="F236" s="13" t="s">
        <v>946</v>
      </c>
      <c r="G236" s="13" t="s">
        <v>282</v>
      </c>
      <c r="H236" s="13" t="s">
        <v>101</v>
      </c>
      <c r="I236" s="21" t="s">
        <v>957</v>
      </c>
      <c r="J236" s="21" t="s">
        <v>512</v>
      </c>
      <c r="K236" s="21" t="s">
        <v>958</v>
      </c>
      <c r="L236" s="22" t="s">
        <v>37</v>
      </c>
      <c r="M236" s="21" t="s">
        <v>163</v>
      </c>
      <c r="N236" s="13" t="s">
        <v>106</v>
      </c>
      <c r="O236" s="23" t="n">
        <v>23.26</v>
      </c>
      <c r="P236" s="13" t="n">
        <v>2</v>
      </c>
      <c r="Q236" s="24" t="n">
        <v>46310.5135185185</v>
      </c>
      <c r="R236" s="22" t="s">
        <v>37</v>
      </c>
      <c r="S236" s="13" t="s">
        <v>107</v>
      </c>
      <c r="T236" s="13" t="str">
        <f aca="false">IF(S236="Oui",IF(R236=L236,"Identique","Changé"),"")</f>
        <v>Identique</v>
      </c>
    </row>
    <row r="237" customFormat="false" ht="15" hidden="false" customHeight="false" outlineLevel="0" collapsed="false">
      <c r="A237" s="13" t="s">
        <v>959</v>
      </c>
      <c r="B237" s="13" t="s">
        <v>960</v>
      </c>
      <c r="C237" s="13" t="n">
        <v>1</v>
      </c>
      <c r="D237" s="13" t="s">
        <v>135</v>
      </c>
      <c r="E237" s="13" t="s">
        <v>401</v>
      </c>
      <c r="F237" s="13" t="s">
        <v>961</v>
      </c>
      <c r="G237" s="13" t="s">
        <v>402</v>
      </c>
      <c r="H237" s="13" t="s">
        <v>101</v>
      </c>
      <c r="I237" s="21" t="s">
        <v>962</v>
      </c>
      <c r="J237" s="21" t="s">
        <v>963</v>
      </c>
      <c r="K237" s="21"/>
      <c r="L237" s="22" t="s">
        <v>43</v>
      </c>
      <c r="M237" s="21" t="s">
        <v>964</v>
      </c>
      <c r="N237" s="13" t="s">
        <v>106</v>
      </c>
      <c r="O237" s="23"/>
      <c r="P237" s="13" t="n">
        <v>3</v>
      </c>
      <c r="Q237" s="24" t="n">
        <v>46310.5272337963</v>
      </c>
      <c r="R237" s="22"/>
      <c r="S237" s="13" t="s">
        <v>164</v>
      </c>
      <c r="T237" s="13" t="str">
        <f aca="false">IF(S237="Oui",IF(R237=L237,"Identique","Changé"),"")</f>
        <v/>
      </c>
    </row>
    <row r="238" customFormat="false" ht="15" hidden="false" customHeight="false" outlineLevel="0" collapsed="false">
      <c r="A238" s="13" t="s">
        <v>965</v>
      </c>
      <c r="B238" s="13" t="s">
        <v>960</v>
      </c>
      <c r="C238" s="13" t="n">
        <v>2</v>
      </c>
      <c r="D238" s="13" t="s">
        <v>135</v>
      </c>
      <c r="E238" s="13" t="s">
        <v>122</v>
      </c>
      <c r="F238" s="13" t="s">
        <v>961</v>
      </c>
      <c r="G238" s="13" t="s">
        <v>123</v>
      </c>
      <c r="H238" s="13" t="s">
        <v>101</v>
      </c>
      <c r="I238" s="21" t="s">
        <v>607</v>
      </c>
      <c r="J238" s="21" t="s">
        <v>277</v>
      </c>
      <c r="K238" s="21"/>
      <c r="L238" s="22" t="s">
        <v>43</v>
      </c>
      <c r="M238" s="21" t="s">
        <v>964</v>
      </c>
      <c r="N238" s="13" t="s">
        <v>106</v>
      </c>
      <c r="O238" s="23"/>
      <c r="P238" s="13"/>
      <c r="Q238" s="24"/>
      <c r="R238" s="22"/>
      <c r="S238" s="13" t="s">
        <v>164</v>
      </c>
      <c r="T238" s="13" t="str">
        <f aca="false">IF(S238="Oui",IF(R238=L238,"Identique","Changé"),"")</f>
        <v/>
      </c>
    </row>
    <row r="239" customFormat="false" ht="23.85" hidden="false" customHeight="false" outlineLevel="0" collapsed="false">
      <c r="A239" s="13" t="s">
        <v>966</v>
      </c>
      <c r="B239" s="13" t="s">
        <v>960</v>
      </c>
      <c r="C239" s="13" t="n">
        <v>3</v>
      </c>
      <c r="D239" s="13" t="s">
        <v>135</v>
      </c>
      <c r="E239" s="13" t="s">
        <v>171</v>
      </c>
      <c r="F239" s="13" t="s">
        <v>961</v>
      </c>
      <c r="G239" s="13" t="s">
        <v>172</v>
      </c>
      <c r="H239" s="13" t="s">
        <v>101</v>
      </c>
      <c r="I239" s="21" t="s">
        <v>820</v>
      </c>
      <c r="J239" s="21" t="s">
        <v>174</v>
      </c>
      <c r="K239" s="21"/>
      <c r="L239" s="22" t="s">
        <v>43</v>
      </c>
      <c r="M239" s="21" t="s">
        <v>964</v>
      </c>
      <c r="N239" s="13" t="s">
        <v>106</v>
      </c>
      <c r="O239" s="23"/>
      <c r="P239" s="13"/>
      <c r="Q239" s="24"/>
      <c r="R239" s="22"/>
      <c r="S239" s="13" t="s">
        <v>164</v>
      </c>
      <c r="T239" s="13" t="str">
        <f aca="false">IF(S239="Oui",IF(R239=L239,"Identique","Changé"),"")</f>
        <v/>
      </c>
    </row>
    <row r="240" customFormat="false" ht="23.85" hidden="false" customHeight="false" outlineLevel="0" collapsed="false">
      <c r="A240" s="13" t="s">
        <v>967</v>
      </c>
      <c r="B240" s="13" t="s">
        <v>960</v>
      </c>
      <c r="C240" s="13" t="n">
        <v>4</v>
      </c>
      <c r="D240" s="13" t="s">
        <v>135</v>
      </c>
      <c r="E240" s="13" t="s">
        <v>128</v>
      </c>
      <c r="F240" s="13" t="s">
        <v>961</v>
      </c>
      <c r="G240" s="13" t="s">
        <v>968</v>
      </c>
      <c r="H240" s="13" t="s">
        <v>152</v>
      </c>
      <c r="I240" s="21" t="s">
        <v>969</v>
      </c>
      <c r="J240" s="21" t="s">
        <v>154</v>
      </c>
      <c r="K240" s="21"/>
      <c r="L240" s="22" t="s">
        <v>43</v>
      </c>
      <c r="M240" s="21" t="s">
        <v>964</v>
      </c>
      <c r="N240" s="13" t="s">
        <v>106</v>
      </c>
      <c r="O240" s="23"/>
      <c r="P240" s="13"/>
      <c r="Q240" s="24"/>
      <c r="R240" s="22"/>
      <c r="S240" s="13" t="s">
        <v>164</v>
      </c>
      <c r="T240" s="13" t="str">
        <f aca="false">IF(S240="Oui",IF(R240=L240,"Identique","Changé"),"")</f>
        <v/>
      </c>
    </row>
    <row r="241" customFormat="false" ht="15" hidden="false" customHeight="false" outlineLevel="0" collapsed="false">
      <c r="A241" s="13" t="s">
        <v>970</v>
      </c>
      <c r="B241" s="13" t="s">
        <v>960</v>
      </c>
      <c r="C241" s="13" t="n">
        <v>5</v>
      </c>
      <c r="D241" s="13" t="s">
        <v>135</v>
      </c>
      <c r="E241" s="13" t="s">
        <v>128</v>
      </c>
      <c r="F241" s="13" t="s">
        <v>961</v>
      </c>
      <c r="G241" s="13" t="s">
        <v>204</v>
      </c>
      <c r="H241" s="13" t="s">
        <v>101</v>
      </c>
      <c r="I241" s="21" t="s">
        <v>322</v>
      </c>
      <c r="J241" s="21" t="s">
        <v>206</v>
      </c>
      <c r="K241" s="21"/>
      <c r="L241" s="22" t="s">
        <v>43</v>
      </c>
      <c r="M241" s="21" t="s">
        <v>964</v>
      </c>
      <c r="N241" s="13" t="s">
        <v>106</v>
      </c>
      <c r="O241" s="23"/>
      <c r="P241" s="13"/>
      <c r="Q241" s="24"/>
      <c r="R241" s="22"/>
      <c r="S241" s="13" t="s">
        <v>164</v>
      </c>
      <c r="T241" s="13" t="str">
        <f aca="false">IF(S241="Oui",IF(R241=L241,"Identique","Changé"),"")</f>
        <v/>
      </c>
    </row>
    <row r="242" customFormat="false" ht="35.05" hidden="false" customHeight="false" outlineLevel="0" collapsed="false">
      <c r="A242" s="13" t="s">
        <v>971</v>
      </c>
      <c r="B242" s="13" t="s">
        <v>972</v>
      </c>
      <c r="C242" s="13" t="n">
        <v>1</v>
      </c>
      <c r="D242" s="13" t="s">
        <v>97</v>
      </c>
      <c r="E242" s="13" t="s">
        <v>98</v>
      </c>
      <c r="F242" s="13" t="s">
        <v>627</v>
      </c>
      <c r="G242" s="13" t="s">
        <v>100</v>
      </c>
      <c r="H242" s="13" t="s">
        <v>101</v>
      </c>
      <c r="I242" s="21" t="s">
        <v>973</v>
      </c>
      <c r="J242" s="21" t="s">
        <v>974</v>
      </c>
      <c r="K242" s="21" t="s">
        <v>975</v>
      </c>
      <c r="L242" s="22" t="s">
        <v>36</v>
      </c>
      <c r="M242" s="21" t="s">
        <v>105</v>
      </c>
      <c r="N242" s="13" t="s">
        <v>106</v>
      </c>
      <c r="O242" s="23" t="n">
        <v>51.6</v>
      </c>
      <c r="P242" s="13" t="n">
        <v>1</v>
      </c>
      <c r="Q242" s="24" t="n">
        <v>46310.527974537</v>
      </c>
      <c r="R242" s="22" t="s">
        <v>36</v>
      </c>
      <c r="S242" s="13" t="s">
        <v>107</v>
      </c>
      <c r="T242" s="13" t="str">
        <f aca="false">IF(S242="Oui",IF(R242=L242,"Identique","Changé"),"")</f>
        <v>Identique</v>
      </c>
    </row>
    <row r="243" customFormat="false" ht="35.05" hidden="false" customHeight="false" outlineLevel="0" collapsed="false">
      <c r="A243" s="13" t="s">
        <v>976</v>
      </c>
      <c r="B243" s="13" t="s">
        <v>972</v>
      </c>
      <c r="C243" s="13" t="n">
        <v>2</v>
      </c>
      <c r="D243" s="13" t="s">
        <v>97</v>
      </c>
      <c r="E243" s="13" t="s">
        <v>98</v>
      </c>
      <c r="F243" s="13" t="s">
        <v>627</v>
      </c>
      <c r="G243" s="13" t="s">
        <v>109</v>
      </c>
      <c r="H243" s="13" t="s">
        <v>101</v>
      </c>
      <c r="I243" s="21" t="s">
        <v>977</v>
      </c>
      <c r="J243" s="21" t="s">
        <v>632</v>
      </c>
      <c r="K243" s="21" t="s">
        <v>978</v>
      </c>
      <c r="L243" s="22" t="s">
        <v>36</v>
      </c>
      <c r="M243" s="21" t="s">
        <v>105</v>
      </c>
      <c r="N243" s="13" t="s">
        <v>106</v>
      </c>
      <c r="O243" s="23" t="n">
        <v>17.32</v>
      </c>
      <c r="P243" s="13" t="n">
        <v>1</v>
      </c>
      <c r="Q243" s="24" t="n">
        <v>46310.528275463</v>
      </c>
      <c r="R243" s="22" t="s">
        <v>36</v>
      </c>
      <c r="S243" s="13" t="s">
        <v>107</v>
      </c>
      <c r="T243" s="13" t="str">
        <f aca="false">IF(S243="Oui",IF(R243=L243,"Identique","Changé"),"")</f>
        <v>Identique</v>
      </c>
    </row>
    <row r="244" customFormat="false" ht="68.65" hidden="false" customHeight="false" outlineLevel="0" collapsed="false">
      <c r="A244" s="13" t="s">
        <v>979</v>
      </c>
      <c r="B244" s="13" t="s">
        <v>972</v>
      </c>
      <c r="C244" s="13" t="n">
        <v>3</v>
      </c>
      <c r="D244" s="13" t="s">
        <v>97</v>
      </c>
      <c r="E244" s="13" t="s">
        <v>122</v>
      </c>
      <c r="F244" s="13" t="s">
        <v>627</v>
      </c>
      <c r="G244" s="13" t="s">
        <v>282</v>
      </c>
      <c r="H244" s="13" t="s">
        <v>101</v>
      </c>
      <c r="I244" s="21" t="s">
        <v>957</v>
      </c>
      <c r="J244" s="21" t="s">
        <v>512</v>
      </c>
      <c r="K244" s="21" t="s">
        <v>980</v>
      </c>
      <c r="L244" s="22" t="s">
        <v>37</v>
      </c>
      <c r="M244" s="21" t="s">
        <v>163</v>
      </c>
      <c r="N244" s="13" t="s">
        <v>106</v>
      </c>
      <c r="O244" s="23" t="n">
        <v>34.98</v>
      </c>
      <c r="P244" s="13" t="n">
        <v>1</v>
      </c>
      <c r="Q244" s="24" t="n">
        <v>46310.5287731482</v>
      </c>
      <c r="R244" s="22" t="s">
        <v>37</v>
      </c>
      <c r="S244" s="13" t="s">
        <v>107</v>
      </c>
      <c r="T244" s="13" t="str">
        <f aca="false">IF(S244="Oui",IF(R244=L244,"Identique","Changé"),"")</f>
        <v>Identique</v>
      </c>
    </row>
    <row r="245" customFormat="false" ht="35.05" hidden="false" customHeight="false" outlineLevel="0" collapsed="false">
      <c r="A245" s="13" t="s">
        <v>981</v>
      </c>
      <c r="B245" s="13" t="s">
        <v>972</v>
      </c>
      <c r="C245" s="13" t="n">
        <v>4</v>
      </c>
      <c r="D245" s="13" t="s">
        <v>97</v>
      </c>
      <c r="E245" s="13" t="s">
        <v>98</v>
      </c>
      <c r="F245" s="13" t="s">
        <v>627</v>
      </c>
      <c r="G245" s="13" t="s">
        <v>181</v>
      </c>
      <c r="H245" s="13" t="s">
        <v>101</v>
      </c>
      <c r="I245" s="21" t="s">
        <v>982</v>
      </c>
      <c r="J245" s="21" t="s">
        <v>103</v>
      </c>
      <c r="K245" s="21" t="s">
        <v>983</v>
      </c>
      <c r="L245" s="22" t="s">
        <v>36</v>
      </c>
      <c r="M245" s="21" t="s">
        <v>105</v>
      </c>
      <c r="N245" s="13" t="s">
        <v>106</v>
      </c>
      <c r="O245" s="23" t="n">
        <v>18.58</v>
      </c>
      <c r="P245" s="13" t="n">
        <v>1</v>
      </c>
      <c r="Q245" s="24" t="n">
        <v>46310.5290972222</v>
      </c>
      <c r="R245" s="22" t="s">
        <v>36</v>
      </c>
      <c r="S245" s="13" t="s">
        <v>107</v>
      </c>
      <c r="T245" s="13" t="str">
        <f aca="false">IF(S245="Oui",IF(R245=L245,"Identique","Changé"),"")</f>
        <v>Identique</v>
      </c>
    </row>
    <row r="246" customFormat="false" ht="35.05" hidden="false" customHeight="false" outlineLevel="0" collapsed="false">
      <c r="A246" s="13" t="s">
        <v>984</v>
      </c>
      <c r="B246" s="13" t="s">
        <v>972</v>
      </c>
      <c r="C246" s="13" t="n">
        <v>5</v>
      </c>
      <c r="D246" s="13" t="s">
        <v>97</v>
      </c>
      <c r="E246" s="13" t="s">
        <v>122</v>
      </c>
      <c r="F246" s="13" t="s">
        <v>627</v>
      </c>
      <c r="G246" s="13" t="s">
        <v>123</v>
      </c>
      <c r="H246" s="13" t="s">
        <v>101</v>
      </c>
      <c r="I246" s="21" t="s">
        <v>358</v>
      </c>
      <c r="J246" s="21" t="s">
        <v>125</v>
      </c>
      <c r="K246" s="21" t="s">
        <v>985</v>
      </c>
      <c r="L246" s="22" t="s">
        <v>36</v>
      </c>
      <c r="M246" s="21" t="s">
        <v>120</v>
      </c>
      <c r="N246" s="13" t="s">
        <v>106</v>
      </c>
      <c r="O246" s="23" t="n">
        <v>13.66</v>
      </c>
      <c r="P246" s="13" t="n">
        <v>1</v>
      </c>
      <c r="Q246" s="24" t="n">
        <v>46310.5293518519</v>
      </c>
      <c r="R246" s="22" t="s">
        <v>36</v>
      </c>
      <c r="S246" s="13" t="s">
        <v>107</v>
      </c>
      <c r="T246" s="13" t="str">
        <f aca="false">IF(S246="Oui",IF(R246=L246,"Identique","Changé"),"")</f>
        <v>Identique</v>
      </c>
    </row>
    <row r="247" customFormat="false" ht="15" hidden="false" customHeight="false" outlineLevel="0" collapsed="false">
      <c r="A247" s="13" t="s">
        <v>986</v>
      </c>
      <c r="B247" s="13" t="s">
        <v>987</v>
      </c>
      <c r="C247" s="13" t="n">
        <v>1</v>
      </c>
      <c r="D247" s="13" t="s">
        <v>135</v>
      </c>
      <c r="E247" s="13" t="s">
        <v>114</v>
      </c>
      <c r="F247" s="13" t="s">
        <v>988</v>
      </c>
      <c r="G247" s="13" t="s">
        <v>116</v>
      </c>
      <c r="H247" s="13" t="s">
        <v>101</v>
      </c>
      <c r="I247" s="21" t="s">
        <v>989</v>
      </c>
      <c r="J247" s="21" t="s">
        <v>118</v>
      </c>
      <c r="K247" s="21"/>
      <c r="L247" s="22" t="s">
        <v>43</v>
      </c>
      <c r="M247" s="21" t="s">
        <v>964</v>
      </c>
      <c r="N247" s="13" t="s">
        <v>106</v>
      </c>
      <c r="O247" s="23"/>
      <c r="P247" s="13" t="n">
        <v>3</v>
      </c>
      <c r="Q247" s="24" t="n">
        <v>46310.5430671296</v>
      </c>
      <c r="R247" s="22"/>
      <c r="S247" s="13" t="s">
        <v>164</v>
      </c>
      <c r="T247" s="13" t="str">
        <f aca="false">IF(S247="Oui",IF(R247=L247,"Identique","Changé"),"")</f>
        <v/>
      </c>
    </row>
    <row r="248" customFormat="false" ht="15" hidden="false" customHeight="false" outlineLevel="0" collapsed="false">
      <c r="A248" s="13" t="s">
        <v>990</v>
      </c>
      <c r="B248" s="13" t="s">
        <v>987</v>
      </c>
      <c r="C248" s="13" t="n">
        <v>2</v>
      </c>
      <c r="D248" s="13" t="s">
        <v>135</v>
      </c>
      <c r="E248" s="13" t="s">
        <v>122</v>
      </c>
      <c r="F248" s="13" t="s">
        <v>988</v>
      </c>
      <c r="G248" s="13" t="s">
        <v>282</v>
      </c>
      <c r="H248" s="13" t="s">
        <v>101</v>
      </c>
      <c r="I248" s="21" t="s">
        <v>957</v>
      </c>
      <c r="J248" s="21" t="s">
        <v>512</v>
      </c>
      <c r="K248" s="21"/>
      <c r="L248" s="22" t="s">
        <v>43</v>
      </c>
      <c r="M248" s="21" t="s">
        <v>964</v>
      </c>
      <c r="N248" s="13" t="s">
        <v>106</v>
      </c>
      <c r="O248" s="23"/>
      <c r="P248" s="13"/>
      <c r="Q248" s="24"/>
      <c r="R248" s="22"/>
      <c r="S248" s="13" t="s">
        <v>164</v>
      </c>
      <c r="T248" s="13" t="str">
        <f aca="false">IF(S248="Oui",IF(R248=L248,"Identique","Changé"),"")</f>
        <v/>
      </c>
    </row>
    <row r="249" customFormat="false" ht="15" hidden="false" customHeight="false" outlineLevel="0" collapsed="false">
      <c r="A249" s="13" t="s">
        <v>991</v>
      </c>
      <c r="B249" s="13" t="s">
        <v>987</v>
      </c>
      <c r="C249" s="13" t="n">
        <v>3</v>
      </c>
      <c r="D249" s="13" t="s">
        <v>135</v>
      </c>
      <c r="E249" s="13" t="s">
        <v>114</v>
      </c>
      <c r="F249" s="13" t="s">
        <v>988</v>
      </c>
      <c r="G249" s="13" t="s">
        <v>146</v>
      </c>
      <c r="H249" s="13" t="s">
        <v>101</v>
      </c>
      <c r="I249" s="21" t="s">
        <v>992</v>
      </c>
      <c r="J249" s="21" t="s">
        <v>148</v>
      </c>
      <c r="K249" s="21"/>
      <c r="L249" s="22" t="s">
        <v>43</v>
      </c>
      <c r="M249" s="21" t="s">
        <v>964</v>
      </c>
      <c r="N249" s="13" t="s">
        <v>106</v>
      </c>
      <c r="O249" s="23"/>
      <c r="P249" s="13"/>
      <c r="Q249" s="24"/>
      <c r="R249" s="22"/>
      <c r="S249" s="13" t="s">
        <v>164</v>
      </c>
      <c r="T249" s="13" t="str">
        <f aca="false">IF(S249="Oui",IF(R249=L249,"Identique","Changé"),"")</f>
        <v/>
      </c>
    </row>
    <row r="250" customFormat="false" ht="15" hidden="false" customHeight="false" outlineLevel="0" collapsed="false">
      <c r="A250" s="13" t="s">
        <v>993</v>
      </c>
      <c r="B250" s="13" t="s">
        <v>987</v>
      </c>
      <c r="C250" s="13" t="n">
        <v>4</v>
      </c>
      <c r="D250" s="13" t="s">
        <v>135</v>
      </c>
      <c r="E250" s="13" t="s">
        <v>122</v>
      </c>
      <c r="F250" s="13" t="s">
        <v>988</v>
      </c>
      <c r="G250" s="13" t="s">
        <v>123</v>
      </c>
      <c r="H250" s="13" t="s">
        <v>101</v>
      </c>
      <c r="I250" s="21" t="s">
        <v>358</v>
      </c>
      <c r="J250" s="21" t="s">
        <v>125</v>
      </c>
      <c r="K250" s="21"/>
      <c r="L250" s="22" t="s">
        <v>43</v>
      </c>
      <c r="M250" s="21" t="s">
        <v>964</v>
      </c>
      <c r="N250" s="13" t="s">
        <v>106</v>
      </c>
      <c r="O250" s="23"/>
      <c r="P250" s="13"/>
      <c r="Q250" s="24"/>
      <c r="R250" s="22"/>
      <c r="S250" s="13" t="s">
        <v>164</v>
      </c>
      <c r="T250" s="13" t="str">
        <f aca="false">IF(S250="Oui",IF(R250=L250,"Identique","Changé"),"")</f>
        <v/>
      </c>
    </row>
    <row r="251" customFormat="false" ht="23.85" hidden="false" customHeight="false" outlineLevel="0" collapsed="false">
      <c r="A251" s="13" t="s">
        <v>994</v>
      </c>
      <c r="B251" s="13" t="s">
        <v>987</v>
      </c>
      <c r="C251" s="13" t="n">
        <v>5</v>
      </c>
      <c r="D251" s="13" t="s">
        <v>135</v>
      </c>
      <c r="E251" s="13" t="s">
        <v>98</v>
      </c>
      <c r="F251" s="13" t="s">
        <v>988</v>
      </c>
      <c r="G251" s="13" t="s">
        <v>100</v>
      </c>
      <c r="H251" s="13" t="s">
        <v>101</v>
      </c>
      <c r="I251" s="21" t="s">
        <v>995</v>
      </c>
      <c r="J251" s="21" t="s">
        <v>996</v>
      </c>
      <c r="K251" s="21"/>
      <c r="L251" s="22" t="s">
        <v>43</v>
      </c>
      <c r="M251" s="21" t="s">
        <v>964</v>
      </c>
      <c r="N251" s="13" t="s">
        <v>106</v>
      </c>
      <c r="O251" s="23"/>
      <c r="P251" s="13"/>
      <c r="Q251" s="24"/>
      <c r="R251" s="22"/>
      <c r="S251" s="13" t="s">
        <v>164</v>
      </c>
      <c r="T251" s="13" t="str">
        <f aca="false">IF(S251="Oui",IF(R251=L251,"Identique","Changé"),"")</f>
        <v/>
      </c>
    </row>
    <row r="252" customFormat="false" ht="35.05" hidden="false" customHeight="false" outlineLevel="0" collapsed="false">
      <c r="A252" s="13" t="s">
        <v>997</v>
      </c>
      <c r="B252" s="13" t="s">
        <v>998</v>
      </c>
      <c r="C252" s="13" t="n">
        <v>1</v>
      </c>
      <c r="D252" s="13" t="s">
        <v>97</v>
      </c>
      <c r="E252" s="13" t="s">
        <v>122</v>
      </c>
      <c r="F252" s="13" t="s">
        <v>999</v>
      </c>
      <c r="G252" s="13" t="s">
        <v>282</v>
      </c>
      <c r="H252" s="13" t="s">
        <v>101</v>
      </c>
      <c r="I252" s="21" t="s">
        <v>1000</v>
      </c>
      <c r="J252" s="21" t="s">
        <v>512</v>
      </c>
      <c r="K252" s="21" t="s">
        <v>1001</v>
      </c>
      <c r="L252" s="22" t="s">
        <v>36</v>
      </c>
      <c r="M252" s="21" t="s">
        <v>120</v>
      </c>
      <c r="N252" s="13" t="s">
        <v>106</v>
      </c>
      <c r="O252" s="23" t="n">
        <v>42.29</v>
      </c>
      <c r="P252" s="13" t="n">
        <v>3</v>
      </c>
      <c r="Q252" s="24" t="n">
        <v>46310.5532060185</v>
      </c>
      <c r="R252" s="22" t="s">
        <v>37</v>
      </c>
      <c r="S252" s="13" t="s">
        <v>107</v>
      </c>
      <c r="T252" s="13" t="str">
        <f aca="false">IF(S252="Oui",IF(R252=L252,"Identique","Changé"),"")</f>
        <v>Changé</v>
      </c>
    </row>
    <row r="253" customFormat="false" ht="35.05" hidden="false" customHeight="false" outlineLevel="0" collapsed="false">
      <c r="A253" s="13" t="s">
        <v>1002</v>
      </c>
      <c r="B253" s="13" t="s">
        <v>998</v>
      </c>
      <c r="C253" s="13" t="n">
        <v>2</v>
      </c>
      <c r="D253" s="13" t="s">
        <v>97</v>
      </c>
      <c r="E253" s="13" t="s">
        <v>171</v>
      </c>
      <c r="F253" s="13" t="s">
        <v>999</v>
      </c>
      <c r="G253" s="13" t="s">
        <v>172</v>
      </c>
      <c r="H253" s="13" t="s">
        <v>101</v>
      </c>
      <c r="I253" s="21" t="s">
        <v>673</v>
      </c>
      <c r="J253" s="21" t="s">
        <v>174</v>
      </c>
      <c r="K253" s="21" t="s">
        <v>1003</v>
      </c>
      <c r="L253" s="22" t="s">
        <v>36</v>
      </c>
      <c r="M253" s="21" t="s">
        <v>120</v>
      </c>
      <c r="N253" s="13" t="s">
        <v>106</v>
      </c>
      <c r="O253" s="23" t="n">
        <v>15.33</v>
      </c>
      <c r="P253" s="13" t="n">
        <v>3</v>
      </c>
      <c r="Q253" s="24" t="n">
        <v>46310.5534837963</v>
      </c>
      <c r="R253" s="22" t="s">
        <v>37</v>
      </c>
      <c r="S253" s="13" t="s">
        <v>107</v>
      </c>
      <c r="T253" s="13" t="str">
        <f aca="false">IF(S253="Oui",IF(R253=L253,"Identique","Changé"),"")</f>
        <v>Changé</v>
      </c>
    </row>
    <row r="254" customFormat="false" ht="35.05" hidden="false" customHeight="false" outlineLevel="0" collapsed="false">
      <c r="A254" s="13" t="s">
        <v>1004</v>
      </c>
      <c r="B254" s="13" t="s">
        <v>998</v>
      </c>
      <c r="C254" s="13" t="n">
        <v>3</v>
      </c>
      <c r="D254" s="13" t="s">
        <v>97</v>
      </c>
      <c r="E254" s="13" t="s">
        <v>158</v>
      </c>
      <c r="F254" s="13" t="s">
        <v>627</v>
      </c>
      <c r="G254" s="13" t="s">
        <v>159</v>
      </c>
      <c r="H254" s="13" t="s">
        <v>101</v>
      </c>
      <c r="I254" s="21" t="s">
        <v>1005</v>
      </c>
      <c r="J254" s="21" t="s">
        <v>233</v>
      </c>
      <c r="K254" s="21" t="s">
        <v>1006</v>
      </c>
      <c r="L254" s="22" t="s">
        <v>36</v>
      </c>
      <c r="M254" s="21" t="s">
        <v>235</v>
      </c>
      <c r="N254" s="13" t="s">
        <v>106</v>
      </c>
      <c r="O254" s="23" t="n">
        <v>13.6</v>
      </c>
      <c r="P254" s="13" t="n">
        <v>3</v>
      </c>
      <c r="Q254" s="24" t="n">
        <v>46310.5537384259</v>
      </c>
      <c r="R254" s="22" t="s">
        <v>37</v>
      </c>
      <c r="S254" s="13" t="s">
        <v>107</v>
      </c>
      <c r="T254" s="13" t="str">
        <f aca="false">IF(S254="Oui",IF(R254=L254,"Identique","Changé"),"")</f>
        <v>Changé</v>
      </c>
    </row>
    <row r="255" customFormat="false" ht="35.05" hidden="false" customHeight="false" outlineLevel="0" collapsed="false">
      <c r="A255" s="13" t="s">
        <v>1007</v>
      </c>
      <c r="B255" s="13" t="s">
        <v>998</v>
      </c>
      <c r="C255" s="13" t="n">
        <v>4</v>
      </c>
      <c r="D255" s="13" t="s">
        <v>97</v>
      </c>
      <c r="E255" s="13" t="s">
        <v>98</v>
      </c>
      <c r="F255" s="13" t="s">
        <v>627</v>
      </c>
      <c r="G255" s="13" t="s">
        <v>100</v>
      </c>
      <c r="H255" s="13" t="s">
        <v>101</v>
      </c>
      <c r="I255" s="21" t="s">
        <v>536</v>
      </c>
      <c r="J255" s="21" t="s">
        <v>974</v>
      </c>
      <c r="K255" s="21" t="s">
        <v>1008</v>
      </c>
      <c r="L255" s="22" t="s">
        <v>36</v>
      </c>
      <c r="M255" s="21" t="s">
        <v>105</v>
      </c>
      <c r="N255" s="13" t="s">
        <v>106</v>
      </c>
      <c r="O255" s="23" t="n">
        <v>15.58</v>
      </c>
      <c r="P255" s="13" t="n">
        <v>3</v>
      </c>
      <c r="Q255" s="24" t="n">
        <v>46310.5540162037</v>
      </c>
      <c r="R255" s="22" t="s">
        <v>36</v>
      </c>
      <c r="S255" s="13" t="s">
        <v>107</v>
      </c>
      <c r="T255" s="13" t="str">
        <f aca="false">IF(S255="Oui",IF(R255=L255,"Identique","Changé"),"")</f>
        <v>Identique</v>
      </c>
    </row>
    <row r="256" customFormat="false" ht="35.05" hidden="false" customHeight="false" outlineLevel="0" collapsed="false">
      <c r="A256" s="13" t="s">
        <v>1009</v>
      </c>
      <c r="B256" s="13" t="s">
        <v>998</v>
      </c>
      <c r="C256" s="13" t="n">
        <v>5</v>
      </c>
      <c r="D256" s="13" t="s">
        <v>97</v>
      </c>
      <c r="E256" s="13" t="s">
        <v>185</v>
      </c>
      <c r="F256" s="13" t="s">
        <v>999</v>
      </c>
      <c r="G256" s="13" t="s">
        <v>186</v>
      </c>
      <c r="H256" s="13" t="s">
        <v>101</v>
      </c>
      <c r="I256" s="21" t="s">
        <v>1010</v>
      </c>
      <c r="J256" s="21" t="s">
        <v>1011</v>
      </c>
      <c r="K256" s="21" t="s">
        <v>1012</v>
      </c>
      <c r="L256" s="22" t="s">
        <v>36</v>
      </c>
      <c r="M256" s="21" t="s">
        <v>427</v>
      </c>
      <c r="N256" s="13" t="s">
        <v>106</v>
      </c>
      <c r="O256" s="23" t="n">
        <v>9.61</v>
      </c>
      <c r="P256" s="13" t="n">
        <v>3</v>
      </c>
      <c r="Q256" s="24" t="n">
        <v>46310.554224537</v>
      </c>
      <c r="R256" s="22" t="s">
        <v>36</v>
      </c>
      <c r="S256" s="13" t="s">
        <v>107</v>
      </c>
      <c r="T256" s="13" t="str">
        <f aca="false">IF(S256="Oui",IF(R256=L256,"Identique","Changé"),"")</f>
        <v>Identique</v>
      </c>
    </row>
    <row r="257" customFormat="false" ht="23.85" hidden="false" customHeight="false" outlineLevel="0" collapsed="false">
      <c r="A257" s="13" t="s">
        <v>1013</v>
      </c>
      <c r="B257" s="13" t="s">
        <v>1014</v>
      </c>
      <c r="C257" s="13" t="n">
        <v>1</v>
      </c>
      <c r="D257" s="13" t="s">
        <v>135</v>
      </c>
      <c r="E257" s="13" t="s">
        <v>128</v>
      </c>
      <c r="F257" s="13" t="s">
        <v>1015</v>
      </c>
      <c r="G257" s="13" t="s">
        <v>193</v>
      </c>
      <c r="H257" s="13" t="s">
        <v>101</v>
      </c>
      <c r="I257" s="21" t="s">
        <v>1016</v>
      </c>
      <c r="J257" s="21" t="s">
        <v>195</v>
      </c>
      <c r="K257" s="21"/>
      <c r="L257" s="22" t="s">
        <v>43</v>
      </c>
      <c r="M257" s="21" t="s">
        <v>964</v>
      </c>
      <c r="N257" s="13" t="s">
        <v>106</v>
      </c>
      <c r="O257" s="23"/>
      <c r="P257" s="13" t="n">
        <v>3</v>
      </c>
      <c r="Q257" s="24" t="n">
        <v>46310.5679513889</v>
      </c>
      <c r="R257" s="22"/>
      <c r="S257" s="13" t="s">
        <v>164</v>
      </c>
      <c r="T257" s="13" t="str">
        <f aca="false">IF(S257="Oui",IF(R257=L257,"Identique","Changé"),"")</f>
        <v/>
      </c>
    </row>
    <row r="258" customFormat="false" ht="15" hidden="false" customHeight="false" outlineLevel="0" collapsed="false">
      <c r="A258" s="13" t="s">
        <v>1017</v>
      </c>
      <c r="B258" s="13" t="s">
        <v>1014</v>
      </c>
      <c r="C258" s="13" t="n">
        <v>2</v>
      </c>
      <c r="D258" s="13" t="s">
        <v>135</v>
      </c>
      <c r="E258" s="13" t="s">
        <v>128</v>
      </c>
      <c r="F258" s="13" t="s">
        <v>1015</v>
      </c>
      <c r="G258" s="13" t="s">
        <v>129</v>
      </c>
      <c r="H258" s="13" t="s">
        <v>101</v>
      </c>
      <c r="I258" s="21" t="s">
        <v>547</v>
      </c>
      <c r="J258" s="21" t="s">
        <v>292</v>
      </c>
      <c r="K258" s="21"/>
      <c r="L258" s="22" t="s">
        <v>43</v>
      </c>
      <c r="M258" s="21" t="s">
        <v>964</v>
      </c>
      <c r="N258" s="13" t="s">
        <v>106</v>
      </c>
      <c r="O258" s="23"/>
      <c r="P258" s="13"/>
      <c r="Q258" s="24"/>
      <c r="R258" s="22"/>
      <c r="S258" s="13" t="s">
        <v>164</v>
      </c>
      <c r="T258" s="13" t="str">
        <f aca="false">IF(S258="Oui",IF(R258=L258,"Identique","Changé"),"")</f>
        <v/>
      </c>
    </row>
    <row r="259" customFormat="false" ht="15" hidden="false" customHeight="false" outlineLevel="0" collapsed="false">
      <c r="A259" s="13" t="s">
        <v>1018</v>
      </c>
      <c r="B259" s="13" t="s">
        <v>1014</v>
      </c>
      <c r="C259" s="13" t="n">
        <v>3</v>
      </c>
      <c r="D259" s="13" t="s">
        <v>135</v>
      </c>
      <c r="E259" s="13" t="s">
        <v>98</v>
      </c>
      <c r="F259" s="13" t="s">
        <v>1015</v>
      </c>
      <c r="G259" s="13" t="s">
        <v>100</v>
      </c>
      <c r="H259" s="13" t="s">
        <v>101</v>
      </c>
      <c r="I259" s="21" t="s">
        <v>536</v>
      </c>
      <c r="J259" s="21" t="s">
        <v>1019</v>
      </c>
      <c r="K259" s="21"/>
      <c r="L259" s="22" t="s">
        <v>43</v>
      </c>
      <c r="M259" s="21" t="s">
        <v>964</v>
      </c>
      <c r="N259" s="13" t="s">
        <v>106</v>
      </c>
      <c r="O259" s="23"/>
      <c r="P259" s="13"/>
      <c r="Q259" s="24"/>
      <c r="R259" s="22"/>
      <c r="S259" s="13" t="s">
        <v>164</v>
      </c>
      <c r="T259" s="13" t="str">
        <f aca="false">IF(S259="Oui",IF(R259=L259,"Identique","Changé"),"")</f>
        <v/>
      </c>
    </row>
    <row r="260" customFormat="false" ht="23.85" hidden="false" customHeight="false" outlineLevel="0" collapsed="false">
      <c r="A260" s="13" t="s">
        <v>1020</v>
      </c>
      <c r="B260" s="13" t="s">
        <v>1014</v>
      </c>
      <c r="C260" s="13" t="n">
        <v>4</v>
      </c>
      <c r="D260" s="13" t="s">
        <v>135</v>
      </c>
      <c r="E260" s="13" t="s">
        <v>185</v>
      </c>
      <c r="F260" s="13" t="s">
        <v>1015</v>
      </c>
      <c r="G260" s="13" t="s">
        <v>380</v>
      </c>
      <c r="H260" s="13" t="s">
        <v>152</v>
      </c>
      <c r="I260" s="21" t="s">
        <v>1021</v>
      </c>
      <c r="J260" s="21" t="s">
        <v>154</v>
      </c>
      <c r="K260" s="21"/>
      <c r="L260" s="22" t="s">
        <v>43</v>
      </c>
      <c r="M260" s="21" t="s">
        <v>964</v>
      </c>
      <c r="N260" s="13" t="s">
        <v>106</v>
      </c>
      <c r="O260" s="23"/>
      <c r="P260" s="13"/>
      <c r="Q260" s="24"/>
      <c r="R260" s="22"/>
      <c r="S260" s="13" t="s">
        <v>164</v>
      </c>
      <c r="T260" s="13" t="str">
        <f aca="false">IF(S260="Oui",IF(R260=L260,"Identique","Changé"),"")</f>
        <v/>
      </c>
    </row>
    <row r="261" customFormat="false" ht="15" hidden="false" customHeight="false" outlineLevel="0" collapsed="false">
      <c r="A261" s="13" t="s">
        <v>1022</v>
      </c>
      <c r="B261" s="13" t="s">
        <v>1014</v>
      </c>
      <c r="C261" s="13" t="n">
        <v>5</v>
      </c>
      <c r="D261" s="13" t="s">
        <v>135</v>
      </c>
      <c r="E261" s="13" t="s">
        <v>128</v>
      </c>
      <c r="F261" s="13" t="s">
        <v>1015</v>
      </c>
      <c r="G261" s="13" t="s">
        <v>209</v>
      </c>
      <c r="H261" s="13" t="s">
        <v>101</v>
      </c>
      <c r="I261" s="21" t="s">
        <v>1023</v>
      </c>
      <c r="J261" s="21" t="s">
        <v>1024</v>
      </c>
      <c r="K261" s="21"/>
      <c r="L261" s="22" t="s">
        <v>43</v>
      </c>
      <c r="M261" s="21" t="s">
        <v>964</v>
      </c>
      <c r="N261" s="13" t="s">
        <v>106</v>
      </c>
      <c r="O261" s="23"/>
      <c r="P261" s="13"/>
      <c r="Q261" s="24"/>
      <c r="R261" s="22"/>
      <c r="S261" s="13" t="s">
        <v>164</v>
      </c>
      <c r="T261" s="13" t="str">
        <f aca="false">IF(S261="Oui",IF(R261=L261,"Identique","Changé"),"")</f>
        <v/>
      </c>
    </row>
    <row r="262" customFormat="false" ht="46.25" hidden="false" customHeight="false" outlineLevel="0" collapsed="false">
      <c r="A262" s="13" t="s">
        <v>1025</v>
      </c>
      <c r="B262" s="13" t="s">
        <v>1026</v>
      </c>
      <c r="C262" s="13" t="n">
        <v>1</v>
      </c>
      <c r="D262" s="13" t="s">
        <v>97</v>
      </c>
      <c r="E262" s="13" t="s">
        <v>98</v>
      </c>
      <c r="F262" s="13" t="s">
        <v>1027</v>
      </c>
      <c r="G262" s="13" t="s">
        <v>100</v>
      </c>
      <c r="H262" s="13" t="s">
        <v>101</v>
      </c>
      <c r="I262" s="21" t="s">
        <v>1028</v>
      </c>
      <c r="J262" s="21" t="s">
        <v>632</v>
      </c>
      <c r="K262" s="21" t="s">
        <v>1029</v>
      </c>
      <c r="L262" s="22" t="s">
        <v>36</v>
      </c>
      <c r="M262" s="21" t="s">
        <v>105</v>
      </c>
      <c r="N262" s="13" t="s">
        <v>106</v>
      </c>
      <c r="O262" s="23" t="n">
        <v>40.83</v>
      </c>
      <c r="P262" s="13" t="n">
        <v>1</v>
      </c>
      <c r="Q262" s="24" t="n">
        <v>46310.5685763889</v>
      </c>
      <c r="R262" s="22" t="s">
        <v>36</v>
      </c>
      <c r="S262" s="13" t="s">
        <v>107</v>
      </c>
      <c r="T262" s="13" t="str">
        <f aca="false">IF(S262="Oui",IF(R262=L262,"Identique","Changé"),"")</f>
        <v>Identique</v>
      </c>
    </row>
    <row r="263" customFormat="false" ht="35.05" hidden="false" customHeight="false" outlineLevel="0" collapsed="false">
      <c r="A263" s="13" t="s">
        <v>1030</v>
      </c>
      <c r="B263" s="13" t="s">
        <v>1026</v>
      </c>
      <c r="C263" s="13" t="n">
        <v>2</v>
      </c>
      <c r="D263" s="13" t="s">
        <v>97</v>
      </c>
      <c r="E263" s="13" t="s">
        <v>98</v>
      </c>
      <c r="F263" s="13" t="s">
        <v>1027</v>
      </c>
      <c r="G263" s="13" t="s">
        <v>109</v>
      </c>
      <c r="H263" s="13" t="s">
        <v>101</v>
      </c>
      <c r="I263" s="21" t="s">
        <v>1031</v>
      </c>
      <c r="J263" s="21" t="s">
        <v>974</v>
      </c>
      <c r="K263" s="21" t="s">
        <v>1032</v>
      </c>
      <c r="L263" s="22" t="s">
        <v>36</v>
      </c>
      <c r="M263" s="21" t="s">
        <v>105</v>
      </c>
      <c r="N263" s="13" t="s">
        <v>106</v>
      </c>
      <c r="O263" s="23" t="n">
        <v>9.78</v>
      </c>
      <c r="P263" s="13" t="n">
        <v>1</v>
      </c>
      <c r="Q263" s="24" t="n">
        <v>46310.5687847222</v>
      </c>
      <c r="R263" s="22" t="s">
        <v>36</v>
      </c>
      <c r="S263" s="13" t="s">
        <v>107</v>
      </c>
      <c r="T263" s="13" t="str">
        <f aca="false">IF(S263="Oui",IF(R263=L263,"Identique","Changé"),"")</f>
        <v>Identique</v>
      </c>
    </row>
    <row r="264" customFormat="false" ht="46.25" hidden="false" customHeight="false" outlineLevel="0" collapsed="false">
      <c r="A264" s="13" t="s">
        <v>1033</v>
      </c>
      <c r="B264" s="13" t="s">
        <v>1026</v>
      </c>
      <c r="C264" s="13" t="n">
        <v>3</v>
      </c>
      <c r="D264" s="13" t="s">
        <v>97</v>
      </c>
      <c r="E264" s="13" t="s">
        <v>171</v>
      </c>
      <c r="F264" s="13" t="s">
        <v>1027</v>
      </c>
      <c r="G264" s="13" t="s">
        <v>222</v>
      </c>
      <c r="H264" s="13" t="s">
        <v>101</v>
      </c>
      <c r="I264" s="21" t="s">
        <v>1034</v>
      </c>
      <c r="J264" s="21" t="s">
        <v>334</v>
      </c>
      <c r="K264" s="21" t="s">
        <v>1035</v>
      </c>
      <c r="L264" s="22" t="s">
        <v>36</v>
      </c>
      <c r="M264" s="21" t="s">
        <v>120</v>
      </c>
      <c r="N264" s="13" t="s">
        <v>106</v>
      </c>
      <c r="O264" s="23" t="n">
        <v>25.79</v>
      </c>
      <c r="P264" s="13" t="n">
        <v>1</v>
      </c>
      <c r="Q264" s="24" t="n">
        <v>46310.5691782407</v>
      </c>
      <c r="R264" s="22" t="s">
        <v>36</v>
      </c>
      <c r="S264" s="13" t="s">
        <v>107</v>
      </c>
      <c r="T264" s="13" t="str">
        <f aca="false">IF(S264="Oui",IF(R264=L264,"Identique","Changé"),"")</f>
        <v>Identique</v>
      </c>
    </row>
    <row r="265" customFormat="false" ht="35.05" hidden="false" customHeight="false" outlineLevel="0" collapsed="false">
      <c r="A265" s="13" t="s">
        <v>1036</v>
      </c>
      <c r="B265" s="13" t="s">
        <v>1026</v>
      </c>
      <c r="C265" s="13" t="n">
        <v>4</v>
      </c>
      <c r="D265" s="13" t="s">
        <v>97</v>
      </c>
      <c r="E265" s="13" t="s">
        <v>401</v>
      </c>
      <c r="F265" s="13" t="s">
        <v>1027</v>
      </c>
      <c r="G265" s="13" t="s">
        <v>402</v>
      </c>
      <c r="H265" s="13" t="s">
        <v>152</v>
      </c>
      <c r="I265" s="21" t="s">
        <v>1037</v>
      </c>
      <c r="J265" s="21" t="s">
        <v>154</v>
      </c>
      <c r="K265" s="21" t="s">
        <v>1038</v>
      </c>
      <c r="L265" s="22" t="s">
        <v>40</v>
      </c>
      <c r="M265" s="21" t="s">
        <v>156</v>
      </c>
      <c r="N265" s="13" t="s">
        <v>106</v>
      </c>
      <c r="O265" s="23" t="n">
        <v>8.35</v>
      </c>
      <c r="P265" s="13" t="n">
        <v>1</v>
      </c>
      <c r="Q265" s="24" t="n">
        <v>46310.569375</v>
      </c>
      <c r="R265" s="22" t="s">
        <v>40</v>
      </c>
      <c r="S265" s="13" t="s">
        <v>107</v>
      </c>
      <c r="T265" s="13" t="str">
        <f aca="false">IF(S265="Oui",IF(R265=L265,"Identique","Changé"),"")</f>
        <v>Identique</v>
      </c>
    </row>
    <row r="266" customFormat="false" ht="35.05" hidden="false" customHeight="false" outlineLevel="0" collapsed="false">
      <c r="A266" s="13" t="s">
        <v>1039</v>
      </c>
      <c r="B266" s="13" t="s">
        <v>1026</v>
      </c>
      <c r="C266" s="13" t="n">
        <v>5</v>
      </c>
      <c r="D266" s="13" t="s">
        <v>97</v>
      </c>
      <c r="E266" s="13" t="s">
        <v>114</v>
      </c>
      <c r="F266" s="13" t="s">
        <v>1027</v>
      </c>
      <c r="G266" s="13" t="s">
        <v>146</v>
      </c>
      <c r="H266" s="13" t="s">
        <v>101</v>
      </c>
      <c r="I266" s="21" t="s">
        <v>1040</v>
      </c>
      <c r="J266" s="21" t="s">
        <v>148</v>
      </c>
      <c r="K266" s="21" t="s">
        <v>1041</v>
      </c>
      <c r="L266" s="22" t="s">
        <v>36</v>
      </c>
      <c r="M266" s="21" t="s">
        <v>120</v>
      </c>
      <c r="N266" s="13" t="s">
        <v>106</v>
      </c>
      <c r="O266" s="23" t="n">
        <v>12.31</v>
      </c>
      <c r="P266" s="13" t="n">
        <v>1</v>
      </c>
      <c r="Q266" s="24" t="n">
        <v>46310.5696296296</v>
      </c>
      <c r="R266" s="22" t="s">
        <v>36</v>
      </c>
      <c r="S266" s="13" t="s">
        <v>107</v>
      </c>
      <c r="T266" s="13" t="str">
        <f aca="false">IF(S266="Oui",IF(R266=L266,"Identique","Changé"),"")</f>
        <v>Identique</v>
      </c>
    </row>
    <row r="267" customFormat="false" ht="57.45" hidden="false" customHeight="false" outlineLevel="0" collapsed="false">
      <c r="A267" s="13" t="s">
        <v>1042</v>
      </c>
      <c r="B267" s="13" t="s">
        <v>1043</v>
      </c>
      <c r="C267" s="13" t="n">
        <v>1</v>
      </c>
      <c r="D267" s="13" t="s">
        <v>135</v>
      </c>
      <c r="E267" s="13" t="s">
        <v>98</v>
      </c>
      <c r="F267" s="13" t="s">
        <v>1044</v>
      </c>
      <c r="G267" s="13" t="s">
        <v>100</v>
      </c>
      <c r="H267" s="13" t="s">
        <v>101</v>
      </c>
      <c r="I267" s="21" t="s">
        <v>1045</v>
      </c>
      <c r="J267" s="21" t="s">
        <v>1046</v>
      </c>
      <c r="K267" s="21" t="s">
        <v>1047</v>
      </c>
      <c r="L267" s="22" t="s">
        <v>36</v>
      </c>
      <c r="M267" s="21" t="s">
        <v>105</v>
      </c>
      <c r="N267" s="13" t="s">
        <v>106</v>
      </c>
      <c r="O267" s="23" t="n">
        <v>45.38</v>
      </c>
      <c r="P267" s="13" t="n">
        <v>1</v>
      </c>
      <c r="Q267" s="24" t="n">
        <v>46310.5703240741</v>
      </c>
      <c r="R267" s="22" t="s">
        <v>36</v>
      </c>
      <c r="S267" s="13" t="s">
        <v>107</v>
      </c>
      <c r="T267" s="13" t="str">
        <f aca="false">IF(S267="Oui",IF(R267=L267,"Identique","Changé"),"")</f>
        <v>Identique</v>
      </c>
    </row>
    <row r="268" customFormat="false" ht="35.05" hidden="false" customHeight="false" outlineLevel="0" collapsed="false">
      <c r="A268" s="13" t="s">
        <v>1048</v>
      </c>
      <c r="B268" s="13" t="s">
        <v>1043</v>
      </c>
      <c r="C268" s="13" t="n">
        <v>2</v>
      </c>
      <c r="D268" s="13" t="s">
        <v>135</v>
      </c>
      <c r="E268" s="13" t="s">
        <v>114</v>
      </c>
      <c r="F268" s="13" t="s">
        <v>1044</v>
      </c>
      <c r="G268" s="13" t="s">
        <v>116</v>
      </c>
      <c r="H268" s="13" t="s">
        <v>101</v>
      </c>
      <c r="I268" s="21" t="s">
        <v>1049</v>
      </c>
      <c r="J268" s="21" t="s">
        <v>138</v>
      </c>
      <c r="K268" s="21" t="s">
        <v>1050</v>
      </c>
      <c r="L268" s="22" t="s">
        <v>36</v>
      </c>
      <c r="M268" s="21" t="s">
        <v>120</v>
      </c>
      <c r="N268" s="13" t="s">
        <v>106</v>
      </c>
      <c r="O268" s="23" t="n">
        <v>19.91</v>
      </c>
      <c r="P268" s="13" t="n">
        <v>1</v>
      </c>
      <c r="Q268" s="24" t="n">
        <v>46310.5706597222</v>
      </c>
      <c r="R268" s="22" t="s">
        <v>36</v>
      </c>
      <c r="S268" s="13" t="s">
        <v>107</v>
      </c>
      <c r="T268" s="13" t="str">
        <f aca="false">IF(S268="Oui",IF(R268=L268,"Identique","Changé"),"")</f>
        <v>Identique</v>
      </c>
    </row>
    <row r="269" customFormat="false" ht="35.05" hidden="false" customHeight="false" outlineLevel="0" collapsed="false">
      <c r="A269" s="13" t="s">
        <v>1051</v>
      </c>
      <c r="B269" s="13" t="s">
        <v>1043</v>
      </c>
      <c r="C269" s="13" t="n">
        <v>3</v>
      </c>
      <c r="D269" s="13" t="s">
        <v>135</v>
      </c>
      <c r="E269" s="13" t="s">
        <v>128</v>
      </c>
      <c r="F269" s="13" t="s">
        <v>1044</v>
      </c>
      <c r="G269" s="13" t="s">
        <v>129</v>
      </c>
      <c r="H269" s="13" t="s">
        <v>101</v>
      </c>
      <c r="I269" s="21" t="s">
        <v>1052</v>
      </c>
      <c r="J269" s="21" t="s">
        <v>131</v>
      </c>
      <c r="K269" s="21" t="s">
        <v>1053</v>
      </c>
      <c r="L269" s="22" t="s">
        <v>36</v>
      </c>
      <c r="M269" s="21" t="s">
        <v>120</v>
      </c>
      <c r="N269" s="13" t="s">
        <v>106</v>
      </c>
      <c r="O269" s="23" t="n">
        <v>18.42</v>
      </c>
      <c r="P269" s="13" t="n">
        <v>1</v>
      </c>
      <c r="Q269" s="24" t="n">
        <v>46310.5709722222</v>
      </c>
      <c r="R269" s="22" t="s">
        <v>36</v>
      </c>
      <c r="S269" s="13" t="s">
        <v>107</v>
      </c>
      <c r="T269" s="13" t="str">
        <f aca="false">IF(S269="Oui",IF(R269=L269,"Identique","Changé"),"")</f>
        <v>Identique</v>
      </c>
    </row>
    <row r="270" customFormat="false" ht="35.05" hidden="false" customHeight="false" outlineLevel="0" collapsed="false">
      <c r="A270" s="13" t="s">
        <v>1054</v>
      </c>
      <c r="B270" s="13" t="s">
        <v>1043</v>
      </c>
      <c r="C270" s="13" t="n">
        <v>4</v>
      </c>
      <c r="D270" s="13" t="s">
        <v>135</v>
      </c>
      <c r="E270" s="13" t="s">
        <v>171</v>
      </c>
      <c r="F270" s="13" t="s">
        <v>1044</v>
      </c>
      <c r="G270" s="13" t="s">
        <v>172</v>
      </c>
      <c r="H270" s="13" t="s">
        <v>101</v>
      </c>
      <c r="I270" s="21" t="s">
        <v>575</v>
      </c>
      <c r="J270" s="21" t="s">
        <v>174</v>
      </c>
      <c r="K270" s="21" t="s">
        <v>1055</v>
      </c>
      <c r="L270" s="22" t="s">
        <v>36</v>
      </c>
      <c r="M270" s="21" t="s">
        <v>120</v>
      </c>
      <c r="N270" s="13" t="s">
        <v>106</v>
      </c>
      <c r="O270" s="23" t="n">
        <v>9.01</v>
      </c>
      <c r="P270" s="13" t="n">
        <v>1</v>
      </c>
      <c r="Q270" s="24" t="n">
        <v>46310.5711805556</v>
      </c>
      <c r="R270" s="22" t="s">
        <v>36</v>
      </c>
      <c r="S270" s="13" t="s">
        <v>107</v>
      </c>
      <c r="T270" s="13" t="str">
        <f aca="false">IF(S270="Oui",IF(R270=L270,"Identique","Changé"),"")</f>
        <v>Identique</v>
      </c>
    </row>
    <row r="271" customFormat="false" ht="35.05" hidden="false" customHeight="false" outlineLevel="0" collapsed="false">
      <c r="A271" s="13" t="s">
        <v>1056</v>
      </c>
      <c r="B271" s="13" t="s">
        <v>1043</v>
      </c>
      <c r="C271" s="13" t="n">
        <v>5</v>
      </c>
      <c r="D271" s="13" t="s">
        <v>135</v>
      </c>
      <c r="E271" s="13" t="s">
        <v>122</v>
      </c>
      <c r="F271" s="13" t="s">
        <v>1044</v>
      </c>
      <c r="G271" s="13" t="s">
        <v>123</v>
      </c>
      <c r="H271" s="13" t="s">
        <v>101</v>
      </c>
      <c r="I271" s="21" t="s">
        <v>1057</v>
      </c>
      <c r="J271" s="21" t="s">
        <v>125</v>
      </c>
      <c r="K271" s="21" t="s">
        <v>1058</v>
      </c>
      <c r="L271" s="22" t="s">
        <v>36</v>
      </c>
      <c r="M271" s="21" t="s">
        <v>120</v>
      </c>
      <c r="N271" s="13" t="s">
        <v>106</v>
      </c>
      <c r="O271" s="23" t="n">
        <v>10.71</v>
      </c>
      <c r="P271" s="13" t="n">
        <v>1</v>
      </c>
      <c r="Q271" s="24" t="n">
        <v>46310.571400463</v>
      </c>
      <c r="R271" s="22" t="s">
        <v>36</v>
      </c>
      <c r="S271" s="13" t="s">
        <v>107</v>
      </c>
      <c r="T271" s="13" t="str">
        <f aca="false">IF(S271="Oui",IF(R271=L271,"Identique","Changé"),"")</f>
        <v>Identique</v>
      </c>
    </row>
    <row r="272" customFormat="false" ht="35.05" hidden="false" customHeight="false" outlineLevel="0" collapsed="false">
      <c r="A272" s="13" t="s">
        <v>1059</v>
      </c>
      <c r="B272" s="13" t="s">
        <v>1060</v>
      </c>
      <c r="C272" s="13" t="n">
        <v>1</v>
      </c>
      <c r="D272" s="13" t="s">
        <v>97</v>
      </c>
      <c r="E272" s="13" t="s">
        <v>98</v>
      </c>
      <c r="F272" s="13" t="s">
        <v>664</v>
      </c>
      <c r="G272" s="13" t="s">
        <v>100</v>
      </c>
      <c r="H272" s="13" t="s">
        <v>101</v>
      </c>
      <c r="I272" s="21" t="s">
        <v>1061</v>
      </c>
      <c r="J272" s="21" t="s">
        <v>632</v>
      </c>
      <c r="K272" s="21" t="s">
        <v>1062</v>
      </c>
      <c r="L272" s="22" t="s">
        <v>36</v>
      </c>
      <c r="M272" s="21" t="s">
        <v>120</v>
      </c>
      <c r="N272" s="13" t="s">
        <v>106</v>
      </c>
      <c r="O272" s="23" t="n">
        <v>42.23</v>
      </c>
      <c r="P272" s="13" t="n">
        <v>1</v>
      </c>
      <c r="Q272" s="24" t="n">
        <v>46310.5720601852</v>
      </c>
      <c r="R272" s="22" t="s">
        <v>36</v>
      </c>
      <c r="S272" s="13" t="s">
        <v>107</v>
      </c>
      <c r="T272" s="13" t="str">
        <f aca="false">IF(S272="Oui",IF(R272=L272,"Identique","Changé"),"")</f>
        <v>Identique</v>
      </c>
    </row>
    <row r="273" customFormat="false" ht="23.85" hidden="false" customHeight="false" outlineLevel="0" collapsed="false">
      <c r="A273" s="13" t="s">
        <v>1063</v>
      </c>
      <c r="B273" s="13" t="s">
        <v>1060</v>
      </c>
      <c r="C273" s="13" t="n">
        <v>2</v>
      </c>
      <c r="D273" s="13" t="s">
        <v>97</v>
      </c>
      <c r="E273" s="13" t="s">
        <v>260</v>
      </c>
      <c r="F273" s="13" t="s">
        <v>664</v>
      </c>
      <c r="G273" s="13" t="s">
        <v>261</v>
      </c>
      <c r="H273" s="13" t="s">
        <v>101</v>
      </c>
      <c r="I273" s="21" t="s">
        <v>1064</v>
      </c>
      <c r="J273" s="21" t="s">
        <v>263</v>
      </c>
      <c r="K273" s="21" t="s">
        <v>1065</v>
      </c>
      <c r="L273" s="22" t="s">
        <v>36</v>
      </c>
      <c r="M273" s="21" t="s">
        <v>120</v>
      </c>
      <c r="N273" s="13" t="s">
        <v>106</v>
      </c>
      <c r="O273" s="23" t="n">
        <v>14.62</v>
      </c>
      <c r="P273" s="13" t="n">
        <v>1</v>
      </c>
      <c r="Q273" s="24" t="n">
        <v>46310.5723263889</v>
      </c>
      <c r="R273" s="22" t="s">
        <v>36</v>
      </c>
      <c r="S273" s="13" t="s">
        <v>107</v>
      </c>
      <c r="T273" s="13" t="str">
        <f aca="false">IF(S273="Oui",IF(R273=L273,"Identique","Changé"),"")</f>
        <v>Identique</v>
      </c>
    </row>
    <row r="274" customFormat="false" ht="35.05" hidden="false" customHeight="false" outlineLevel="0" collapsed="false">
      <c r="A274" s="13" t="s">
        <v>1066</v>
      </c>
      <c r="B274" s="13" t="s">
        <v>1060</v>
      </c>
      <c r="C274" s="13" t="n">
        <v>3</v>
      </c>
      <c r="D274" s="13" t="s">
        <v>97</v>
      </c>
      <c r="E274" s="13" t="s">
        <v>171</v>
      </c>
      <c r="F274" s="13" t="s">
        <v>664</v>
      </c>
      <c r="G274" s="13" t="s">
        <v>172</v>
      </c>
      <c r="H274" s="13" t="s">
        <v>101</v>
      </c>
      <c r="I274" s="21" t="s">
        <v>575</v>
      </c>
      <c r="J274" s="21" t="s">
        <v>228</v>
      </c>
      <c r="K274" s="21" t="s">
        <v>1067</v>
      </c>
      <c r="L274" s="22" t="s">
        <v>36</v>
      </c>
      <c r="M274" s="21" t="s">
        <v>120</v>
      </c>
      <c r="N274" s="13" t="s">
        <v>106</v>
      </c>
      <c r="O274" s="23" t="n">
        <v>10.79</v>
      </c>
      <c r="P274" s="13" t="n">
        <v>1</v>
      </c>
      <c r="Q274" s="24" t="n">
        <v>46310.5725462963</v>
      </c>
      <c r="R274" s="22" t="s">
        <v>36</v>
      </c>
      <c r="S274" s="13" t="s">
        <v>107</v>
      </c>
      <c r="T274" s="13" t="str">
        <f aca="false">IF(S274="Oui",IF(R274=L274,"Identique","Changé"),"")</f>
        <v>Identique</v>
      </c>
    </row>
    <row r="275" customFormat="false" ht="46.25" hidden="false" customHeight="false" outlineLevel="0" collapsed="false">
      <c r="A275" s="13" t="s">
        <v>1068</v>
      </c>
      <c r="B275" s="13" t="s">
        <v>1060</v>
      </c>
      <c r="C275" s="13" t="n">
        <v>4</v>
      </c>
      <c r="D275" s="13" t="s">
        <v>97</v>
      </c>
      <c r="E275" s="13" t="s">
        <v>114</v>
      </c>
      <c r="F275" s="13" t="s">
        <v>664</v>
      </c>
      <c r="G275" s="13" t="s">
        <v>141</v>
      </c>
      <c r="H275" s="13" t="s">
        <v>101</v>
      </c>
      <c r="I275" s="21" t="s">
        <v>1069</v>
      </c>
      <c r="J275" s="21" t="s">
        <v>143</v>
      </c>
      <c r="K275" s="21" t="s">
        <v>1070</v>
      </c>
      <c r="L275" s="22" t="s">
        <v>36</v>
      </c>
      <c r="M275" s="21" t="s">
        <v>120</v>
      </c>
      <c r="N275" s="13" t="s">
        <v>106</v>
      </c>
      <c r="O275" s="23" t="n">
        <v>10.2</v>
      </c>
      <c r="P275" s="13" t="n">
        <v>1</v>
      </c>
      <c r="Q275" s="24" t="n">
        <v>46310.5727777778</v>
      </c>
      <c r="R275" s="22" t="s">
        <v>36</v>
      </c>
      <c r="S275" s="13" t="s">
        <v>107</v>
      </c>
      <c r="T275" s="13" t="str">
        <f aca="false">IF(S275="Oui",IF(R275=L275,"Identique","Changé"),"")</f>
        <v>Identique</v>
      </c>
    </row>
    <row r="276" customFormat="false" ht="46.25" hidden="false" customHeight="false" outlineLevel="0" collapsed="false">
      <c r="A276" s="13" t="s">
        <v>1071</v>
      </c>
      <c r="B276" s="13" t="s">
        <v>1060</v>
      </c>
      <c r="C276" s="13" t="n">
        <v>5</v>
      </c>
      <c r="D276" s="13" t="s">
        <v>97</v>
      </c>
      <c r="E276" s="13" t="s">
        <v>122</v>
      </c>
      <c r="F276" s="13" t="s">
        <v>664</v>
      </c>
      <c r="G276" s="13" t="s">
        <v>123</v>
      </c>
      <c r="H276" s="13" t="s">
        <v>101</v>
      </c>
      <c r="I276" s="21" t="s">
        <v>607</v>
      </c>
      <c r="J276" s="21" t="s">
        <v>125</v>
      </c>
      <c r="K276" s="21" t="s">
        <v>1072</v>
      </c>
      <c r="L276" s="22" t="s">
        <v>36</v>
      </c>
      <c r="M276" s="21" t="s">
        <v>120</v>
      </c>
      <c r="N276" s="13" t="s">
        <v>106</v>
      </c>
      <c r="O276" s="23" t="n">
        <v>11.52</v>
      </c>
      <c r="P276" s="13" t="n">
        <v>1</v>
      </c>
      <c r="Q276" s="24" t="n">
        <v>46310.5730092593</v>
      </c>
      <c r="R276" s="22" t="s">
        <v>36</v>
      </c>
      <c r="S276" s="13" t="s">
        <v>107</v>
      </c>
      <c r="T276" s="13" t="str">
        <f aca="false">IF(S276="Oui",IF(R276=L276,"Identique","Changé"),"")</f>
        <v>Identique</v>
      </c>
    </row>
    <row r="277" customFormat="false" ht="35.05" hidden="false" customHeight="false" outlineLevel="0" collapsed="false">
      <c r="A277" s="13" t="s">
        <v>1073</v>
      </c>
      <c r="B277" s="13" t="s">
        <v>1074</v>
      </c>
      <c r="C277" s="13" t="n">
        <v>1</v>
      </c>
      <c r="D277" s="13" t="s">
        <v>135</v>
      </c>
      <c r="E277" s="13" t="s">
        <v>122</v>
      </c>
      <c r="F277" s="13" t="s">
        <v>1075</v>
      </c>
      <c r="G277" s="13" t="s">
        <v>123</v>
      </c>
      <c r="H277" s="13" t="s">
        <v>101</v>
      </c>
      <c r="I277" s="21" t="s">
        <v>1076</v>
      </c>
      <c r="J277" s="21" t="s">
        <v>125</v>
      </c>
      <c r="K277" s="21" t="s">
        <v>1077</v>
      </c>
      <c r="L277" s="22" t="s">
        <v>37</v>
      </c>
      <c r="M277" s="21" t="s">
        <v>163</v>
      </c>
      <c r="N277" s="13" t="s">
        <v>106</v>
      </c>
      <c r="O277" s="23" t="n">
        <v>21.13</v>
      </c>
      <c r="P277" s="13" t="n">
        <v>2</v>
      </c>
      <c r="Q277" s="24" t="n">
        <v>46310.5779976852</v>
      </c>
      <c r="R277" s="22" t="s">
        <v>36</v>
      </c>
      <c r="S277" s="13" t="s">
        <v>107</v>
      </c>
      <c r="T277" s="13" t="str">
        <f aca="false">IF(S277="Oui",IF(R277=L277,"Identique","Changé"),"")</f>
        <v>Changé</v>
      </c>
    </row>
    <row r="278" customFormat="false" ht="35.05" hidden="false" customHeight="false" outlineLevel="0" collapsed="false">
      <c r="A278" s="13" t="s">
        <v>1078</v>
      </c>
      <c r="B278" s="13" t="s">
        <v>1074</v>
      </c>
      <c r="C278" s="13" t="n">
        <v>2</v>
      </c>
      <c r="D278" s="13" t="s">
        <v>135</v>
      </c>
      <c r="E278" s="13" t="s">
        <v>171</v>
      </c>
      <c r="F278" s="13" t="s">
        <v>1075</v>
      </c>
      <c r="G278" s="13" t="s">
        <v>172</v>
      </c>
      <c r="H278" s="13" t="s">
        <v>101</v>
      </c>
      <c r="I278" s="21" t="s">
        <v>575</v>
      </c>
      <c r="J278" s="21" t="s">
        <v>821</v>
      </c>
      <c r="K278" s="21" t="s">
        <v>1079</v>
      </c>
      <c r="L278" s="22" t="s">
        <v>36</v>
      </c>
      <c r="M278" s="21" t="s">
        <v>120</v>
      </c>
      <c r="N278" s="13" t="s">
        <v>106</v>
      </c>
      <c r="O278" s="23" t="n">
        <v>22.52</v>
      </c>
      <c r="P278" s="13" t="n">
        <v>2</v>
      </c>
      <c r="Q278" s="24" t="n">
        <v>46310.5783564815</v>
      </c>
      <c r="R278" s="22" t="s">
        <v>36</v>
      </c>
      <c r="S278" s="13" t="s">
        <v>107</v>
      </c>
      <c r="T278" s="13" t="str">
        <f aca="false">IF(S278="Oui",IF(R278=L278,"Identique","Changé"),"")</f>
        <v>Identique</v>
      </c>
    </row>
    <row r="279" customFormat="false" ht="68.65" hidden="false" customHeight="false" outlineLevel="0" collapsed="false">
      <c r="A279" s="13" t="s">
        <v>1080</v>
      </c>
      <c r="B279" s="13" t="s">
        <v>1074</v>
      </c>
      <c r="C279" s="13" t="n">
        <v>3</v>
      </c>
      <c r="D279" s="13" t="s">
        <v>135</v>
      </c>
      <c r="E279" s="13" t="s">
        <v>122</v>
      </c>
      <c r="F279" s="13" t="s">
        <v>1081</v>
      </c>
      <c r="G279" s="13" t="s">
        <v>282</v>
      </c>
      <c r="H279" s="13" t="s">
        <v>101</v>
      </c>
      <c r="I279" s="21" t="s">
        <v>1082</v>
      </c>
      <c r="J279" s="21" t="s">
        <v>284</v>
      </c>
      <c r="K279" s="21" t="s">
        <v>1083</v>
      </c>
      <c r="L279" s="22" t="s">
        <v>37</v>
      </c>
      <c r="M279" s="21" t="s">
        <v>1084</v>
      </c>
      <c r="N279" s="13" t="s">
        <v>1085</v>
      </c>
      <c r="O279" s="23" t="n">
        <v>31.51</v>
      </c>
      <c r="P279" s="13" t="n">
        <v>2</v>
      </c>
      <c r="Q279" s="24" t="n">
        <v>46310.5788194445</v>
      </c>
      <c r="R279" s="22" t="s">
        <v>37</v>
      </c>
      <c r="S279" s="13" t="s">
        <v>107</v>
      </c>
      <c r="T279" s="13" t="str">
        <f aca="false">IF(S279="Oui",IF(R279=L279,"Identique","Changé"),"")</f>
        <v>Identique</v>
      </c>
    </row>
    <row r="280" customFormat="false" ht="46.25" hidden="false" customHeight="false" outlineLevel="0" collapsed="false">
      <c r="A280" s="13" t="s">
        <v>1086</v>
      </c>
      <c r="B280" s="13" t="s">
        <v>1074</v>
      </c>
      <c r="C280" s="13" t="n">
        <v>4</v>
      </c>
      <c r="D280" s="13" t="s">
        <v>135</v>
      </c>
      <c r="E280" s="13" t="s">
        <v>171</v>
      </c>
      <c r="F280" s="13" t="s">
        <v>1081</v>
      </c>
      <c r="G280" s="13" t="s">
        <v>222</v>
      </c>
      <c r="H280" s="13" t="s">
        <v>101</v>
      </c>
      <c r="I280" s="21" t="s">
        <v>1087</v>
      </c>
      <c r="J280" s="21" t="s">
        <v>224</v>
      </c>
      <c r="K280" s="21" t="s">
        <v>1088</v>
      </c>
      <c r="L280" s="22" t="s">
        <v>36</v>
      </c>
      <c r="M280" s="21" t="s">
        <v>120</v>
      </c>
      <c r="N280" s="13" t="s">
        <v>106</v>
      </c>
      <c r="O280" s="23" t="n">
        <v>10.22</v>
      </c>
      <c r="P280" s="13" t="n">
        <v>2</v>
      </c>
      <c r="Q280" s="24" t="n">
        <v>46310.5790509259</v>
      </c>
      <c r="R280" s="22" t="s">
        <v>36</v>
      </c>
      <c r="S280" s="13" t="s">
        <v>107</v>
      </c>
      <c r="T280" s="13" t="str">
        <f aca="false">IF(S280="Oui",IF(R280=L280,"Identique","Changé"),"")</f>
        <v>Identique</v>
      </c>
    </row>
    <row r="281" customFormat="false" ht="35.05" hidden="false" customHeight="false" outlineLevel="0" collapsed="false">
      <c r="A281" s="13" t="s">
        <v>1089</v>
      </c>
      <c r="B281" s="13" t="s">
        <v>1074</v>
      </c>
      <c r="C281" s="13" t="n">
        <v>5</v>
      </c>
      <c r="D281" s="13" t="s">
        <v>135</v>
      </c>
      <c r="E281" s="13" t="s">
        <v>260</v>
      </c>
      <c r="F281" s="13" t="s">
        <v>1075</v>
      </c>
      <c r="G281" s="13" t="s">
        <v>261</v>
      </c>
      <c r="H281" s="13" t="s">
        <v>101</v>
      </c>
      <c r="I281" s="21" t="s">
        <v>1090</v>
      </c>
      <c r="J281" s="21" t="s">
        <v>263</v>
      </c>
      <c r="K281" s="21" t="s">
        <v>1091</v>
      </c>
      <c r="L281" s="22" t="s">
        <v>36</v>
      </c>
      <c r="M281" s="21" t="s">
        <v>120</v>
      </c>
      <c r="N281" s="13" t="s">
        <v>106</v>
      </c>
      <c r="O281" s="23" t="n">
        <v>15.74</v>
      </c>
      <c r="P281" s="13" t="n">
        <v>2</v>
      </c>
      <c r="Q281" s="24" t="n">
        <v>46310.5793402778</v>
      </c>
      <c r="R281" s="22" t="s">
        <v>36</v>
      </c>
      <c r="S281" s="13" t="s">
        <v>107</v>
      </c>
      <c r="T281" s="13" t="str">
        <f aca="false">IF(S281="Oui",IF(R281=L281,"Identique","Changé"),"")</f>
        <v>Identique</v>
      </c>
    </row>
    <row r="282" customFormat="false" ht="35.05" hidden="false" customHeight="false" outlineLevel="0" collapsed="false">
      <c r="A282" s="13" t="s">
        <v>1092</v>
      </c>
      <c r="B282" s="13" t="s">
        <v>1093</v>
      </c>
      <c r="C282" s="13" t="n">
        <v>1</v>
      </c>
      <c r="D282" s="13" t="s">
        <v>97</v>
      </c>
      <c r="E282" s="13" t="s">
        <v>171</v>
      </c>
      <c r="F282" s="13" t="s">
        <v>1094</v>
      </c>
      <c r="G282" s="13" t="s">
        <v>172</v>
      </c>
      <c r="H282" s="13" t="s">
        <v>101</v>
      </c>
      <c r="I282" s="21" t="s">
        <v>1095</v>
      </c>
      <c r="J282" s="21" t="s">
        <v>174</v>
      </c>
      <c r="K282" s="21" t="s">
        <v>1096</v>
      </c>
      <c r="L282" s="22" t="s">
        <v>36</v>
      </c>
      <c r="M282" s="21" t="s">
        <v>120</v>
      </c>
      <c r="N282" s="13" t="s">
        <v>106</v>
      </c>
      <c r="O282" s="23" t="n">
        <v>38.32</v>
      </c>
      <c r="P282" s="13" t="n">
        <v>1</v>
      </c>
      <c r="Q282" s="24" t="n">
        <v>46310.5799189815</v>
      </c>
      <c r="R282" s="22" t="s">
        <v>36</v>
      </c>
      <c r="S282" s="13" t="s">
        <v>107</v>
      </c>
      <c r="T282" s="13" t="str">
        <f aca="false">IF(S282="Oui",IF(R282=L282,"Identique","Changé"),"")</f>
        <v>Identique</v>
      </c>
    </row>
    <row r="283" customFormat="false" ht="35.05" hidden="false" customHeight="false" outlineLevel="0" collapsed="false">
      <c r="A283" s="13" t="s">
        <v>1097</v>
      </c>
      <c r="B283" s="13" t="s">
        <v>1093</v>
      </c>
      <c r="C283" s="13" t="n">
        <v>2</v>
      </c>
      <c r="D283" s="13" t="s">
        <v>97</v>
      </c>
      <c r="E283" s="13" t="s">
        <v>98</v>
      </c>
      <c r="F283" s="13" t="s">
        <v>1094</v>
      </c>
      <c r="G283" s="13" t="s">
        <v>109</v>
      </c>
      <c r="H283" s="13" t="s">
        <v>101</v>
      </c>
      <c r="I283" s="21" t="s">
        <v>631</v>
      </c>
      <c r="J283" s="21" t="s">
        <v>111</v>
      </c>
      <c r="K283" s="21" t="s">
        <v>1098</v>
      </c>
      <c r="L283" s="22" t="s">
        <v>36</v>
      </c>
      <c r="M283" s="21" t="s">
        <v>105</v>
      </c>
      <c r="N283" s="13" t="s">
        <v>106</v>
      </c>
      <c r="O283" s="23" t="n">
        <v>14.8</v>
      </c>
      <c r="P283" s="13" t="n">
        <v>1</v>
      </c>
      <c r="Q283" s="24" t="n">
        <v>46310.5801967593</v>
      </c>
      <c r="R283" s="22" t="s">
        <v>36</v>
      </c>
      <c r="S283" s="13" t="s">
        <v>107</v>
      </c>
      <c r="T283" s="13" t="str">
        <f aca="false">IF(S283="Oui",IF(R283=L283,"Identique","Changé"),"")</f>
        <v>Identique</v>
      </c>
    </row>
    <row r="284" customFormat="false" ht="35.05" hidden="false" customHeight="false" outlineLevel="0" collapsed="false">
      <c r="A284" s="13" t="s">
        <v>1099</v>
      </c>
      <c r="B284" s="13" t="s">
        <v>1093</v>
      </c>
      <c r="C284" s="13" t="n">
        <v>3</v>
      </c>
      <c r="D284" s="13" t="s">
        <v>97</v>
      </c>
      <c r="E284" s="13" t="s">
        <v>171</v>
      </c>
      <c r="F284" s="13" t="s">
        <v>1094</v>
      </c>
      <c r="G284" s="13" t="s">
        <v>222</v>
      </c>
      <c r="H284" s="13" t="s">
        <v>101</v>
      </c>
      <c r="I284" s="21" t="s">
        <v>1087</v>
      </c>
      <c r="J284" s="21" t="s">
        <v>334</v>
      </c>
      <c r="K284" s="21" t="s">
        <v>1100</v>
      </c>
      <c r="L284" s="22" t="s">
        <v>36</v>
      </c>
      <c r="M284" s="21" t="s">
        <v>120</v>
      </c>
      <c r="N284" s="13" t="s">
        <v>106</v>
      </c>
      <c r="O284" s="23" t="n">
        <v>29.58</v>
      </c>
      <c r="P284" s="13" t="n">
        <v>1</v>
      </c>
      <c r="Q284" s="24" t="n">
        <v>46310.5806365741</v>
      </c>
      <c r="R284" s="22" t="s">
        <v>36</v>
      </c>
      <c r="S284" s="13" t="s">
        <v>107</v>
      </c>
      <c r="T284" s="13" t="str">
        <f aca="false">IF(S284="Oui",IF(R284=L284,"Identique","Changé"),"")</f>
        <v>Identique</v>
      </c>
    </row>
    <row r="285" customFormat="false" ht="46.25" hidden="false" customHeight="false" outlineLevel="0" collapsed="false">
      <c r="A285" s="13" t="s">
        <v>1101</v>
      </c>
      <c r="B285" s="13" t="s">
        <v>1093</v>
      </c>
      <c r="C285" s="13" t="n">
        <v>4</v>
      </c>
      <c r="D285" s="13" t="s">
        <v>97</v>
      </c>
      <c r="E285" s="13" t="s">
        <v>570</v>
      </c>
      <c r="F285" s="13" t="s">
        <v>1094</v>
      </c>
      <c r="G285" s="13" t="s">
        <v>639</v>
      </c>
      <c r="H285" s="13" t="s">
        <v>152</v>
      </c>
      <c r="I285" s="21" t="s">
        <v>640</v>
      </c>
      <c r="J285" s="21" t="s">
        <v>154</v>
      </c>
      <c r="K285" s="21" t="s">
        <v>1102</v>
      </c>
      <c r="L285" s="22" t="s">
        <v>40</v>
      </c>
      <c r="M285" s="21" t="s">
        <v>156</v>
      </c>
      <c r="N285" s="13" t="s">
        <v>106</v>
      </c>
      <c r="O285" s="23" t="n">
        <v>15.97</v>
      </c>
      <c r="P285" s="13" t="n">
        <v>1</v>
      </c>
      <c r="Q285" s="24" t="n">
        <v>46310.5809259259</v>
      </c>
      <c r="R285" s="22" t="s">
        <v>40</v>
      </c>
      <c r="S285" s="13" t="s">
        <v>107</v>
      </c>
      <c r="T285" s="13" t="str">
        <f aca="false">IF(S285="Oui",IF(R285=L285,"Identique","Changé"),"")</f>
        <v>Identique</v>
      </c>
    </row>
    <row r="286" customFormat="false" ht="23.85" hidden="false" customHeight="false" outlineLevel="0" collapsed="false">
      <c r="A286" s="13" t="s">
        <v>1103</v>
      </c>
      <c r="B286" s="13" t="s">
        <v>1093</v>
      </c>
      <c r="C286" s="13" t="n">
        <v>5</v>
      </c>
      <c r="D286" s="13" t="s">
        <v>97</v>
      </c>
      <c r="E286" s="13" t="s">
        <v>158</v>
      </c>
      <c r="F286" s="13" t="s">
        <v>1094</v>
      </c>
      <c r="G286" s="13" t="s">
        <v>159</v>
      </c>
      <c r="H286" s="13" t="s">
        <v>101</v>
      </c>
      <c r="I286" s="21" t="s">
        <v>1104</v>
      </c>
      <c r="J286" s="21" t="s">
        <v>233</v>
      </c>
      <c r="K286" s="21" t="s">
        <v>1105</v>
      </c>
      <c r="L286" s="22" t="s">
        <v>37</v>
      </c>
      <c r="M286" s="21" t="s">
        <v>163</v>
      </c>
      <c r="N286" s="13" t="s">
        <v>106</v>
      </c>
      <c r="O286" s="23" t="n">
        <v>10.3</v>
      </c>
      <c r="P286" s="13" t="n">
        <v>1</v>
      </c>
      <c r="Q286" s="24" t="n">
        <v>46310.5811574074</v>
      </c>
      <c r="R286" s="22" t="s">
        <v>37</v>
      </c>
      <c r="S286" s="13" t="s">
        <v>107</v>
      </c>
      <c r="T286" s="13" t="str">
        <f aca="false">IF(S286="Oui",IF(R286=L286,"Identique","Changé"),"")</f>
        <v>Identique</v>
      </c>
    </row>
    <row r="287" customFormat="false" ht="23.85" hidden="false" customHeight="false" outlineLevel="0" collapsed="false">
      <c r="A287" s="13" t="s">
        <v>1106</v>
      </c>
      <c r="B287" s="13" t="s">
        <v>1107</v>
      </c>
      <c r="C287" s="13" t="n">
        <v>1</v>
      </c>
      <c r="D287" s="13" t="s">
        <v>135</v>
      </c>
      <c r="E287" s="13" t="s">
        <v>128</v>
      </c>
      <c r="F287" s="13" t="s">
        <v>1108</v>
      </c>
      <c r="G287" s="13" t="s">
        <v>193</v>
      </c>
      <c r="H287" s="13" t="s">
        <v>101</v>
      </c>
      <c r="I287" s="21" t="s">
        <v>1109</v>
      </c>
      <c r="J287" s="21" t="s">
        <v>195</v>
      </c>
      <c r="K287" s="21" t="s">
        <v>1110</v>
      </c>
      <c r="L287" s="22" t="s">
        <v>37</v>
      </c>
      <c r="M287" s="21" t="s">
        <v>163</v>
      </c>
      <c r="N287" s="13" t="s">
        <v>106</v>
      </c>
      <c r="O287" s="23" t="n">
        <v>23.09</v>
      </c>
      <c r="P287" s="13" t="n">
        <v>2</v>
      </c>
      <c r="Q287" s="24" t="n">
        <v>46310.58625</v>
      </c>
      <c r="R287" s="22" t="s">
        <v>36</v>
      </c>
      <c r="S287" s="13" t="s">
        <v>107</v>
      </c>
      <c r="T287" s="13" t="str">
        <f aca="false">IF(S287="Oui",IF(R287=L287,"Identique","Changé"),"")</f>
        <v>Changé</v>
      </c>
    </row>
    <row r="288" customFormat="false" ht="46.25" hidden="false" customHeight="false" outlineLevel="0" collapsed="false">
      <c r="A288" s="13" t="s">
        <v>1111</v>
      </c>
      <c r="B288" s="13" t="s">
        <v>1107</v>
      </c>
      <c r="C288" s="13" t="n">
        <v>2</v>
      </c>
      <c r="D288" s="13" t="s">
        <v>135</v>
      </c>
      <c r="E288" s="13" t="s">
        <v>128</v>
      </c>
      <c r="F288" s="13" t="s">
        <v>1108</v>
      </c>
      <c r="G288" s="13" t="s">
        <v>129</v>
      </c>
      <c r="H288" s="13" t="s">
        <v>101</v>
      </c>
      <c r="I288" s="21" t="s">
        <v>650</v>
      </c>
      <c r="J288" s="21" t="s">
        <v>199</v>
      </c>
      <c r="K288" s="21" t="s">
        <v>1112</v>
      </c>
      <c r="L288" s="22" t="s">
        <v>37</v>
      </c>
      <c r="M288" s="21" t="s">
        <v>163</v>
      </c>
      <c r="N288" s="13" t="s">
        <v>106</v>
      </c>
      <c r="O288" s="23" t="n">
        <v>12.67</v>
      </c>
      <c r="P288" s="13" t="n">
        <v>2</v>
      </c>
      <c r="Q288" s="24" t="n">
        <v>46310.5865046296</v>
      </c>
      <c r="R288" s="22" t="s">
        <v>36</v>
      </c>
      <c r="S288" s="13" t="s">
        <v>107</v>
      </c>
      <c r="T288" s="13" t="str">
        <f aca="false">IF(S288="Oui",IF(R288=L288,"Identique","Changé"),"")</f>
        <v>Changé</v>
      </c>
    </row>
    <row r="289" customFormat="false" ht="35.05" hidden="false" customHeight="false" outlineLevel="0" collapsed="false">
      <c r="A289" s="13" t="s">
        <v>1113</v>
      </c>
      <c r="B289" s="13" t="s">
        <v>1107</v>
      </c>
      <c r="C289" s="13" t="n">
        <v>3</v>
      </c>
      <c r="D289" s="13" t="s">
        <v>135</v>
      </c>
      <c r="E289" s="13" t="s">
        <v>260</v>
      </c>
      <c r="F289" s="13" t="s">
        <v>1108</v>
      </c>
      <c r="G289" s="13" t="s">
        <v>261</v>
      </c>
      <c r="H289" s="13" t="s">
        <v>101</v>
      </c>
      <c r="I289" s="21" t="s">
        <v>493</v>
      </c>
      <c r="J289" s="21" t="s">
        <v>263</v>
      </c>
      <c r="K289" s="21" t="s">
        <v>1114</v>
      </c>
      <c r="L289" s="22" t="s">
        <v>37</v>
      </c>
      <c r="M289" s="21" t="s">
        <v>163</v>
      </c>
      <c r="N289" s="13" t="s">
        <v>106</v>
      </c>
      <c r="O289" s="23" t="n">
        <v>10.46</v>
      </c>
      <c r="P289" s="13" t="n">
        <v>2</v>
      </c>
      <c r="Q289" s="24" t="n">
        <v>46310.5867476852</v>
      </c>
      <c r="R289" s="22" t="s">
        <v>36</v>
      </c>
      <c r="S289" s="13" t="s">
        <v>107</v>
      </c>
      <c r="T289" s="13" t="str">
        <f aca="false">IF(S289="Oui",IF(R289=L289,"Identique","Changé"),"")</f>
        <v>Changé</v>
      </c>
    </row>
    <row r="290" customFormat="false" ht="35.05" hidden="false" customHeight="false" outlineLevel="0" collapsed="false">
      <c r="A290" s="13" t="s">
        <v>1115</v>
      </c>
      <c r="B290" s="13" t="s">
        <v>1107</v>
      </c>
      <c r="C290" s="13" t="n">
        <v>4</v>
      </c>
      <c r="D290" s="13" t="s">
        <v>135</v>
      </c>
      <c r="E290" s="13" t="s">
        <v>401</v>
      </c>
      <c r="F290" s="13" t="s">
        <v>1108</v>
      </c>
      <c r="G290" s="13" t="s">
        <v>402</v>
      </c>
      <c r="H290" s="13" t="s">
        <v>152</v>
      </c>
      <c r="I290" s="21" t="s">
        <v>1116</v>
      </c>
      <c r="J290" s="21" t="s">
        <v>154</v>
      </c>
      <c r="K290" s="21" t="s">
        <v>1117</v>
      </c>
      <c r="L290" s="22" t="s">
        <v>40</v>
      </c>
      <c r="M290" s="21" t="s">
        <v>156</v>
      </c>
      <c r="N290" s="13" t="s">
        <v>106</v>
      </c>
      <c r="O290" s="23" t="n">
        <v>13.35</v>
      </c>
      <c r="P290" s="13" t="n">
        <v>2</v>
      </c>
      <c r="Q290" s="24" t="n">
        <v>46310.587025463</v>
      </c>
      <c r="R290" s="22" t="s">
        <v>40</v>
      </c>
      <c r="S290" s="13" t="s">
        <v>107</v>
      </c>
      <c r="T290" s="13" t="str">
        <f aca="false">IF(S290="Oui",IF(R290=L290,"Identique","Changé"),"")</f>
        <v>Identique</v>
      </c>
    </row>
    <row r="291" customFormat="false" ht="35.05" hidden="false" customHeight="false" outlineLevel="0" collapsed="false">
      <c r="A291" s="13" t="s">
        <v>1118</v>
      </c>
      <c r="B291" s="13" t="s">
        <v>1107</v>
      </c>
      <c r="C291" s="13" t="n">
        <v>5</v>
      </c>
      <c r="D291" s="13" t="s">
        <v>135</v>
      </c>
      <c r="E291" s="13" t="s">
        <v>114</v>
      </c>
      <c r="F291" s="13" t="s">
        <v>1108</v>
      </c>
      <c r="G291" s="13" t="s">
        <v>116</v>
      </c>
      <c r="H291" s="13" t="s">
        <v>101</v>
      </c>
      <c r="I291" s="21" t="s">
        <v>1119</v>
      </c>
      <c r="J291" s="21" t="s">
        <v>118</v>
      </c>
      <c r="K291" s="21" t="s">
        <v>1120</v>
      </c>
      <c r="L291" s="22" t="s">
        <v>37</v>
      </c>
      <c r="M291" s="21" t="s">
        <v>163</v>
      </c>
      <c r="N291" s="13" t="s">
        <v>106</v>
      </c>
      <c r="O291" s="23" t="n">
        <v>10.18</v>
      </c>
      <c r="P291" s="13" t="n">
        <v>2</v>
      </c>
      <c r="Q291" s="24" t="n">
        <v>46310.5872685185</v>
      </c>
      <c r="R291" s="22" t="s">
        <v>36</v>
      </c>
      <c r="S291" s="13" t="s">
        <v>107</v>
      </c>
      <c r="T291" s="13" t="str">
        <f aca="false">IF(S291="Oui",IF(R291=L291,"Identique","Changé"),"")</f>
        <v>Changé</v>
      </c>
    </row>
    <row r="292" customFormat="false" ht="57.45" hidden="false" customHeight="false" outlineLevel="0" collapsed="false">
      <c r="A292" s="13" t="s">
        <v>1121</v>
      </c>
      <c r="B292" s="13" t="s">
        <v>1122</v>
      </c>
      <c r="C292" s="13" t="n">
        <v>1</v>
      </c>
      <c r="D292" s="13" t="s">
        <v>97</v>
      </c>
      <c r="E292" s="13" t="s">
        <v>171</v>
      </c>
      <c r="F292" s="13" t="s">
        <v>816</v>
      </c>
      <c r="G292" s="13" t="s">
        <v>222</v>
      </c>
      <c r="H292" s="13" t="s">
        <v>101</v>
      </c>
      <c r="I292" s="21" t="s">
        <v>1123</v>
      </c>
      <c r="J292" s="21" t="s">
        <v>224</v>
      </c>
      <c r="K292" s="21" t="s">
        <v>1124</v>
      </c>
      <c r="L292" s="22" t="s">
        <v>36</v>
      </c>
      <c r="M292" s="21" t="s">
        <v>120</v>
      </c>
      <c r="N292" s="13" t="s">
        <v>106</v>
      </c>
      <c r="O292" s="23" t="n">
        <v>50.7</v>
      </c>
      <c r="P292" s="13" t="n">
        <v>1</v>
      </c>
      <c r="Q292" s="24" t="n">
        <v>46310.5880324074</v>
      </c>
      <c r="R292" s="22" t="s">
        <v>36</v>
      </c>
      <c r="S292" s="13" t="s">
        <v>107</v>
      </c>
      <c r="T292" s="13" t="str">
        <f aca="false">IF(S292="Oui",IF(R292=L292,"Identique","Changé"),"")</f>
        <v>Identique</v>
      </c>
    </row>
    <row r="293" customFormat="false" ht="35.05" hidden="false" customHeight="false" outlineLevel="0" collapsed="false">
      <c r="A293" s="13" t="s">
        <v>1125</v>
      </c>
      <c r="B293" s="13" t="s">
        <v>1122</v>
      </c>
      <c r="C293" s="13" t="n">
        <v>2</v>
      </c>
      <c r="D293" s="13" t="s">
        <v>97</v>
      </c>
      <c r="E293" s="13" t="s">
        <v>260</v>
      </c>
      <c r="F293" s="13" t="s">
        <v>816</v>
      </c>
      <c r="G293" s="13" t="s">
        <v>261</v>
      </c>
      <c r="H293" s="13" t="s">
        <v>101</v>
      </c>
      <c r="I293" s="21" t="s">
        <v>493</v>
      </c>
      <c r="J293" s="21" t="s">
        <v>263</v>
      </c>
      <c r="K293" s="21" t="s">
        <v>1126</v>
      </c>
      <c r="L293" s="22" t="s">
        <v>38</v>
      </c>
      <c r="M293" s="21" t="s">
        <v>1127</v>
      </c>
      <c r="N293" s="13" t="s">
        <v>1085</v>
      </c>
      <c r="O293" s="23" t="n">
        <v>17.31</v>
      </c>
      <c r="P293" s="13" t="n">
        <v>1</v>
      </c>
      <c r="Q293" s="24" t="n">
        <v>46310.5883564815</v>
      </c>
      <c r="R293" s="22" t="s">
        <v>36</v>
      </c>
      <c r="S293" s="13" t="s">
        <v>107</v>
      </c>
      <c r="T293" s="13" t="str">
        <f aca="false">IF(S293="Oui",IF(R293=L293,"Identique","Changé"),"")</f>
        <v>Changé</v>
      </c>
    </row>
    <row r="294" customFormat="false" ht="46.25" hidden="false" customHeight="false" outlineLevel="0" collapsed="false">
      <c r="A294" s="13" t="s">
        <v>1128</v>
      </c>
      <c r="B294" s="13" t="s">
        <v>1122</v>
      </c>
      <c r="C294" s="13" t="n">
        <v>3</v>
      </c>
      <c r="D294" s="13" t="s">
        <v>97</v>
      </c>
      <c r="E294" s="13" t="s">
        <v>122</v>
      </c>
      <c r="F294" s="13" t="s">
        <v>816</v>
      </c>
      <c r="G294" s="13" t="s">
        <v>123</v>
      </c>
      <c r="H294" s="13" t="s">
        <v>101</v>
      </c>
      <c r="I294" s="21" t="s">
        <v>271</v>
      </c>
      <c r="J294" s="21" t="s">
        <v>125</v>
      </c>
      <c r="K294" s="21" t="s">
        <v>1129</v>
      </c>
      <c r="L294" s="22" t="s">
        <v>38</v>
      </c>
      <c r="M294" s="21" t="s">
        <v>1127</v>
      </c>
      <c r="N294" s="13" t="s">
        <v>1085</v>
      </c>
      <c r="O294" s="23" t="n">
        <v>10.92</v>
      </c>
      <c r="P294" s="13" t="n">
        <v>1</v>
      </c>
      <c r="Q294" s="24" t="n">
        <v>46310.588599537</v>
      </c>
      <c r="R294" s="22" t="s">
        <v>36</v>
      </c>
      <c r="S294" s="13" t="s">
        <v>107</v>
      </c>
      <c r="T294" s="13" t="str">
        <f aca="false">IF(S294="Oui",IF(R294=L294,"Identique","Changé"),"")</f>
        <v>Changé</v>
      </c>
    </row>
    <row r="295" customFormat="false" ht="46.25" hidden="false" customHeight="false" outlineLevel="0" collapsed="false">
      <c r="A295" s="13" t="s">
        <v>1130</v>
      </c>
      <c r="B295" s="13" t="s">
        <v>1122</v>
      </c>
      <c r="C295" s="13" t="n">
        <v>4</v>
      </c>
      <c r="D295" s="13" t="s">
        <v>97</v>
      </c>
      <c r="E295" s="13" t="s">
        <v>158</v>
      </c>
      <c r="F295" s="13" t="s">
        <v>816</v>
      </c>
      <c r="G295" s="13" t="s">
        <v>343</v>
      </c>
      <c r="H295" s="13" t="s">
        <v>101</v>
      </c>
      <c r="I295" s="21" t="s">
        <v>1131</v>
      </c>
      <c r="J295" s="21" t="s">
        <v>178</v>
      </c>
      <c r="K295" s="21" t="s">
        <v>1132</v>
      </c>
      <c r="L295" s="22" t="s">
        <v>37</v>
      </c>
      <c r="M295" s="21" t="s">
        <v>163</v>
      </c>
      <c r="N295" s="13" t="s">
        <v>106</v>
      </c>
      <c r="O295" s="23" t="n">
        <v>12.6</v>
      </c>
      <c r="P295" s="13" t="n">
        <v>1</v>
      </c>
      <c r="Q295" s="24" t="n">
        <v>46310.5888657407</v>
      </c>
      <c r="R295" s="22" t="s">
        <v>37</v>
      </c>
      <c r="S295" s="13" t="s">
        <v>107</v>
      </c>
      <c r="T295" s="13" t="str">
        <f aca="false">IF(S295="Oui",IF(R295=L295,"Identique","Changé"),"")</f>
        <v>Identique</v>
      </c>
    </row>
    <row r="296" customFormat="false" ht="35.05" hidden="false" customHeight="false" outlineLevel="0" collapsed="false">
      <c r="A296" s="13" t="s">
        <v>1133</v>
      </c>
      <c r="B296" s="13" t="s">
        <v>1122</v>
      </c>
      <c r="C296" s="13" t="n">
        <v>5</v>
      </c>
      <c r="D296" s="13" t="s">
        <v>97</v>
      </c>
      <c r="E296" s="13" t="s">
        <v>185</v>
      </c>
      <c r="F296" s="13" t="s">
        <v>816</v>
      </c>
      <c r="G296" s="13" t="s">
        <v>186</v>
      </c>
      <c r="H296" s="13" t="s">
        <v>101</v>
      </c>
      <c r="I296" s="21" t="s">
        <v>689</v>
      </c>
      <c r="J296" s="21" t="s">
        <v>188</v>
      </c>
      <c r="K296" s="21" t="s">
        <v>1134</v>
      </c>
      <c r="L296" s="22" t="s">
        <v>38</v>
      </c>
      <c r="M296" s="21" t="s">
        <v>1127</v>
      </c>
      <c r="N296" s="13" t="s">
        <v>1085</v>
      </c>
      <c r="O296" s="23" t="n">
        <v>10.06</v>
      </c>
      <c r="P296" s="13" t="n">
        <v>1</v>
      </c>
      <c r="Q296" s="24" t="n">
        <v>46310.5891087963</v>
      </c>
      <c r="R296" s="22" t="s">
        <v>36</v>
      </c>
      <c r="S296" s="13" t="s">
        <v>107</v>
      </c>
      <c r="T296" s="13" t="str">
        <f aca="false">IF(S296="Oui",IF(R296=L296,"Identique","Changé"),"")</f>
        <v>Changé</v>
      </c>
    </row>
    <row r="297" customFormat="false" ht="35.05" hidden="false" customHeight="false" outlineLevel="0" collapsed="false">
      <c r="A297" s="13" t="s">
        <v>1135</v>
      </c>
      <c r="B297" s="13" t="s">
        <v>1136</v>
      </c>
      <c r="C297" s="13" t="n">
        <v>1</v>
      </c>
      <c r="D297" s="13" t="s">
        <v>135</v>
      </c>
      <c r="E297" s="13" t="s">
        <v>260</v>
      </c>
      <c r="F297" s="13" t="s">
        <v>1137</v>
      </c>
      <c r="G297" s="13" t="s">
        <v>261</v>
      </c>
      <c r="H297" s="13" t="s">
        <v>101</v>
      </c>
      <c r="I297" s="21" t="s">
        <v>1138</v>
      </c>
      <c r="J297" s="21" t="s">
        <v>263</v>
      </c>
      <c r="K297" s="21" t="s">
        <v>1139</v>
      </c>
      <c r="L297" s="22" t="s">
        <v>36</v>
      </c>
      <c r="M297" s="21" t="s">
        <v>120</v>
      </c>
      <c r="N297" s="13" t="s">
        <v>106</v>
      </c>
      <c r="O297" s="23" t="n">
        <v>33.61</v>
      </c>
      <c r="P297" s="13" t="n">
        <v>1</v>
      </c>
      <c r="Q297" s="24" t="n">
        <v>46310.5896527778</v>
      </c>
      <c r="R297" s="22" t="s">
        <v>36</v>
      </c>
      <c r="S297" s="13" t="s">
        <v>107</v>
      </c>
      <c r="T297" s="13" t="str">
        <f aca="false">IF(S297="Oui",IF(R297=L297,"Identique","Changé"),"")</f>
        <v>Identique</v>
      </c>
    </row>
    <row r="298" customFormat="false" ht="46.25" hidden="false" customHeight="false" outlineLevel="0" collapsed="false">
      <c r="A298" s="13" t="s">
        <v>1140</v>
      </c>
      <c r="B298" s="13" t="s">
        <v>1136</v>
      </c>
      <c r="C298" s="13" t="n">
        <v>2</v>
      </c>
      <c r="D298" s="13" t="s">
        <v>135</v>
      </c>
      <c r="E298" s="13" t="s">
        <v>122</v>
      </c>
      <c r="F298" s="13" t="s">
        <v>1137</v>
      </c>
      <c r="G298" s="13" t="s">
        <v>123</v>
      </c>
      <c r="H298" s="13" t="s">
        <v>101</v>
      </c>
      <c r="I298" s="21" t="s">
        <v>271</v>
      </c>
      <c r="J298" s="21" t="s">
        <v>125</v>
      </c>
      <c r="K298" s="21" t="s">
        <v>1141</v>
      </c>
      <c r="L298" s="22" t="s">
        <v>36</v>
      </c>
      <c r="M298" s="21" t="s">
        <v>120</v>
      </c>
      <c r="N298" s="13" t="s">
        <v>106</v>
      </c>
      <c r="O298" s="23" t="n">
        <v>12.16</v>
      </c>
      <c r="P298" s="13" t="n">
        <v>1</v>
      </c>
      <c r="Q298" s="24" t="n">
        <v>46310.5899074074</v>
      </c>
      <c r="R298" s="22" t="s">
        <v>36</v>
      </c>
      <c r="S298" s="13" t="s">
        <v>107</v>
      </c>
      <c r="T298" s="13" t="str">
        <f aca="false">IF(S298="Oui",IF(R298=L298,"Identique","Changé"),"")</f>
        <v>Identique</v>
      </c>
    </row>
    <row r="299" customFormat="false" ht="35.05" hidden="false" customHeight="false" outlineLevel="0" collapsed="false">
      <c r="A299" s="13" t="s">
        <v>1142</v>
      </c>
      <c r="B299" s="13" t="s">
        <v>1136</v>
      </c>
      <c r="C299" s="13" t="n">
        <v>3</v>
      </c>
      <c r="D299" s="13" t="s">
        <v>135</v>
      </c>
      <c r="E299" s="13" t="s">
        <v>171</v>
      </c>
      <c r="F299" s="13" t="s">
        <v>1137</v>
      </c>
      <c r="G299" s="13" t="s">
        <v>172</v>
      </c>
      <c r="H299" s="13" t="s">
        <v>101</v>
      </c>
      <c r="I299" s="21" t="s">
        <v>673</v>
      </c>
      <c r="J299" s="21" t="s">
        <v>174</v>
      </c>
      <c r="K299" s="21" t="s">
        <v>1143</v>
      </c>
      <c r="L299" s="22" t="s">
        <v>37</v>
      </c>
      <c r="M299" s="21" t="s">
        <v>163</v>
      </c>
      <c r="N299" s="13" t="s">
        <v>106</v>
      </c>
      <c r="O299" s="23" t="n">
        <v>11.54</v>
      </c>
      <c r="P299" s="13" t="n">
        <v>1</v>
      </c>
      <c r="Q299" s="24" t="n">
        <v>46310.590150463</v>
      </c>
      <c r="R299" s="22" t="s">
        <v>37</v>
      </c>
      <c r="S299" s="13" t="s">
        <v>107</v>
      </c>
      <c r="T299" s="13" t="str">
        <f aca="false">IF(S299="Oui",IF(R299=L299,"Identique","Changé"),"")</f>
        <v>Identique</v>
      </c>
    </row>
    <row r="300" customFormat="false" ht="35.05" hidden="false" customHeight="false" outlineLevel="0" collapsed="false">
      <c r="A300" s="13" t="s">
        <v>1144</v>
      </c>
      <c r="B300" s="13" t="s">
        <v>1136</v>
      </c>
      <c r="C300" s="13" t="n">
        <v>4</v>
      </c>
      <c r="D300" s="13" t="s">
        <v>135</v>
      </c>
      <c r="E300" s="13" t="s">
        <v>185</v>
      </c>
      <c r="F300" s="13" t="s">
        <v>1137</v>
      </c>
      <c r="G300" s="13" t="s">
        <v>186</v>
      </c>
      <c r="H300" s="13" t="s">
        <v>101</v>
      </c>
      <c r="I300" s="21" t="s">
        <v>689</v>
      </c>
      <c r="J300" s="21" t="s">
        <v>188</v>
      </c>
      <c r="K300" s="21" t="s">
        <v>1145</v>
      </c>
      <c r="L300" s="22" t="s">
        <v>36</v>
      </c>
      <c r="M300" s="21" t="s">
        <v>120</v>
      </c>
      <c r="N300" s="13" t="s">
        <v>106</v>
      </c>
      <c r="O300" s="23" t="n">
        <v>10.73</v>
      </c>
      <c r="P300" s="13" t="n">
        <v>1</v>
      </c>
      <c r="Q300" s="24" t="n">
        <v>46310.5903935185</v>
      </c>
      <c r="R300" s="22" t="s">
        <v>36</v>
      </c>
      <c r="S300" s="13" t="s">
        <v>107</v>
      </c>
      <c r="T300" s="13" t="str">
        <f aca="false">IF(S300="Oui",IF(R300=L300,"Identique","Changé"),"")</f>
        <v>Identique</v>
      </c>
    </row>
    <row r="301" customFormat="false" ht="35.05" hidden="false" customHeight="false" outlineLevel="0" collapsed="false">
      <c r="A301" s="13" t="s">
        <v>1146</v>
      </c>
      <c r="B301" s="13" t="s">
        <v>1136</v>
      </c>
      <c r="C301" s="13" t="n">
        <v>5</v>
      </c>
      <c r="D301" s="13" t="s">
        <v>135</v>
      </c>
      <c r="E301" s="13" t="s">
        <v>128</v>
      </c>
      <c r="F301" s="13" t="s">
        <v>1137</v>
      </c>
      <c r="G301" s="13" t="s">
        <v>204</v>
      </c>
      <c r="H301" s="13" t="s">
        <v>101</v>
      </c>
      <c r="I301" s="21" t="s">
        <v>1147</v>
      </c>
      <c r="J301" s="21" t="s">
        <v>206</v>
      </c>
      <c r="K301" s="21" t="s">
        <v>1148</v>
      </c>
      <c r="L301" s="22" t="s">
        <v>36</v>
      </c>
      <c r="M301" s="21" t="s">
        <v>120</v>
      </c>
      <c r="N301" s="13" t="s">
        <v>106</v>
      </c>
      <c r="O301" s="23" t="n">
        <v>18.65</v>
      </c>
      <c r="P301" s="13" t="n">
        <v>1</v>
      </c>
      <c r="Q301" s="24" t="n">
        <v>46310.5907291667</v>
      </c>
      <c r="R301" s="22" t="s">
        <v>36</v>
      </c>
      <c r="S301" s="13" t="s">
        <v>107</v>
      </c>
      <c r="T301" s="13" t="str">
        <f aca="false">IF(S301="Oui",IF(R301=L301,"Identique","Changé"),"")</f>
        <v>Identique</v>
      </c>
    </row>
    <row r="302" customFormat="false" ht="35.05" hidden="false" customHeight="false" outlineLevel="0" collapsed="false">
      <c r="A302" s="13" t="s">
        <v>1149</v>
      </c>
      <c r="B302" s="13" t="s">
        <v>1150</v>
      </c>
      <c r="C302" s="13" t="n">
        <v>1</v>
      </c>
      <c r="D302" s="13" t="s">
        <v>97</v>
      </c>
      <c r="E302" s="13" t="s">
        <v>98</v>
      </c>
      <c r="F302" s="13" t="s">
        <v>1151</v>
      </c>
      <c r="G302" s="13" t="s">
        <v>100</v>
      </c>
      <c r="H302" s="13" t="s">
        <v>101</v>
      </c>
      <c r="I302" s="21" t="s">
        <v>1152</v>
      </c>
      <c r="J302" s="21" t="s">
        <v>1019</v>
      </c>
      <c r="K302" s="21" t="s">
        <v>1153</v>
      </c>
      <c r="L302" s="22" t="s">
        <v>36</v>
      </c>
      <c r="M302" s="21" t="s">
        <v>105</v>
      </c>
      <c r="N302" s="13" t="s">
        <v>106</v>
      </c>
      <c r="O302" s="23" t="n">
        <v>41.12</v>
      </c>
      <c r="P302" s="13" t="n">
        <v>1</v>
      </c>
      <c r="Q302" s="24" t="n">
        <v>46310.5913773148</v>
      </c>
      <c r="R302" s="22" t="s">
        <v>36</v>
      </c>
      <c r="S302" s="13" t="s">
        <v>107</v>
      </c>
      <c r="T302" s="13" t="str">
        <f aca="false">IF(S302="Oui",IF(R302=L302,"Identique","Changé"),"")</f>
        <v>Identique</v>
      </c>
    </row>
    <row r="303" customFormat="false" ht="46.25" hidden="false" customHeight="false" outlineLevel="0" collapsed="false">
      <c r="A303" s="13" t="s">
        <v>1154</v>
      </c>
      <c r="B303" s="13" t="s">
        <v>1150</v>
      </c>
      <c r="C303" s="13" t="n">
        <v>2</v>
      </c>
      <c r="D303" s="13" t="s">
        <v>97</v>
      </c>
      <c r="E303" s="13" t="s">
        <v>98</v>
      </c>
      <c r="F303" s="13" t="s">
        <v>1151</v>
      </c>
      <c r="G303" s="13" t="s">
        <v>109</v>
      </c>
      <c r="H303" s="13" t="s">
        <v>101</v>
      </c>
      <c r="I303" s="21" t="s">
        <v>110</v>
      </c>
      <c r="J303" s="21" t="s">
        <v>452</v>
      </c>
      <c r="K303" s="21" t="s">
        <v>1155</v>
      </c>
      <c r="L303" s="22" t="s">
        <v>36</v>
      </c>
      <c r="M303" s="21" t="s">
        <v>105</v>
      </c>
      <c r="N303" s="13" t="s">
        <v>106</v>
      </c>
      <c r="O303" s="23" t="n">
        <v>14.04</v>
      </c>
      <c r="P303" s="13" t="n">
        <v>1</v>
      </c>
      <c r="Q303" s="24" t="n">
        <v>46310.5916550926</v>
      </c>
      <c r="R303" s="22" t="s">
        <v>36</v>
      </c>
      <c r="S303" s="13" t="s">
        <v>107</v>
      </c>
      <c r="T303" s="13" t="str">
        <f aca="false">IF(S303="Oui",IF(R303=L303,"Identique","Changé"),"")</f>
        <v>Identique</v>
      </c>
    </row>
    <row r="304" customFormat="false" ht="35.05" hidden="false" customHeight="false" outlineLevel="0" collapsed="false">
      <c r="A304" s="13" t="s">
        <v>1156</v>
      </c>
      <c r="B304" s="13" t="s">
        <v>1150</v>
      </c>
      <c r="C304" s="13" t="n">
        <v>3</v>
      </c>
      <c r="D304" s="13" t="s">
        <v>97</v>
      </c>
      <c r="E304" s="13" t="s">
        <v>158</v>
      </c>
      <c r="F304" s="13" t="s">
        <v>1094</v>
      </c>
      <c r="G304" s="13" t="s">
        <v>159</v>
      </c>
      <c r="H304" s="13" t="s">
        <v>101</v>
      </c>
      <c r="I304" s="21" t="s">
        <v>1157</v>
      </c>
      <c r="J304" s="21" t="s">
        <v>233</v>
      </c>
      <c r="K304" s="21" t="s">
        <v>1158</v>
      </c>
      <c r="L304" s="22" t="s">
        <v>36</v>
      </c>
      <c r="M304" s="21" t="s">
        <v>235</v>
      </c>
      <c r="N304" s="13" t="s">
        <v>106</v>
      </c>
      <c r="O304" s="23" t="n">
        <v>15.91</v>
      </c>
      <c r="P304" s="13" t="n">
        <v>1</v>
      </c>
      <c r="Q304" s="24" t="n">
        <v>46310.5919560185</v>
      </c>
      <c r="R304" s="22" t="s">
        <v>36</v>
      </c>
      <c r="S304" s="13" t="s">
        <v>107</v>
      </c>
      <c r="T304" s="13" t="str">
        <f aca="false">IF(S304="Oui",IF(R304=L304,"Identique","Changé"),"")</f>
        <v>Identique</v>
      </c>
    </row>
    <row r="305" customFormat="false" ht="35.05" hidden="false" customHeight="false" outlineLevel="0" collapsed="false">
      <c r="A305" s="13" t="s">
        <v>1159</v>
      </c>
      <c r="B305" s="13" t="s">
        <v>1150</v>
      </c>
      <c r="C305" s="13" t="n">
        <v>4</v>
      </c>
      <c r="D305" s="13" t="s">
        <v>97</v>
      </c>
      <c r="E305" s="13" t="s">
        <v>171</v>
      </c>
      <c r="F305" s="13" t="s">
        <v>1094</v>
      </c>
      <c r="G305" s="13" t="s">
        <v>222</v>
      </c>
      <c r="H305" s="13" t="s">
        <v>101</v>
      </c>
      <c r="I305" s="21" t="s">
        <v>458</v>
      </c>
      <c r="J305" s="21" t="s">
        <v>334</v>
      </c>
      <c r="K305" s="21" t="s">
        <v>1160</v>
      </c>
      <c r="L305" s="22" t="s">
        <v>36</v>
      </c>
      <c r="M305" s="21" t="s">
        <v>120</v>
      </c>
      <c r="N305" s="13" t="s">
        <v>106</v>
      </c>
      <c r="O305" s="23" t="n">
        <v>15.61</v>
      </c>
      <c r="P305" s="13" t="n">
        <v>1</v>
      </c>
      <c r="Q305" s="24" t="n">
        <v>46310.5922569444</v>
      </c>
      <c r="R305" s="22" t="s">
        <v>36</v>
      </c>
      <c r="S305" s="13" t="s">
        <v>107</v>
      </c>
      <c r="T305" s="13" t="str">
        <f aca="false">IF(S305="Oui",IF(R305=L305,"Identique","Changé"),"")</f>
        <v>Identique</v>
      </c>
    </row>
    <row r="306" customFormat="false" ht="35.05" hidden="false" customHeight="false" outlineLevel="0" collapsed="false">
      <c r="A306" s="13" t="s">
        <v>1161</v>
      </c>
      <c r="B306" s="13" t="s">
        <v>1150</v>
      </c>
      <c r="C306" s="13" t="n">
        <v>5</v>
      </c>
      <c r="D306" s="13" t="s">
        <v>97</v>
      </c>
      <c r="E306" s="13" t="s">
        <v>122</v>
      </c>
      <c r="F306" s="13" t="s">
        <v>1151</v>
      </c>
      <c r="G306" s="13" t="s">
        <v>123</v>
      </c>
      <c r="H306" s="13" t="s">
        <v>101</v>
      </c>
      <c r="I306" s="21" t="s">
        <v>1162</v>
      </c>
      <c r="J306" s="21" t="s">
        <v>125</v>
      </c>
      <c r="K306" s="21" t="s">
        <v>1163</v>
      </c>
      <c r="L306" s="22" t="s">
        <v>36</v>
      </c>
      <c r="M306" s="21" t="s">
        <v>120</v>
      </c>
      <c r="N306" s="13" t="s">
        <v>106</v>
      </c>
      <c r="O306" s="23" t="n">
        <v>9.59</v>
      </c>
      <c r="P306" s="13" t="n">
        <v>1</v>
      </c>
      <c r="Q306" s="24" t="n">
        <v>46310.5924884259</v>
      </c>
      <c r="R306" s="22" t="s">
        <v>36</v>
      </c>
      <c r="S306" s="13" t="s">
        <v>107</v>
      </c>
      <c r="T306" s="13" t="str">
        <f aca="false">IF(S306="Oui",IF(R306=L306,"Identique","Changé"),"")</f>
        <v>Identique</v>
      </c>
    </row>
    <row r="307" customFormat="false" ht="35.05" hidden="false" customHeight="false" outlineLevel="0" collapsed="false">
      <c r="A307" s="13" t="s">
        <v>1164</v>
      </c>
      <c r="B307" s="13" t="s">
        <v>1165</v>
      </c>
      <c r="C307" s="13" t="n">
        <v>1</v>
      </c>
      <c r="D307" s="13" t="s">
        <v>135</v>
      </c>
      <c r="E307" s="13" t="s">
        <v>114</v>
      </c>
      <c r="F307" s="13" t="s">
        <v>1166</v>
      </c>
      <c r="G307" s="13" t="s">
        <v>116</v>
      </c>
      <c r="H307" s="13" t="s">
        <v>101</v>
      </c>
      <c r="I307" s="21" t="s">
        <v>1167</v>
      </c>
      <c r="J307" s="21" t="s">
        <v>1168</v>
      </c>
      <c r="K307" s="21" t="s">
        <v>1169</v>
      </c>
      <c r="L307" s="22" t="s">
        <v>36</v>
      </c>
      <c r="M307" s="21" t="s">
        <v>120</v>
      </c>
      <c r="N307" s="13" t="s">
        <v>106</v>
      </c>
      <c r="O307" s="23" t="n">
        <v>31.62</v>
      </c>
      <c r="P307" s="13" t="n">
        <v>1</v>
      </c>
      <c r="Q307" s="24" t="n">
        <v>46310.5930324074</v>
      </c>
      <c r="R307" s="22" t="s">
        <v>36</v>
      </c>
      <c r="S307" s="13" t="s">
        <v>107</v>
      </c>
      <c r="T307" s="13" t="str">
        <f aca="false">IF(S307="Oui",IF(R307=L307,"Identique","Changé"),"")</f>
        <v>Identique</v>
      </c>
    </row>
    <row r="308" customFormat="false" ht="35.05" hidden="false" customHeight="false" outlineLevel="0" collapsed="false">
      <c r="A308" s="13" t="s">
        <v>1170</v>
      </c>
      <c r="B308" s="13" t="s">
        <v>1165</v>
      </c>
      <c r="C308" s="13" t="n">
        <v>2</v>
      </c>
      <c r="D308" s="13" t="s">
        <v>135</v>
      </c>
      <c r="E308" s="13" t="s">
        <v>185</v>
      </c>
      <c r="F308" s="13" t="s">
        <v>1166</v>
      </c>
      <c r="G308" s="13" t="s">
        <v>186</v>
      </c>
      <c r="H308" s="13" t="s">
        <v>101</v>
      </c>
      <c r="I308" s="21" t="s">
        <v>689</v>
      </c>
      <c r="J308" s="21" t="s">
        <v>1171</v>
      </c>
      <c r="K308" s="21" t="s">
        <v>1172</v>
      </c>
      <c r="L308" s="22" t="s">
        <v>36</v>
      </c>
      <c r="M308" s="21" t="s">
        <v>120</v>
      </c>
      <c r="N308" s="13" t="s">
        <v>106</v>
      </c>
      <c r="O308" s="23" t="n">
        <v>13.72</v>
      </c>
      <c r="P308" s="13" t="n">
        <v>1</v>
      </c>
      <c r="Q308" s="24" t="n">
        <v>46310.5933101852</v>
      </c>
      <c r="R308" s="22" t="s">
        <v>36</v>
      </c>
      <c r="S308" s="13" t="s">
        <v>107</v>
      </c>
      <c r="T308" s="13" t="str">
        <f aca="false">IF(S308="Oui",IF(R308=L308,"Identique","Changé"),"")</f>
        <v>Identique</v>
      </c>
    </row>
    <row r="309" customFormat="false" ht="35.05" hidden="false" customHeight="false" outlineLevel="0" collapsed="false">
      <c r="A309" s="13" t="s">
        <v>1173</v>
      </c>
      <c r="B309" s="13" t="s">
        <v>1165</v>
      </c>
      <c r="C309" s="13" t="n">
        <v>3</v>
      </c>
      <c r="D309" s="13" t="s">
        <v>135</v>
      </c>
      <c r="E309" s="13" t="s">
        <v>114</v>
      </c>
      <c r="F309" s="13" t="s">
        <v>1166</v>
      </c>
      <c r="G309" s="13" t="s">
        <v>146</v>
      </c>
      <c r="H309" s="13" t="s">
        <v>101</v>
      </c>
      <c r="I309" s="21" t="s">
        <v>147</v>
      </c>
      <c r="J309" s="21" t="s">
        <v>148</v>
      </c>
      <c r="K309" s="21" t="s">
        <v>1174</v>
      </c>
      <c r="L309" s="22" t="s">
        <v>36</v>
      </c>
      <c r="M309" s="21" t="s">
        <v>120</v>
      </c>
      <c r="N309" s="13" t="s">
        <v>106</v>
      </c>
      <c r="O309" s="23" t="n">
        <v>12.26</v>
      </c>
      <c r="P309" s="13" t="n">
        <v>1</v>
      </c>
      <c r="Q309" s="24" t="n">
        <v>46310.5935763889</v>
      </c>
      <c r="R309" s="22" t="s">
        <v>36</v>
      </c>
      <c r="S309" s="13" t="s">
        <v>107</v>
      </c>
      <c r="T309" s="13" t="str">
        <f aca="false">IF(S309="Oui",IF(R309=L309,"Identique","Changé"),"")</f>
        <v>Identique</v>
      </c>
    </row>
    <row r="310" customFormat="false" ht="35.05" hidden="false" customHeight="false" outlineLevel="0" collapsed="false">
      <c r="A310" s="13" t="s">
        <v>1175</v>
      </c>
      <c r="B310" s="13" t="s">
        <v>1165</v>
      </c>
      <c r="C310" s="13" t="n">
        <v>4</v>
      </c>
      <c r="D310" s="13" t="s">
        <v>135</v>
      </c>
      <c r="E310" s="13" t="s">
        <v>401</v>
      </c>
      <c r="F310" s="13" t="s">
        <v>1166</v>
      </c>
      <c r="G310" s="13" t="s">
        <v>402</v>
      </c>
      <c r="H310" s="13" t="s">
        <v>152</v>
      </c>
      <c r="I310" s="21" t="s">
        <v>1176</v>
      </c>
      <c r="J310" s="21" t="s">
        <v>154</v>
      </c>
      <c r="K310" s="21" t="s">
        <v>1177</v>
      </c>
      <c r="L310" s="22" t="s">
        <v>40</v>
      </c>
      <c r="M310" s="21" t="s">
        <v>156</v>
      </c>
      <c r="N310" s="13" t="s">
        <v>106</v>
      </c>
      <c r="O310" s="23" t="n">
        <v>12.22</v>
      </c>
      <c r="P310" s="13" t="n">
        <v>1</v>
      </c>
      <c r="Q310" s="24" t="n">
        <v>46310.5938425926</v>
      </c>
      <c r="R310" s="22" t="s">
        <v>40</v>
      </c>
      <c r="S310" s="13" t="s">
        <v>107</v>
      </c>
      <c r="T310" s="13" t="str">
        <f aca="false">IF(S310="Oui",IF(R310=L310,"Identique","Changé"),"")</f>
        <v>Identique</v>
      </c>
    </row>
    <row r="311" customFormat="false" ht="35.05" hidden="false" customHeight="false" outlineLevel="0" collapsed="false">
      <c r="A311" s="13" t="s">
        <v>1178</v>
      </c>
      <c r="B311" s="13" t="s">
        <v>1165</v>
      </c>
      <c r="C311" s="13" t="n">
        <v>5</v>
      </c>
      <c r="D311" s="13" t="s">
        <v>135</v>
      </c>
      <c r="E311" s="13" t="s">
        <v>122</v>
      </c>
      <c r="F311" s="13" t="s">
        <v>1166</v>
      </c>
      <c r="G311" s="13" t="s">
        <v>123</v>
      </c>
      <c r="H311" s="13" t="s">
        <v>101</v>
      </c>
      <c r="I311" s="21" t="s">
        <v>875</v>
      </c>
      <c r="J311" s="21" t="s">
        <v>125</v>
      </c>
      <c r="K311" s="21" t="s">
        <v>1179</v>
      </c>
      <c r="L311" s="22" t="s">
        <v>36</v>
      </c>
      <c r="M311" s="21" t="s">
        <v>120</v>
      </c>
      <c r="N311" s="13" t="s">
        <v>106</v>
      </c>
      <c r="O311" s="23" t="n">
        <v>11.77</v>
      </c>
      <c r="P311" s="13" t="n">
        <v>1</v>
      </c>
      <c r="Q311" s="24" t="n">
        <v>46310.5940856482</v>
      </c>
      <c r="R311" s="22" t="s">
        <v>36</v>
      </c>
      <c r="S311" s="13" t="s">
        <v>107</v>
      </c>
      <c r="T311" s="13" t="str">
        <f aca="false">IF(S311="Oui",IF(R311=L311,"Identique","Changé"),"")</f>
        <v>Identique</v>
      </c>
    </row>
    <row r="312" customFormat="false" ht="46.25" hidden="false" customHeight="false" outlineLevel="0" collapsed="false">
      <c r="A312" s="13" t="s">
        <v>1180</v>
      </c>
      <c r="B312" s="13" t="s">
        <v>1181</v>
      </c>
      <c r="C312" s="13" t="n">
        <v>1</v>
      </c>
      <c r="D312" s="13" t="s">
        <v>97</v>
      </c>
      <c r="E312" s="13" t="s">
        <v>185</v>
      </c>
      <c r="F312" s="13" t="s">
        <v>215</v>
      </c>
      <c r="G312" s="13" t="s">
        <v>186</v>
      </c>
      <c r="H312" s="13" t="s">
        <v>101</v>
      </c>
      <c r="I312" s="21" t="s">
        <v>1182</v>
      </c>
      <c r="J312" s="21" t="s">
        <v>188</v>
      </c>
      <c r="K312" s="21" t="s">
        <v>1183</v>
      </c>
      <c r="L312" s="22" t="s">
        <v>36</v>
      </c>
      <c r="M312" s="21" t="s">
        <v>120</v>
      </c>
      <c r="N312" s="13" t="s">
        <v>106</v>
      </c>
      <c r="O312" s="23" t="n">
        <v>34.84</v>
      </c>
      <c r="P312" s="13" t="n">
        <v>1</v>
      </c>
      <c r="Q312" s="24" t="n">
        <v>46310.5946759259</v>
      </c>
      <c r="R312" s="22" t="s">
        <v>36</v>
      </c>
      <c r="S312" s="13" t="s">
        <v>107</v>
      </c>
      <c r="T312" s="13" t="str">
        <f aca="false">IF(S312="Oui",IF(R312=L312,"Identique","Changé"),"")</f>
        <v>Identique</v>
      </c>
    </row>
    <row r="313" customFormat="false" ht="46.25" hidden="false" customHeight="false" outlineLevel="0" collapsed="false">
      <c r="A313" s="13" t="s">
        <v>1184</v>
      </c>
      <c r="B313" s="13" t="s">
        <v>1181</v>
      </c>
      <c r="C313" s="13" t="n">
        <v>2</v>
      </c>
      <c r="D313" s="13" t="s">
        <v>97</v>
      </c>
      <c r="E313" s="13" t="s">
        <v>171</v>
      </c>
      <c r="F313" s="13" t="s">
        <v>215</v>
      </c>
      <c r="G313" s="13" t="s">
        <v>172</v>
      </c>
      <c r="H313" s="13" t="s">
        <v>101</v>
      </c>
      <c r="I313" s="21" t="s">
        <v>173</v>
      </c>
      <c r="J313" s="21" t="s">
        <v>228</v>
      </c>
      <c r="K313" s="21" t="s">
        <v>1185</v>
      </c>
      <c r="L313" s="22" t="s">
        <v>36</v>
      </c>
      <c r="M313" s="21" t="s">
        <v>120</v>
      </c>
      <c r="N313" s="13" t="s">
        <v>106</v>
      </c>
      <c r="O313" s="23" t="n">
        <v>16.56</v>
      </c>
      <c r="P313" s="13" t="n">
        <v>1</v>
      </c>
      <c r="Q313" s="24" t="n">
        <v>46310.5949884259</v>
      </c>
      <c r="R313" s="22" t="s">
        <v>37</v>
      </c>
      <c r="S313" s="13" t="s">
        <v>107</v>
      </c>
      <c r="T313" s="13" t="str">
        <f aca="false">IF(S313="Oui",IF(R313=L313,"Identique","Changé"),"")</f>
        <v>Changé</v>
      </c>
    </row>
    <row r="314" customFormat="false" ht="35.05" hidden="false" customHeight="false" outlineLevel="0" collapsed="false">
      <c r="A314" s="13" t="s">
        <v>1186</v>
      </c>
      <c r="B314" s="13" t="s">
        <v>1181</v>
      </c>
      <c r="C314" s="13" t="n">
        <v>3</v>
      </c>
      <c r="D314" s="13" t="s">
        <v>97</v>
      </c>
      <c r="E314" s="13" t="s">
        <v>158</v>
      </c>
      <c r="F314" s="13" t="s">
        <v>215</v>
      </c>
      <c r="G314" s="13" t="s">
        <v>159</v>
      </c>
      <c r="H314" s="13" t="s">
        <v>101</v>
      </c>
      <c r="I314" s="21" t="s">
        <v>177</v>
      </c>
      <c r="J314" s="21" t="s">
        <v>178</v>
      </c>
      <c r="K314" s="21" t="s">
        <v>1187</v>
      </c>
      <c r="L314" s="22" t="s">
        <v>37</v>
      </c>
      <c r="M314" s="21" t="s">
        <v>163</v>
      </c>
      <c r="N314" s="13" t="s">
        <v>106</v>
      </c>
      <c r="O314" s="23" t="n">
        <v>9.96</v>
      </c>
      <c r="P314" s="13" t="n">
        <v>1</v>
      </c>
      <c r="Q314" s="24" t="n">
        <v>46310.5952199074</v>
      </c>
      <c r="R314" s="22" t="s">
        <v>36</v>
      </c>
      <c r="S314" s="13" t="s">
        <v>107</v>
      </c>
      <c r="T314" s="13" t="str">
        <f aca="false">IF(S314="Oui",IF(R314=L314,"Identique","Changé"),"")</f>
        <v>Changé</v>
      </c>
    </row>
    <row r="315" customFormat="false" ht="35.05" hidden="false" customHeight="false" outlineLevel="0" collapsed="false">
      <c r="A315" s="13" t="s">
        <v>1188</v>
      </c>
      <c r="B315" s="13" t="s">
        <v>1181</v>
      </c>
      <c r="C315" s="13" t="n">
        <v>4</v>
      </c>
      <c r="D315" s="13" t="s">
        <v>97</v>
      </c>
      <c r="E315" s="13" t="s">
        <v>570</v>
      </c>
      <c r="F315" s="13" t="s">
        <v>215</v>
      </c>
      <c r="G315" s="13" t="s">
        <v>571</v>
      </c>
      <c r="H315" s="13" t="s">
        <v>152</v>
      </c>
      <c r="I315" s="21" t="s">
        <v>572</v>
      </c>
      <c r="J315" s="21" t="s">
        <v>154</v>
      </c>
      <c r="K315" s="21" t="s">
        <v>1189</v>
      </c>
      <c r="L315" s="22" t="s">
        <v>40</v>
      </c>
      <c r="M315" s="21" t="s">
        <v>156</v>
      </c>
      <c r="N315" s="13" t="s">
        <v>106</v>
      </c>
      <c r="O315" s="23" t="n">
        <v>10.17</v>
      </c>
      <c r="P315" s="13" t="n">
        <v>1</v>
      </c>
      <c r="Q315" s="24" t="n">
        <v>46310.5954513889</v>
      </c>
      <c r="R315" s="22" t="s">
        <v>40</v>
      </c>
      <c r="S315" s="13" t="s">
        <v>107</v>
      </c>
      <c r="T315" s="13" t="str">
        <f aca="false">IF(S315="Oui",IF(R315=L315,"Identique","Changé"),"")</f>
        <v>Identique</v>
      </c>
    </row>
    <row r="316" customFormat="false" ht="46.25" hidden="false" customHeight="false" outlineLevel="0" collapsed="false">
      <c r="A316" s="13" t="s">
        <v>1190</v>
      </c>
      <c r="B316" s="13" t="s">
        <v>1181</v>
      </c>
      <c r="C316" s="13" t="n">
        <v>5</v>
      </c>
      <c r="D316" s="13" t="s">
        <v>97</v>
      </c>
      <c r="E316" s="13" t="s">
        <v>122</v>
      </c>
      <c r="F316" s="13" t="s">
        <v>215</v>
      </c>
      <c r="G316" s="13" t="s">
        <v>123</v>
      </c>
      <c r="H316" s="13" t="s">
        <v>101</v>
      </c>
      <c r="I316" s="21" t="s">
        <v>384</v>
      </c>
      <c r="J316" s="21" t="s">
        <v>125</v>
      </c>
      <c r="K316" s="21" t="s">
        <v>1191</v>
      </c>
      <c r="L316" s="22" t="s">
        <v>36</v>
      </c>
      <c r="M316" s="21" t="s">
        <v>120</v>
      </c>
      <c r="N316" s="13" t="s">
        <v>106</v>
      </c>
      <c r="O316" s="23" t="n">
        <v>10.76</v>
      </c>
      <c r="P316" s="13" t="n">
        <v>1</v>
      </c>
      <c r="Q316" s="24" t="n">
        <v>46310.5956944445</v>
      </c>
      <c r="R316" s="22" t="s">
        <v>36</v>
      </c>
      <c r="S316" s="13" t="s">
        <v>107</v>
      </c>
      <c r="T316" s="13" t="str">
        <f aca="false">IF(S316="Oui",IF(R316=L316,"Identique","Changé"),"")</f>
        <v>Identique</v>
      </c>
    </row>
    <row r="317" customFormat="false" ht="57.45" hidden="false" customHeight="false" outlineLevel="0" collapsed="false">
      <c r="A317" s="13" t="s">
        <v>1192</v>
      </c>
      <c r="B317" s="13" t="s">
        <v>1193</v>
      </c>
      <c r="C317" s="13" t="n">
        <v>1</v>
      </c>
      <c r="D317" s="13" t="s">
        <v>135</v>
      </c>
      <c r="E317" s="13" t="s">
        <v>128</v>
      </c>
      <c r="F317" s="13" t="s">
        <v>1194</v>
      </c>
      <c r="G317" s="13" t="s">
        <v>193</v>
      </c>
      <c r="H317" s="13" t="s">
        <v>101</v>
      </c>
      <c r="I317" s="21" t="s">
        <v>1195</v>
      </c>
      <c r="J317" s="21" t="s">
        <v>1196</v>
      </c>
      <c r="K317" s="21" t="s">
        <v>1197</v>
      </c>
      <c r="L317" s="22" t="s">
        <v>36</v>
      </c>
      <c r="M317" s="21" t="s">
        <v>120</v>
      </c>
      <c r="N317" s="13" t="s">
        <v>106</v>
      </c>
      <c r="O317" s="23" t="n">
        <v>39.96</v>
      </c>
      <c r="P317" s="13" t="n">
        <v>1</v>
      </c>
      <c r="Q317" s="24" t="n">
        <v>46310.5963078704</v>
      </c>
      <c r="R317" s="22" t="s">
        <v>36</v>
      </c>
      <c r="S317" s="13" t="s">
        <v>107</v>
      </c>
      <c r="T317" s="13" t="str">
        <f aca="false">IF(S317="Oui",IF(R317=L317,"Identique","Changé"),"")</f>
        <v>Identique</v>
      </c>
    </row>
    <row r="318" customFormat="false" ht="46.25" hidden="false" customHeight="false" outlineLevel="0" collapsed="false">
      <c r="A318" s="13" t="s">
        <v>1198</v>
      </c>
      <c r="B318" s="13" t="s">
        <v>1193</v>
      </c>
      <c r="C318" s="13" t="n">
        <v>2</v>
      </c>
      <c r="D318" s="13" t="s">
        <v>135</v>
      </c>
      <c r="E318" s="13" t="s">
        <v>128</v>
      </c>
      <c r="F318" s="13" t="s">
        <v>1194</v>
      </c>
      <c r="G318" s="13" t="s">
        <v>129</v>
      </c>
      <c r="H318" s="13" t="s">
        <v>101</v>
      </c>
      <c r="I318" s="21" t="s">
        <v>198</v>
      </c>
      <c r="J318" s="21" t="s">
        <v>355</v>
      </c>
      <c r="K318" s="21" t="s">
        <v>1199</v>
      </c>
      <c r="L318" s="22" t="s">
        <v>36</v>
      </c>
      <c r="M318" s="21" t="s">
        <v>120</v>
      </c>
      <c r="N318" s="13" t="s">
        <v>106</v>
      </c>
      <c r="O318" s="23" t="n">
        <v>13.1</v>
      </c>
      <c r="P318" s="13" t="n">
        <v>1</v>
      </c>
      <c r="Q318" s="24" t="n">
        <v>46310.5965740741</v>
      </c>
      <c r="R318" s="22" t="s">
        <v>36</v>
      </c>
      <c r="S318" s="13" t="s">
        <v>107</v>
      </c>
      <c r="T318" s="13" t="str">
        <f aca="false">IF(S318="Oui",IF(R318=L318,"Identique","Changé"),"")</f>
        <v>Identique</v>
      </c>
    </row>
    <row r="319" customFormat="false" ht="35.05" hidden="false" customHeight="false" outlineLevel="0" collapsed="false">
      <c r="A319" s="13" t="s">
        <v>1200</v>
      </c>
      <c r="B319" s="13" t="s">
        <v>1193</v>
      </c>
      <c r="C319" s="13" t="n">
        <v>3</v>
      </c>
      <c r="D319" s="13" t="s">
        <v>135</v>
      </c>
      <c r="E319" s="13" t="s">
        <v>122</v>
      </c>
      <c r="F319" s="13" t="s">
        <v>1194</v>
      </c>
      <c r="G319" s="13" t="s">
        <v>123</v>
      </c>
      <c r="H319" s="13" t="s">
        <v>101</v>
      </c>
      <c r="I319" s="21" t="s">
        <v>875</v>
      </c>
      <c r="J319" s="21" t="s">
        <v>277</v>
      </c>
      <c r="K319" s="21" t="s">
        <v>1201</v>
      </c>
      <c r="L319" s="22" t="s">
        <v>36</v>
      </c>
      <c r="M319" s="21" t="s">
        <v>120</v>
      </c>
      <c r="N319" s="13" t="s">
        <v>106</v>
      </c>
      <c r="O319" s="23" t="n">
        <v>9.68</v>
      </c>
      <c r="P319" s="13" t="n">
        <v>1</v>
      </c>
      <c r="Q319" s="24" t="n">
        <v>46310.5968055556</v>
      </c>
      <c r="R319" s="22" t="s">
        <v>36</v>
      </c>
      <c r="S319" s="13" t="s">
        <v>107</v>
      </c>
      <c r="T319" s="13" t="str">
        <f aca="false">IF(S319="Oui",IF(R319=L319,"Identique","Changé"),"")</f>
        <v>Identique</v>
      </c>
    </row>
    <row r="320" customFormat="false" ht="46.25" hidden="false" customHeight="false" outlineLevel="0" collapsed="false">
      <c r="A320" s="13" t="s">
        <v>1202</v>
      </c>
      <c r="B320" s="13" t="s">
        <v>1193</v>
      </c>
      <c r="C320" s="13" t="n">
        <v>4</v>
      </c>
      <c r="D320" s="13" t="s">
        <v>135</v>
      </c>
      <c r="E320" s="13" t="s">
        <v>128</v>
      </c>
      <c r="F320" s="13" t="s">
        <v>1194</v>
      </c>
      <c r="G320" s="13" t="s">
        <v>204</v>
      </c>
      <c r="H320" s="13" t="s">
        <v>101</v>
      </c>
      <c r="I320" s="21" t="s">
        <v>205</v>
      </c>
      <c r="J320" s="21" t="s">
        <v>355</v>
      </c>
      <c r="K320" s="21" t="s">
        <v>1203</v>
      </c>
      <c r="L320" s="22" t="s">
        <v>36</v>
      </c>
      <c r="M320" s="21" t="s">
        <v>120</v>
      </c>
      <c r="N320" s="13" t="s">
        <v>106</v>
      </c>
      <c r="O320" s="23" t="n">
        <v>12.94</v>
      </c>
      <c r="P320" s="13" t="n">
        <v>1</v>
      </c>
      <c r="Q320" s="24" t="n">
        <v>46310.5970717593</v>
      </c>
      <c r="R320" s="22" t="s">
        <v>36</v>
      </c>
      <c r="S320" s="13" t="s">
        <v>107</v>
      </c>
      <c r="T320" s="13" t="str">
        <f aca="false">IF(S320="Oui",IF(R320=L320,"Identique","Changé"),"")</f>
        <v>Identique</v>
      </c>
    </row>
    <row r="321" customFormat="false" ht="23.85" hidden="false" customHeight="false" outlineLevel="0" collapsed="false">
      <c r="A321" s="13" t="s">
        <v>1204</v>
      </c>
      <c r="B321" s="13" t="s">
        <v>1193</v>
      </c>
      <c r="C321" s="13" t="n">
        <v>5</v>
      </c>
      <c r="D321" s="13" t="s">
        <v>135</v>
      </c>
      <c r="E321" s="13" t="s">
        <v>128</v>
      </c>
      <c r="F321" s="13" t="s">
        <v>1194</v>
      </c>
      <c r="G321" s="13" t="s">
        <v>209</v>
      </c>
      <c r="H321" s="13" t="s">
        <v>101</v>
      </c>
      <c r="I321" s="21" t="s">
        <v>1205</v>
      </c>
      <c r="J321" s="21" t="s">
        <v>1206</v>
      </c>
      <c r="K321" s="21" t="s">
        <v>1207</v>
      </c>
      <c r="L321" s="22" t="s">
        <v>36</v>
      </c>
      <c r="M321" s="21" t="s">
        <v>120</v>
      </c>
      <c r="N321" s="13" t="s">
        <v>106</v>
      </c>
      <c r="O321" s="23" t="n">
        <v>13.48</v>
      </c>
      <c r="P321" s="13" t="n">
        <v>1</v>
      </c>
      <c r="Q321" s="24" t="n">
        <v>46310.597349537</v>
      </c>
      <c r="R321" s="22" t="s">
        <v>36</v>
      </c>
      <c r="S321" s="13" t="s">
        <v>107</v>
      </c>
      <c r="T321" s="13" t="str">
        <f aca="false">IF(S321="Oui",IF(R321=L321,"Identique","Changé"),"")</f>
        <v>Identique</v>
      </c>
    </row>
    <row r="322" customFormat="false" ht="35.05" hidden="false" customHeight="false" outlineLevel="0" collapsed="false">
      <c r="A322" s="13" t="s">
        <v>1208</v>
      </c>
      <c r="B322" s="13" t="s">
        <v>1209</v>
      </c>
      <c r="C322" s="13" t="n">
        <v>1</v>
      </c>
      <c r="D322" s="13" t="s">
        <v>97</v>
      </c>
      <c r="E322" s="13" t="s">
        <v>98</v>
      </c>
      <c r="F322" s="13" t="s">
        <v>1210</v>
      </c>
      <c r="G322" s="13" t="s">
        <v>100</v>
      </c>
      <c r="H322" s="13" t="s">
        <v>101</v>
      </c>
      <c r="I322" s="21" t="s">
        <v>1211</v>
      </c>
      <c r="J322" s="21" t="s">
        <v>111</v>
      </c>
      <c r="K322" s="21" t="s">
        <v>1212</v>
      </c>
      <c r="L322" s="22" t="s">
        <v>36</v>
      </c>
      <c r="M322" s="21" t="s">
        <v>105</v>
      </c>
      <c r="N322" s="13" t="s">
        <v>106</v>
      </c>
      <c r="O322" s="23" t="n">
        <v>35.78</v>
      </c>
      <c r="P322" s="13" t="n">
        <v>1</v>
      </c>
      <c r="Q322" s="24" t="n">
        <v>46310.597962963</v>
      </c>
      <c r="R322" s="22" t="s">
        <v>36</v>
      </c>
      <c r="S322" s="13" t="s">
        <v>107</v>
      </c>
      <c r="T322" s="13" t="str">
        <f aca="false">IF(S322="Oui",IF(R322=L322,"Identique","Changé"),"")</f>
        <v>Identique</v>
      </c>
    </row>
    <row r="323" customFormat="false" ht="35.05" hidden="false" customHeight="false" outlineLevel="0" collapsed="false">
      <c r="A323" s="13" t="s">
        <v>1213</v>
      </c>
      <c r="B323" s="13" t="s">
        <v>1209</v>
      </c>
      <c r="C323" s="13" t="n">
        <v>2</v>
      </c>
      <c r="D323" s="13" t="s">
        <v>97</v>
      </c>
      <c r="E323" s="13" t="s">
        <v>122</v>
      </c>
      <c r="F323" s="13" t="s">
        <v>1210</v>
      </c>
      <c r="G323" s="13" t="s">
        <v>123</v>
      </c>
      <c r="H323" s="13" t="s">
        <v>101</v>
      </c>
      <c r="I323" s="21" t="s">
        <v>875</v>
      </c>
      <c r="J323" s="21" t="s">
        <v>125</v>
      </c>
      <c r="K323" s="21" t="s">
        <v>1214</v>
      </c>
      <c r="L323" s="22" t="s">
        <v>36</v>
      </c>
      <c r="M323" s="21" t="s">
        <v>120</v>
      </c>
      <c r="N323" s="13" t="s">
        <v>106</v>
      </c>
      <c r="O323" s="23" t="n">
        <v>11.81</v>
      </c>
      <c r="P323" s="13" t="n">
        <v>1</v>
      </c>
      <c r="Q323" s="24" t="n">
        <v>46310.5982175926</v>
      </c>
      <c r="R323" s="22" t="s">
        <v>36</v>
      </c>
      <c r="S323" s="13" t="s">
        <v>107</v>
      </c>
      <c r="T323" s="13" t="str">
        <f aca="false">IF(S323="Oui",IF(R323=L323,"Identique","Changé"),"")</f>
        <v>Identique</v>
      </c>
    </row>
    <row r="324" customFormat="false" ht="35.05" hidden="false" customHeight="false" outlineLevel="0" collapsed="false">
      <c r="A324" s="13" t="s">
        <v>1215</v>
      </c>
      <c r="B324" s="13" t="s">
        <v>1209</v>
      </c>
      <c r="C324" s="13" t="n">
        <v>3</v>
      </c>
      <c r="D324" s="13" t="s">
        <v>97</v>
      </c>
      <c r="E324" s="13" t="s">
        <v>171</v>
      </c>
      <c r="F324" s="13" t="s">
        <v>1210</v>
      </c>
      <c r="G324" s="13" t="s">
        <v>222</v>
      </c>
      <c r="H324" s="13" t="s">
        <v>101</v>
      </c>
      <c r="I324" s="21" t="s">
        <v>223</v>
      </c>
      <c r="J324" s="21" t="s">
        <v>334</v>
      </c>
      <c r="K324" s="21" t="s">
        <v>1216</v>
      </c>
      <c r="L324" s="22" t="s">
        <v>36</v>
      </c>
      <c r="M324" s="21" t="s">
        <v>120</v>
      </c>
      <c r="N324" s="13" t="s">
        <v>106</v>
      </c>
      <c r="O324" s="23" t="n">
        <v>14.21</v>
      </c>
      <c r="P324" s="13" t="n">
        <v>1</v>
      </c>
      <c r="Q324" s="24" t="n">
        <v>46310.5985069444</v>
      </c>
      <c r="R324" s="22" t="s">
        <v>36</v>
      </c>
      <c r="S324" s="13" t="s">
        <v>107</v>
      </c>
      <c r="T324" s="13" t="str">
        <f aca="false">IF(S324="Oui",IF(R324=L324,"Identique","Changé"),"")</f>
        <v>Identique</v>
      </c>
    </row>
    <row r="325" customFormat="false" ht="35.05" hidden="false" customHeight="false" outlineLevel="0" collapsed="false">
      <c r="A325" s="13" t="s">
        <v>1217</v>
      </c>
      <c r="B325" s="13" t="s">
        <v>1209</v>
      </c>
      <c r="C325" s="13" t="n">
        <v>4</v>
      </c>
      <c r="D325" s="13" t="s">
        <v>97</v>
      </c>
      <c r="E325" s="13" t="s">
        <v>171</v>
      </c>
      <c r="F325" s="13" t="s">
        <v>1210</v>
      </c>
      <c r="G325" s="13" t="s">
        <v>172</v>
      </c>
      <c r="H325" s="13" t="s">
        <v>101</v>
      </c>
      <c r="I325" s="21" t="s">
        <v>227</v>
      </c>
      <c r="J325" s="21" t="s">
        <v>228</v>
      </c>
      <c r="K325" s="21" t="s">
        <v>1218</v>
      </c>
      <c r="L325" s="22" t="s">
        <v>36</v>
      </c>
      <c r="M325" s="21" t="s">
        <v>120</v>
      </c>
      <c r="N325" s="13" t="s">
        <v>106</v>
      </c>
      <c r="O325" s="23" t="n">
        <v>13.15</v>
      </c>
      <c r="P325" s="13" t="n">
        <v>1</v>
      </c>
      <c r="Q325" s="24" t="n">
        <v>46310.5987615741</v>
      </c>
      <c r="R325" s="22" t="s">
        <v>37</v>
      </c>
      <c r="S325" s="13" t="s">
        <v>107</v>
      </c>
      <c r="T325" s="13" t="str">
        <f aca="false">IF(S325="Oui",IF(R325=L325,"Identique","Changé"),"")</f>
        <v>Changé</v>
      </c>
    </row>
    <row r="326" customFormat="false" ht="35.05" hidden="false" customHeight="false" outlineLevel="0" collapsed="false">
      <c r="A326" s="13" t="s">
        <v>1219</v>
      </c>
      <c r="B326" s="13" t="s">
        <v>1209</v>
      </c>
      <c r="C326" s="13" t="n">
        <v>5</v>
      </c>
      <c r="D326" s="13" t="s">
        <v>97</v>
      </c>
      <c r="E326" s="13" t="s">
        <v>128</v>
      </c>
      <c r="F326" s="13" t="s">
        <v>1210</v>
      </c>
      <c r="G326" s="13" t="s">
        <v>290</v>
      </c>
      <c r="H326" s="13" t="s">
        <v>101</v>
      </c>
      <c r="I326" s="21" t="s">
        <v>1220</v>
      </c>
      <c r="J326" s="21" t="s">
        <v>131</v>
      </c>
      <c r="K326" s="21" t="s">
        <v>1221</v>
      </c>
      <c r="L326" s="22" t="s">
        <v>36</v>
      </c>
      <c r="M326" s="21" t="s">
        <v>120</v>
      </c>
      <c r="N326" s="13" t="s">
        <v>106</v>
      </c>
      <c r="O326" s="23" t="n">
        <v>14.14</v>
      </c>
      <c r="P326" s="13" t="n">
        <v>1</v>
      </c>
      <c r="Q326" s="24" t="n">
        <v>46310.5990509259</v>
      </c>
      <c r="R326" s="22" t="s">
        <v>36</v>
      </c>
      <c r="S326" s="13" t="s">
        <v>107</v>
      </c>
      <c r="T326" s="13" t="str">
        <f aca="false">IF(S326="Oui",IF(R326=L326,"Identique","Changé"),"")</f>
        <v>Identique</v>
      </c>
    </row>
    <row r="327" customFormat="false" ht="46.25" hidden="false" customHeight="false" outlineLevel="0" collapsed="false">
      <c r="A327" s="13" t="s">
        <v>1222</v>
      </c>
      <c r="B327" s="13" t="s">
        <v>1223</v>
      </c>
      <c r="C327" s="13" t="n">
        <v>1</v>
      </c>
      <c r="D327" s="13" t="s">
        <v>135</v>
      </c>
      <c r="E327" s="13" t="s">
        <v>122</v>
      </c>
      <c r="F327" s="13" t="s">
        <v>1224</v>
      </c>
      <c r="G327" s="13" t="s">
        <v>123</v>
      </c>
      <c r="H327" s="13" t="s">
        <v>101</v>
      </c>
      <c r="I327" s="21" t="s">
        <v>1225</v>
      </c>
      <c r="J327" s="21" t="s">
        <v>125</v>
      </c>
      <c r="K327" s="21" t="s">
        <v>1226</v>
      </c>
      <c r="L327" s="22" t="s">
        <v>36</v>
      </c>
      <c r="M327" s="21" t="s">
        <v>120</v>
      </c>
      <c r="N327" s="13" t="s">
        <v>106</v>
      </c>
      <c r="O327" s="23" t="n">
        <v>31.27</v>
      </c>
      <c r="P327" s="13" t="n">
        <v>1</v>
      </c>
      <c r="Q327" s="24" t="n">
        <v>46310.5995949074</v>
      </c>
      <c r="R327" s="22" t="s">
        <v>36</v>
      </c>
      <c r="S327" s="13" t="s">
        <v>107</v>
      </c>
      <c r="T327" s="13" t="str">
        <f aca="false">IF(S327="Oui",IF(R327=L327,"Identique","Changé"),"")</f>
        <v>Identique</v>
      </c>
    </row>
    <row r="328" customFormat="false" ht="35.05" hidden="false" customHeight="false" outlineLevel="0" collapsed="false">
      <c r="A328" s="13" t="s">
        <v>1227</v>
      </c>
      <c r="B328" s="13" t="s">
        <v>1223</v>
      </c>
      <c r="C328" s="13" t="n">
        <v>2</v>
      </c>
      <c r="D328" s="13" t="s">
        <v>135</v>
      </c>
      <c r="E328" s="13" t="s">
        <v>114</v>
      </c>
      <c r="F328" s="13" t="s">
        <v>1224</v>
      </c>
      <c r="G328" s="13" t="s">
        <v>116</v>
      </c>
      <c r="H328" s="13" t="s">
        <v>101</v>
      </c>
      <c r="I328" s="21" t="s">
        <v>242</v>
      </c>
      <c r="J328" s="21" t="s">
        <v>138</v>
      </c>
      <c r="K328" s="21" t="s">
        <v>1228</v>
      </c>
      <c r="L328" s="22" t="s">
        <v>36</v>
      </c>
      <c r="M328" s="21" t="s">
        <v>120</v>
      </c>
      <c r="N328" s="13" t="s">
        <v>106</v>
      </c>
      <c r="O328" s="23" t="n">
        <v>10.36</v>
      </c>
      <c r="P328" s="13" t="n">
        <v>1</v>
      </c>
      <c r="Q328" s="24" t="n">
        <v>46310.5998263889</v>
      </c>
      <c r="R328" s="22" t="s">
        <v>36</v>
      </c>
      <c r="S328" s="13" t="s">
        <v>107</v>
      </c>
      <c r="T328" s="13" t="str">
        <f aca="false">IF(S328="Oui",IF(R328=L328,"Identique","Changé"),"")</f>
        <v>Identique</v>
      </c>
    </row>
    <row r="329" customFormat="false" ht="15" hidden="false" customHeight="false" outlineLevel="0" collapsed="false">
      <c r="A329" s="13" t="s">
        <v>1229</v>
      </c>
      <c r="B329" s="13" t="s">
        <v>1223</v>
      </c>
      <c r="C329" s="13" t="n">
        <v>3</v>
      </c>
      <c r="D329" s="13" t="s">
        <v>135</v>
      </c>
      <c r="E329" s="13" t="s">
        <v>128</v>
      </c>
      <c r="F329" s="13" t="s">
        <v>712</v>
      </c>
      <c r="G329" s="13" t="s">
        <v>129</v>
      </c>
      <c r="H329" s="13" t="s">
        <v>101</v>
      </c>
      <c r="I329" s="21" t="s">
        <v>1230</v>
      </c>
      <c r="J329" s="21" t="s">
        <v>199</v>
      </c>
      <c r="K329" s="21" t="s">
        <v>1231</v>
      </c>
      <c r="L329" s="22" t="s">
        <v>36</v>
      </c>
      <c r="M329" s="21" t="s">
        <v>120</v>
      </c>
      <c r="N329" s="13" t="s">
        <v>106</v>
      </c>
      <c r="O329" s="23" t="n">
        <v>16.84</v>
      </c>
      <c r="P329" s="13" t="n">
        <v>1</v>
      </c>
      <c r="Q329" s="24" t="n">
        <v>46310.6001388889</v>
      </c>
      <c r="R329" s="22" t="s">
        <v>36</v>
      </c>
      <c r="S329" s="13" t="s">
        <v>107</v>
      </c>
      <c r="T329" s="13" t="str">
        <f aca="false">IF(S329="Oui",IF(R329=L329,"Identique","Changé"),"")</f>
        <v>Identique</v>
      </c>
    </row>
    <row r="330" customFormat="false" ht="35.05" hidden="false" customHeight="false" outlineLevel="0" collapsed="false">
      <c r="A330" s="13" t="s">
        <v>1232</v>
      </c>
      <c r="B330" s="13" t="s">
        <v>1223</v>
      </c>
      <c r="C330" s="13" t="n">
        <v>4</v>
      </c>
      <c r="D330" s="13" t="s">
        <v>135</v>
      </c>
      <c r="E330" s="13" t="s">
        <v>128</v>
      </c>
      <c r="F330" s="13" t="s">
        <v>712</v>
      </c>
      <c r="G330" s="13" t="s">
        <v>290</v>
      </c>
      <c r="H330" s="13" t="s">
        <v>101</v>
      </c>
      <c r="I330" s="21" t="s">
        <v>1220</v>
      </c>
      <c r="J330" s="21" t="s">
        <v>199</v>
      </c>
      <c r="K330" s="21" t="s">
        <v>1233</v>
      </c>
      <c r="L330" s="22" t="s">
        <v>36</v>
      </c>
      <c r="M330" s="21" t="s">
        <v>120</v>
      </c>
      <c r="N330" s="13" t="s">
        <v>106</v>
      </c>
      <c r="O330" s="23" t="n">
        <v>11.25</v>
      </c>
      <c r="P330" s="13" t="n">
        <v>1</v>
      </c>
      <c r="Q330" s="24" t="n">
        <v>46310.6003935185</v>
      </c>
      <c r="R330" s="22" t="s">
        <v>36</v>
      </c>
      <c r="S330" s="13" t="s">
        <v>107</v>
      </c>
      <c r="T330" s="13" t="str">
        <f aca="false">IF(S330="Oui",IF(R330=L330,"Identique","Changé"),"")</f>
        <v>Identique</v>
      </c>
    </row>
    <row r="331" customFormat="false" ht="23.85" hidden="false" customHeight="false" outlineLevel="0" collapsed="false">
      <c r="A331" s="13" t="s">
        <v>1234</v>
      </c>
      <c r="B331" s="13" t="s">
        <v>1223</v>
      </c>
      <c r="C331" s="13" t="n">
        <v>5</v>
      </c>
      <c r="D331" s="13" t="s">
        <v>135</v>
      </c>
      <c r="E331" s="13" t="s">
        <v>128</v>
      </c>
      <c r="F331" s="13" t="s">
        <v>1224</v>
      </c>
      <c r="G331" s="13" t="s">
        <v>204</v>
      </c>
      <c r="H331" s="13" t="s">
        <v>101</v>
      </c>
      <c r="I331" s="21" t="s">
        <v>1235</v>
      </c>
      <c r="J331" s="21" t="s">
        <v>206</v>
      </c>
      <c r="K331" s="21" t="s">
        <v>1236</v>
      </c>
      <c r="L331" s="22" t="s">
        <v>36</v>
      </c>
      <c r="M331" s="21" t="s">
        <v>120</v>
      </c>
      <c r="N331" s="13" t="s">
        <v>106</v>
      </c>
      <c r="O331" s="23" t="n">
        <v>10.32</v>
      </c>
      <c r="P331" s="13" t="n">
        <v>1</v>
      </c>
      <c r="Q331" s="24" t="n">
        <v>46310.600625</v>
      </c>
      <c r="R331" s="22" t="s">
        <v>36</v>
      </c>
      <c r="S331" s="13" t="s">
        <v>107</v>
      </c>
      <c r="T331" s="13" t="str">
        <f aca="false">IF(S331="Oui",IF(R331=L331,"Identique","Changé"),"")</f>
        <v>Identique</v>
      </c>
    </row>
    <row r="332" customFormat="false" ht="35.05" hidden="false" customHeight="false" outlineLevel="0" collapsed="false">
      <c r="A332" s="13" t="s">
        <v>1237</v>
      </c>
      <c r="B332" s="13" t="s">
        <v>1238</v>
      </c>
      <c r="C332" s="13" t="n">
        <v>1</v>
      </c>
      <c r="D332" s="13" t="s">
        <v>97</v>
      </c>
      <c r="E332" s="13" t="s">
        <v>122</v>
      </c>
      <c r="F332" s="13" t="s">
        <v>946</v>
      </c>
      <c r="G332" s="13" t="s">
        <v>123</v>
      </c>
      <c r="H332" s="13" t="s">
        <v>101</v>
      </c>
      <c r="I332" s="21" t="s">
        <v>1239</v>
      </c>
      <c r="J332" s="21" t="s">
        <v>125</v>
      </c>
      <c r="K332" s="21" t="s">
        <v>1240</v>
      </c>
      <c r="L332" s="22" t="s">
        <v>36</v>
      </c>
      <c r="M332" s="21" t="s">
        <v>120</v>
      </c>
      <c r="N332" s="13" t="s">
        <v>106</v>
      </c>
      <c r="O332" s="23" t="n">
        <v>33.68</v>
      </c>
      <c r="P332" s="13" t="n">
        <v>1</v>
      </c>
      <c r="Q332" s="24" t="n">
        <v>46310.6012037037</v>
      </c>
      <c r="R332" s="22" t="s">
        <v>36</v>
      </c>
      <c r="S332" s="13" t="s">
        <v>107</v>
      </c>
      <c r="T332" s="13" t="str">
        <f aca="false">IF(S332="Oui",IF(R332=L332,"Identique","Changé"),"")</f>
        <v>Identique</v>
      </c>
    </row>
    <row r="333" customFormat="false" ht="35.05" hidden="false" customHeight="false" outlineLevel="0" collapsed="false">
      <c r="A333" s="13" t="s">
        <v>1241</v>
      </c>
      <c r="B333" s="13" t="s">
        <v>1238</v>
      </c>
      <c r="C333" s="13" t="n">
        <v>2</v>
      </c>
      <c r="D333" s="13" t="s">
        <v>97</v>
      </c>
      <c r="E333" s="13" t="s">
        <v>260</v>
      </c>
      <c r="F333" s="13" t="s">
        <v>946</v>
      </c>
      <c r="G333" s="13" t="s">
        <v>261</v>
      </c>
      <c r="H333" s="13" t="s">
        <v>101</v>
      </c>
      <c r="I333" s="21" t="s">
        <v>262</v>
      </c>
      <c r="J333" s="21" t="s">
        <v>263</v>
      </c>
      <c r="K333" s="21" t="s">
        <v>1242</v>
      </c>
      <c r="L333" s="22" t="s">
        <v>36</v>
      </c>
      <c r="M333" s="21" t="s">
        <v>120</v>
      </c>
      <c r="N333" s="13" t="s">
        <v>106</v>
      </c>
      <c r="O333" s="23" t="n">
        <v>16.62</v>
      </c>
      <c r="P333" s="13" t="n">
        <v>1</v>
      </c>
      <c r="Q333" s="24" t="n">
        <v>46310.6015162037</v>
      </c>
      <c r="R333" s="22" t="s">
        <v>36</v>
      </c>
      <c r="S333" s="13" t="s">
        <v>107</v>
      </c>
      <c r="T333" s="13" t="str">
        <f aca="false">IF(S333="Oui",IF(R333=L333,"Identique","Changé"),"")</f>
        <v>Identique</v>
      </c>
    </row>
    <row r="334" customFormat="false" ht="35.05" hidden="false" customHeight="false" outlineLevel="0" collapsed="false">
      <c r="A334" s="13" t="s">
        <v>1243</v>
      </c>
      <c r="B334" s="13" t="s">
        <v>1238</v>
      </c>
      <c r="C334" s="13" t="n">
        <v>3</v>
      </c>
      <c r="D334" s="13" t="s">
        <v>97</v>
      </c>
      <c r="E334" s="13" t="s">
        <v>128</v>
      </c>
      <c r="F334" s="13" t="s">
        <v>946</v>
      </c>
      <c r="G334" s="13" t="s">
        <v>129</v>
      </c>
      <c r="H334" s="13" t="s">
        <v>101</v>
      </c>
      <c r="I334" s="21" t="s">
        <v>650</v>
      </c>
      <c r="J334" s="21" t="s">
        <v>131</v>
      </c>
      <c r="K334" s="21" t="s">
        <v>1244</v>
      </c>
      <c r="L334" s="22" t="s">
        <v>36</v>
      </c>
      <c r="M334" s="21" t="s">
        <v>120</v>
      </c>
      <c r="N334" s="13" t="s">
        <v>106</v>
      </c>
      <c r="O334" s="23" t="n">
        <v>23.02</v>
      </c>
      <c r="P334" s="13" t="n">
        <v>1</v>
      </c>
      <c r="Q334" s="24" t="n">
        <v>46310.6019097222</v>
      </c>
      <c r="R334" s="22" t="s">
        <v>36</v>
      </c>
      <c r="S334" s="13" t="s">
        <v>107</v>
      </c>
      <c r="T334" s="13" t="str">
        <f aca="false">IF(S334="Oui",IF(R334=L334,"Identique","Changé"),"")</f>
        <v>Identique</v>
      </c>
    </row>
    <row r="335" customFormat="false" ht="57.45" hidden="false" customHeight="false" outlineLevel="0" collapsed="false">
      <c r="A335" s="13" t="s">
        <v>1245</v>
      </c>
      <c r="B335" s="13" t="s">
        <v>1238</v>
      </c>
      <c r="C335" s="13" t="n">
        <v>4</v>
      </c>
      <c r="D335" s="13" t="s">
        <v>97</v>
      </c>
      <c r="E335" s="13" t="s">
        <v>570</v>
      </c>
      <c r="F335" s="13" t="s">
        <v>946</v>
      </c>
      <c r="G335" s="13" t="s">
        <v>571</v>
      </c>
      <c r="H335" s="13" t="s">
        <v>152</v>
      </c>
      <c r="I335" s="21" t="s">
        <v>1246</v>
      </c>
      <c r="J335" s="21" t="s">
        <v>154</v>
      </c>
      <c r="K335" s="21" t="s">
        <v>1247</v>
      </c>
      <c r="L335" s="22" t="s">
        <v>40</v>
      </c>
      <c r="M335" s="21" t="s">
        <v>156</v>
      </c>
      <c r="N335" s="13" t="s">
        <v>106</v>
      </c>
      <c r="O335" s="23" t="n">
        <v>12.33</v>
      </c>
      <c r="P335" s="13" t="n">
        <v>1</v>
      </c>
      <c r="Q335" s="24" t="n">
        <v>46310.6021643519</v>
      </c>
      <c r="R335" s="22" t="s">
        <v>40</v>
      </c>
      <c r="S335" s="13" t="s">
        <v>107</v>
      </c>
      <c r="T335" s="13" t="str">
        <f aca="false">IF(S335="Oui",IF(R335=L335,"Identique","Changé"),"")</f>
        <v>Identique</v>
      </c>
    </row>
    <row r="336" customFormat="false" ht="46.25" hidden="false" customHeight="false" outlineLevel="0" collapsed="false">
      <c r="A336" s="13" t="s">
        <v>1248</v>
      </c>
      <c r="B336" s="13" t="s">
        <v>1238</v>
      </c>
      <c r="C336" s="13" t="n">
        <v>5</v>
      </c>
      <c r="D336" s="13" t="s">
        <v>97</v>
      </c>
      <c r="E336" s="13" t="s">
        <v>128</v>
      </c>
      <c r="F336" s="13" t="s">
        <v>946</v>
      </c>
      <c r="G336" s="13" t="s">
        <v>290</v>
      </c>
      <c r="H336" s="13" t="s">
        <v>101</v>
      </c>
      <c r="I336" s="21" t="s">
        <v>1249</v>
      </c>
      <c r="J336" s="21" t="s">
        <v>131</v>
      </c>
      <c r="K336" s="21" t="s">
        <v>1250</v>
      </c>
      <c r="L336" s="22" t="s">
        <v>36</v>
      </c>
      <c r="M336" s="21" t="s">
        <v>120</v>
      </c>
      <c r="N336" s="13" t="s">
        <v>106</v>
      </c>
      <c r="O336" s="23" t="n">
        <v>16.95</v>
      </c>
      <c r="P336" s="13" t="n">
        <v>1</v>
      </c>
      <c r="Q336" s="24" t="n">
        <v>46310.6024768519</v>
      </c>
      <c r="R336" s="22" t="s">
        <v>36</v>
      </c>
      <c r="S336" s="13" t="s">
        <v>107</v>
      </c>
      <c r="T336" s="13" t="str">
        <f aca="false">IF(S336="Oui",IF(R336=L336,"Identique","Changé"),"")</f>
        <v>Identique</v>
      </c>
    </row>
    <row r="337" customFormat="false" ht="23.85" hidden="false" customHeight="false" outlineLevel="0" collapsed="false">
      <c r="A337" s="13" t="s">
        <v>1251</v>
      </c>
      <c r="B337" s="13" t="s">
        <v>1252</v>
      </c>
      <c r="C337" s="13" t="n">
        <v>1</v>
      </c>
      <c r="D337" s="13" t="s">
        <v>135</v>
      </c>
      <c r="E337" s="13" t="s">
        <v>122</v>
      </c>
      <c r="F337" s="13" t="s">
        <v>1253</v>
      </c>
      <c r="G337" s="13" t="s">
        <v>123</v>
      </c>
      <c r="H337" s="13" t="s">
        <v>101</v>
      </c>
      <c r="I337" s="21" t="s">
        <v>1254</v>
      </c>
      <c r="J337" s="21" t="s">
        <v>125</v>
      </c>
      <c r="K337" s="21" t="s">
        <v>1255</v>
      </c>
      <c r="L337" s="22" t="s">
        <v>36</v>
      </c>
      <c r="M337" s="21" t="s">
        <v>120</v>
      </c>
      <c r="N337" s="13" t="s">
        <v>106</v>
      </c>
      <c r="O337" s="23" t="n">
        <v>32.99</v>
      </c>
      <c r="P337" s="13" t="n">
        <v>1</v>
      </c>
      <c r="Q337" s="24" t="n">
        <v>46310.6030439815</v>
      </c>
      <c r="R337" s="22" t="s">
        <v>36</v>
      </c>
      <c r="S337" s="13" t="s">
        <v>107</v>
      </c>
      <c r="T337" s="13" t="str">
        <f aca="false">IF(S337="Oui",IF(R337=L337,"Identique","Changé"),"")</f>
        <v>Identique</v>
      </c>
    </row>
    <row r="338" customFormat="false" ht="23.85" hidden="false" customHeight="false" outlineLevel="0" collapsed="false">
      <c r="A338" s="13" t="s">
        <v>1256</v>
      </c>
      <c r="B338" s="13" t="s">
        <v>1252</v>
      </c>
      <c r="C338" s="13" t="n">
        <v>2</v>
      </c>
      <c r="D338" s="13" t="s">
        <v>135</v>
      </c>
      <c r="E338" s="13" t="s">
        <v>128</v>
      </c>
      <c r="F338" s="13" t="s">
        <v>1253</v>
      </c>
      <c r="G338" s="13" t="s">
        <v>129</v>
      </c>
      <c r="H338" s="13" t="s">
        <v>101</v>
      </c>
      <c r="I338" s="21" t="s">
        <v>650</v>
      </c>
      <c r="J338" s="21" t="s">
        <v>199</v>
      </c>
      <c r="K338" s="21" t="s">
        <v>1257</v>
      </c>
      <c r="L338" s="22" t="s">
        <v>36</v>
      </c>
      <c r="M338" s="21" t="s">
        <v>120</v>
      </c>
      <c r="N338" s="13" t="s">
        <v>106</v>
      </c>
      <c r="O338" s="23" t="n">
        <v>16.29</v>
      </c>
      <c r="P338" s="13" t="n">
        <v>1</v>
      </c>
      <c r="Q338" s="24" t="n">
        <v>46310.6033564815</v>
      </c>
      <c r="R338" s="22" t="s">
        <v>36</v>
      </c>
      <c r="S338" s="13" t="s">
        <v>107</v>
      </c>
      <c r="T338" s="13" t="str">
        <f aca="false">IF(S338="Oui",IF(R338=L338,"Identique","Changé"),"")</f>
        <v>Identique</v>
      </c>
    </row>
    <row r="339" customFormat="false" ht="68.65" hidden="false" customHeight="false" outlineLevel="0" collapsed="false">
      <c r="A339" s="13" t="s">
        <v>1258</v>
      </c>
      <c r="B339" s="13" t="s">
        <v>1252</v>
      </c>
      <c r="C339" s="13" t="n">
        <v>3</v>
      </c>
      <c r="D339" s="13" t="s">
        <v>135</v>
      </c>
      <c r="E339" s="13" t="s">
        <v>122</v>
      </c>
      <c r="F339" s="13" t="s">
        <v>1253</v>
      </c>
      <c r="G339" s="13" t="s">
        <v>282</v>
      </c>
      <c r="H339" s="13" t="s">
        <v>101</v>
      </c>
      <c r="I339" s="21" t="s">
        <v>283</v>
      </c>
      <c r="J339" s="21" t="s">
        <v>512</v>
      </c>
      <c r="K339" s="21" t="s">
        <v>1259</v>
      </c>
      <c r="L339" s="22" t="s">
        <v>36</v>
      </c>
      <c r="M339" s="21" t="s">
        <v>120</v>
      </c>
      <c r="N339" s="13" t="s">
        <v>106</v>
      </c>
      <c r="O339" s="23" t="n">
        <v>21.02</v>
      </c>
      <c r="P339" s="13" t="n">
        <v>1</v>
      </c>
      <c r="Q339" s="24" t="n">
        <v>46310.6037268519</v>
      </c>
      <c r="R339" s="22" t="s">
        <v>37</v>
      </c>
      <c r="S339" s="13" t="s">
        <v>107</v>
      </c>
      <c r="T339" s="13" t="str">
        <f aca="false">IF(S339="Oui",IF(R339=L339,"Identique","Changé"),"")</f>
        <v>Changé</v>
      </c>
    </row>
    <row r="340" customFormat="false" ht="46.25" hidden="false" customHeight="false" outlineLevel="0" collapsed="false">
      <c r="A340" s="13" t="s">
        <v>1260</v>
      </c>
      <c r="B340" s="13" t="s">
        <v>1252</v>
      </c>
      <c r="C340" s="13" t="n">
        <v>4</v>
      </c>
      <c r="D340" s="13" t="s">
        <v>135</v>
      </c>
      <c r="E340" s="13" t="s">
        <v>570</v>
      </c>
      <c r="F340" s="13" t="s">
        <v>1253</v>
      </c>
      <c r="G340" s="13" t="s">
        <v>639</v>
      </c>
      <c r="H340" s="13" t="s">
        <v>152</v>
      </c>
      <c r="I340" s="21" t="s">
        <v>1261</v>
      </c>
      <c r="J340" s="21" t="s">
        <v>154</v>
      </c>
      <c r="K340" s="21" t="s">
        <v>1262</v>
      </c>
      <c r="L340" s="22" t="s">
        <v>40</v>
      </c>
      <c r="M340" s="21" t="s">
        <v>156</v>
      </c>
      <c r="N340" s="13" t="s">
        <v>106</v>
      </c>
      <c r="O340" s="23" t="n">
        <v>14.04</v>
      </c>
      <c r="P340" s="13" t="n">
        <v>1</v>
      </c>
      <c r="Q340" s="24" t="n">
        <v>46310.6040046296</v>
      </c>
      <c r="R340" s="22" t="s">
        <v>40</v>
      </c>
      <c r="S340" s="13" t="s">
        <v>107</v>
      </c>
      <c r="T340" s="13" t="str">
        <f aca="false">IF(S340="Oui",IF(R340=L340,"Identique","Changé"),"")</f>
        <v>Identique</v>
      </c>
    </row>
    <row r="341" customFormat="false" ht="46.25" hidden="false" customHeight="false" outlineLevel="0" collapsed="false">
      <c r="A341" s="13" t="s">
        <v>1263</v>
      </c>
      <c r="B341" s="13" t="s">
        <v>1252</v>
      </c>
      <c r="C341" s="13" t="n">
        <v>5</v>
      </c>
      <c r="D341" s="13" t="s">
        <v>135</v>
      </c>
      <c r="E341" s="13" t="s">
        <v>128</v>
      </c>
      <c r="F341" s="13" t="s">
        <v>1253</v>
      </c>
      <c r="G341" s="13" t="s">
        <v>348</v>
      </c>
      <c r="H341" s="13" t="s">
        <v>101</v>
      </c>
      <c r="I341" s="21" t="s">
        <v>1264</v>
      </c>
      <c r="J341" s="21" t="s">
        <v>199</v>
      </c>
      <c r="K341" s="21" t="s">
        <v>1265</v>
      </c>
      <c r="L341" s="22" t="s">
        <v>36</v>
      </c>
      <c r="M341" s="21" t="s">
        <v>120</v>
      </c>
      <c r="N341" s="13" t="s">
        <v>106</v>
      </c>
      <c r="O341" s="23" t="n">
        <v>14.42</v>
      </c>
      <c r="P341" s="13" t="n">
        <v>1</v>
      </c>
      <c r="Q341" s="24" t="n">
        <v>46310.6043055556</v>
      </c>
      <c r="R341" s="22" t="s">
        <v>36</v>
      </c>
      <c r="S341" s="13" t="s">
        <v>107</v>
      </c>
      <c r="T341" s="13" t="str">
        <f aca="false">IF(S341="Oui",IF(R341=L341,"Identique","Changé"),"")</f>
        <v>Identique</v>
      </c>
    </row>
    <row r="342" customFormat="false" ht="35.05" hidden="false" customHeight="false" outlineLevel="0" collapsed="false">
      <c r="A342" s="13" t="s">
        <v>1266</v>
      </c>
      <c r="B342" s="13" t="s">
        <v>1267</v>
      </c>
      <c r="C342" s="13" t="n">
        <v>1</v>
      </c>
      <c r="D342" s="13" t="s">
        <v>97</v>
      </c>
      <c r="E342" s="13" t="s">
        <v>128</v>
      </c>
      <c r="F342" s="13" t="s">
        <v>256</v>
      </c>
      <c r="G342" s="13" t="s">
        <v>129</v>
      </c>
      <c r="H342" s="13" t="s">
        <v>101</v>
      </c>
      <c r="I342" s="21" t="s">
        <v>1268</v>
      </c>
      <c r="J342" s="21" t="s">
        <v>131</v>
      </c>
      <c r="K342" s="21" t="s">
        <v>1269</v>
      </c>
      <c r="L342" s="22" t="s">
        <v>36</v>
      </c>
      <c r="M342" s="21" t="s">
        <v>120</v>
      </c>
      <c r="N342" s="13" t="s">
        <v>106</v>
      </c>
      <c r="O342" s="23" t="n">
        <v>49.75</v>
      </c>
      <c r="P342" s="13" t="n">
        <v>1</v>
      </c>
      <c r="Q342" s="24" t="n">
        <v>46310.6050694444</v>
      </c>
      <c r="R342" s="22" t="s">
        <v>36</v>
      </c>
      <c r="S342" s="13" t="s">
        <v>107</v>
      </c>
      <c r="T342" s="13" t="str">
        <f aca="false">IF(S342="Oui",IF(R342=L342,"Identique","Changé"),"")</f>
        <v>Identique</v>
      </c>
    </row>
    <row r="343" customFormat="false" ht="23.85" hidden="false" customHeight="false" outlineLevel="0" collapsed="false">
      <c r="A343" s="13" t="s">
        <v>1270</v>
      </c>
      <c r="B343" s="13" t="s">
        <v>1267</v>
      </c>
      <c r="C343" s="13" t="n">
        <v>2</v>
      </c>
      <c r="D343" s="13" t="s">
        <v>97</v>
      </c>
      <c r="E343" s="13" t="s">
        <v>98</v>
      </c>
      <c r="F343" s="13" t="s">
        <v>256</v>
      </c>
      <c r="G343" s="13" t="s">
        <v>109</v>
      </c>
      <c r="H343" s="13" t="s">
        <v>101</v>
      </c>
      <c r="I343" s="21" t="s">
        <v>300</v>
      </c>
      <c r="J343" s="21" t="s">
        <v>103</v>
      </c>
      <c r="K343" s="21" t="s">
        <v>1271</v>
      </c>
      <c r="L343" s="22" t="s">
        <v>36</v>
      </c>
      <c r="M343" s="21" t="s">
        <v>105</v>
      </c>
      <c r="N343" s="13" t="s">
        <v>106</v>
      </c>
      <c r="O343" s="23" t="n">
        <v>16.18</v>
      </c>
      <c r="P343" s="13" t="n">
        <v>1</v>
      </c>
      <c r="Q343" s="24" t="n">
        <v>46310.6053703704</v>
      </c>
      <c r="R343" s="22" t="s">
        <v>36</v>
      </c>
      <c r="S343" s="13" t="s">
        <v>107</v>
      </c>
      <c r="T343" s="13" t="str">
        <f aca="false">IF(S343="Oui",IF(R343=L343,"Identique","Changé"),"")</f>
        <v>Identique</v>
      </c>
    </row>
    <row r="344" customFormat="false" ht="46.25" hidden="false" customHeight="false" outlineLevel="0" collapsed="false">
      <c r="A344" s="13" t="s">
        <v>1272</v>
      </c>
      <c r="B344" s="13" t="s">
        <v>1267</v>
      </c>
      <c r="C344" s="13" t="n">
        <v>3</v>
      </c>
      <c r="D344" s="13" t="s">
        <v>97</v>
      </c>
      <c r="E344" s="13" t="s">
        <v>171</v>
      </c>
      <c r="F344" s="13" t="s">
        <v>256</v>
      </c>
      <c r="G344" s="13" t="s">
        <v>222</v>
      </c>
      <c r="H344" s="13" t="s">
        <v>101</v>
      </c>
      <c r="I344" s="21" t="s">
        <v>304</v>
      </c>
      <c r="J344" s="21" t="s">
        <v>334</v>
      </c>
      <c r="K344" s="21" t="s">
        <v>1273</v>
      </c>
      <c r="L344" s="22" t="s">
        <v>36</v>
      </c>
      <c r="M344" s="21" t="s">
        <v>120</v>
      </c>
      <c r="N344" s="13" t="s">
        <v>106</v>
      </c>
      <c r="O344" s="23" t="n">
        <v>20.06</v>
      </c>
      <c r="P344" s="13" t="n">
        <v>1</v>
      </c>
      <c r="Q344" s="24" t="n">
        <v>46310.6057291667</v>
      </c>
      <c r="R344" s="22" t="s">
        <v>36</v>
      </c>
      <c r="S344" s="13" t="s">
        <v>107</v>
      </c>
      <c r="T344" s="13" t="str">
        <f aca="false">IF(S344="Oui",IF(R344=L344,"Identique","Changé"),"")</f>
        <v>Identique</v>
      </c>
    </row>
    <row r="345" customFormat="false" ht="35.05" hidden="false" customHeight="false" outlineLevel="0" collapsed="false">
      <c r="A345" s="13" t="s">
        <v>1274</v>
      </c>
      <c r="B345" s="13" t="s">
        <v>1267</v>
      </c>
      <c r="C345" s="13" t="n">
        <v>4</v>
      </c>
      <c r="D345" s="13" t="s">
        <v>97</v>
      </c>
      <c r="E345" s="13" t="s">
        <v>128</v>
      </c>
      <c r="F345" s="13" t="s">
        <v>256</v>
      </c>
      <c r="G345" s="13" t="s">
        <v>209</v>
      </c>
      <c r="H345" s="13" t="s">
        <v>101</v>
      </c>
      <c r="I345" s="21" t="s">
        <v>659</v>
      </c>
      <c r="J345" s="21" t="s">
        <v>447</v>
      </c>
      <c r="K345" s="21" t="s">
        <v>1275</v>
      </c>
      <c r="L345" s="22" t="s">
        <v>36</v>
      </c>
      <c r="M345" s="21" t="s">
        <v>120</v>
      </c>
      <c r="N345" s="13" t="s">
        <v>106</v>
      </c>
      <c r="O345" s="23" t="n">
        <v>16.56</v>
      </c>
      <c r="P345" s="13" t="n">
        <v>1</v>
      </c>
      <c r="Q345" s="24" t="n">
        <v>46310.6060416667</v>
      </c>
      <c r="R345" s="22" t="s">
        <v>36</v>
      </c>
      <c r="S345" s="13" t="s">
        <v>107</v>
      </c>
      <c r="T345" s="13" t="str">
        <f aca="false">IF(S345="Oui",IF(R345=L345,"Identique","Changé"),"")</f>
        <v>Identique</v>
      </c>
    </row>
    <row r="346" customFormat="false" ht="35.05" hidden="false" customHeight="false" outlineLevel="0" collapsed="false">
      <c r="A346" s="13" t="s">
        <v>1276</v>
      </c>
      <c r="B346" s="13" t="s">
        <v>1267</v>
      </c>
      <c r="C346" s="13" t="n">
        <v>5</v>
      </c>
      <c r="D346" s="13" t="s">
        <v>97</v>
      </c>
      <c r="E346" s="13" t="s">
        <v>158</v>
      </c>
      <c r="F346" s="13" t="s">
        <v>256</v>
      </c>
      <c r="G346" s="13" t="s">
        <v>159</v>
      </c>
      <c r="H346" s="13" t="s">
        <v>101</v>
      </c>
      <c r="I346" s="21" t="s">
        <v>310</v>
      </c>
      <c r="J346" s="21" t="s">
        <v>233</v>
      </c>
      <c r="K346" s="21" t="s">
        <v>1277</v>
      </c>
      <c r="L346" s="22" t="s">
        <v>37</v>
      </c>
      <c r="M346" s="21" t="s">
        <v>163</v>
      </c>
      <c r="N346" s="13" t="s">
        <v>106</v>
      </c>
      <c r="O346" s="23" t="n">
        <v>11.59</v>
      </c>
      <c r="P346" s="13" t="n">
        <v>1</v>
      </c>
      <c r="Q346" s="24" t="n">
        <v>46310.6063078704</v>
      </c>
      <c r="R346" s="22" t="s">
        <v>37</v>
      </c>
      <c r="S346" s="13" t="s">
        <v>107</v>
      </c>
      <c r="T346" s="13" t="str">
        <f aca="false">IF(S346="Oui",IF(R346=L346,"Identique","Changé"),"")</f>
        <v>Identique</v>
      </c>
    </row>
    <row r="347" customFormat="false" ht="35.05" hidden="false" customHeight="false" outlineLevel="0" collapsed="false">
      <c r="A347" s="13" t="s">
        <v>1278</v>
      </c>
      <c r="B347" s="13" t="s">
        <v>1279</v>
      </c>
      <c r="C347" s="13" t="n">
        <v>1</v>
      </c>
      <c r="D347" s="13" t="s">
        <v>135</v>
      </c>
      <c r="E347" s="13" t="s">
        <v>128</v>
      </c>
      <c r="F347" s="13" t="s">
        <v>617</v>
      </c>
      <c r="G347" s="13" t="s">
        <v>193</v>
      </c>
      <c r="H347" s="13" t="s">
        <v>101</v>
      </c>
      <c r="I347" s="21" t="s">
        <v>1280</v>
      </c>
      <c r="J347" s="21" t="s">
        <v>195</v>
      </c>
      <c r="K347" s="21" t="s">
        <v>1281</v>
      </c>
      <c r="L347" s="22" t="s">
        <v>36</v>
      </c>
      <c r="M347" s="21" t="s">
        <v>120</v>
      </c>
      <c r="N347" s="13" t="s">
        <v>106</v>
      </c>
      <c r="O347" s="23" t="n">
        <v>39.3</v>
      </c>
      <c r="P347" s="13" t="n">
        <v>1</v>
      </c>
      <c r="Q347" s="24" t="n">
        <v>46310.6069791667</v>
      </c>
      <c r="R347" s="22" t="s">
        <v>36</v>
      </c>
      <c r="S347" s="13" t="s">
        <v>107</v>
      </c>
      <c r="T347" s="13" t="str">
        <f aca="false">IF(S347="Oui",IF(R347=L347,"Identique","Changé"),"")</f>
        <v>Identique</v>
      </c>
    </row>
    <row r="348" customFormat="false" ht="35.05" hidden="false" customHeight="false" outlineLevel="0" collapsed="false">
      <c r="A348" s="13" t="s">
        <v>1282</v>
      </c>
      <c r="B348" s="13" t="s">
        <v>1279</v>
      </c>
      <c r="C348" s="13" t="n">
        <v>2</v>
      </c>
      <c r="D348" s="13" t="s">
        <v>135</v>
      </c>
      <c r="E348" s="13" t="s">
        <v>128</v>
      </c>
      <c r="F348" s="13" t="s">
        <v>617</v>
      </c>
      <c r="G348" s="13" t="s">
        <v>129</v>
      </c>
      <c r="H348" s="13" t="s">
        <v>101</v>
      </c>
      <c r="I348" s="21" t="s">
        <v>319</v>
      </c>
      <c r="J348" s="21" t="s">
        <v>199</v>
      </c>
      <c r="K348" s="21" t="s">
        <v>1283</v>
      </c>
      <c r="L348" s="22" t="s">
        <v>36</v>
      </c>
      <c r="M348" s="21" t="s">
        <v>120</v>
      </c>
      <c r="N348" s="13" t="s">
        <v>106</v>
      </c>
      <c r="O348" s="23" t="n">
        <v>13.68</v>
      </c>
      <c r="P348" s="13" t="n">
        <v>1</v>
      </c>
      <c r="Q348" s="24" t="n">
        <v>46310.6072569444</v>
      </c>
      <c r="R348" s="22" t="s">
        <v>36</v>
      </c>
      <c r="S348" s="13" t="s">
        <v>107</v>
      </c>
      <c r="T348" s="13" t="str">
        <f aca="false">IF(S348="Oui",IF(R348=L348,"Identique","Changé"),"")</f>
        <v>Identique</v>
      </c>
    </row>
    <row r="349" customFormat="false" ht="46.25" hidden="false" customHeight="false" outlineLevel="0" collapsed="false">
      <c r="A349" s="13" t="s">
        <v>1284</v>
      </c>
      <c r="B349" s="13" t="s">
        <v>1279</v>
      </c>
      <c r="C349" s="13" t="n">
        <v>3</v>
      </c>
      <c r="D349" s="13" t="s">
        <v>135</v>
      </c>
      <c r="E349" s="13" t="s">
        <v>128</v>
      </c>
      <c r="F349" s="13" t="s">
        <v>617</v>
      </c>
      <c r="G349" s="13" t="s">
        <v>209</v>
      </c>
      <c r="H349" s="13" t="s">
        <v>101</v>
      </c>
      <c r="I349" s="21" t="s">
        <v>659</v>
      </c>
      <c r="J349" s="21" t="s">
        <v>1285</v>
      </c>
      <c r="K349" s="21" t="s">
        <v>1286</v>
      </c>
      <c r="L349" s="22" t="s">
        <v>36</v>
      </c>
      <c r="M349" s="21" t="s">
        <v>120</v>
      </c>
      <c r="N349" s="13" t="s">
        <v>106</v>
      </c>
      <c r="O349" s="23" t="n">
        <v>14.07</v>
      </c>
      <c r="P349" s="13" t="n">
        <v>1</v>
      </c>
      <c r="Q349" s="24" t="n">
        <v>46310.6075347222</v>
      </c>
      <c r="R349" s="22" t="s">
        <v>36</v>
      </c>
      <c r="S349" s="13" t="s">
        <v>107</v>
      </c>
      <c r="T349" s="13" t="str">
        <f aca="false">IF(S349="Oui",IF(R349=L349,"Identique","Changé"),"")</f>
        <v>Identique</v>
      </c>
    </row>
    <row r="350" customFormat="false" ht="23.85" hidden="false" customHeight="false" outlineLevel="0" collapsed="false">
      <c r="A350" s="13" t="s">
        <v>1287</v>
      </c>
      <c r="B350" s="13" t="s">
        <v>1279</v>
      </c>
      <c r="C350" s="13" t="n">
        <v>4</v>
      </c>
      <c r="D350" s="13" t="s">
        <v>135</v>
      </c>
      <c r="E350" s="13" t="s">
        <v>260</v>
      </c>
      <c r="F350" s="13" t="s">
        <v>617</v>
      </c>
      <c r="G350" s="13" t="s">
        <v>261</v>
      </c>
      <c r="H350" s="13" t="s">
        <v>101</v>
      </c>
      <c r="I350" s="21" t="s">
        <v>325</v>
      </c>
      <c r="J350" s="21" t="s">
        <v>263</v>
      </c>
      <c r="K350" s="21" t="s">
        <v>1288</v>
      </c>
      <c r="L350" s="22" t="s">
        <v>36</v>
      </c>
      <c r="M350" s="21" t="s">
        <v>120</v>
      </c>
      <c r="N350" s="13" t="s">
        <v>106</v>
      </c>
      <c r="O350" s="23" t="n">
        <v>18.38</v>
      </c>
      <c r="P350" s="13" t="n">
        <v>1</v>
      </c>
      <c r="Q350" s="24" t="n">
        <v>46310.6078703704</v>
      </c>
      <c r="R350" s="22" t="s">
        <v>36</v>
      </c>
      <c r="S350" s="13" t="s">
        <v>107</v>
      </c>
      <c r="T350" s="13" t="str">
        <f aca="false">IF(S350="Oui",IF(R350=L350,"Identique","Changé"),"")</f>
        <v>Identique</v>
      </c>
    </row>
    <row r="351" customFormat="false" ht="35.05" hidden="false" customHeight="false" outlineLevel="0" collapsed="false">
      <c r="A351" s="13" t="s">
        <v>1289</v>
      </c>
      <c r="B351" s="13" t="s">
        <v>1279</v>
      </c>
      <c r="C351" s="13" t="n">
        <v>5</v>
      </c>
      <c r="D351" s="13" t="s">
        <v>135</v>
      </c>
      <c r="E351" s="13" t="s">
        <v>114</v>
      </c>
      <c r="F351" s="13" t="s">
        <v>617</v>
      </c>
      <c r="G351" s="13" t="s">
        <v>116</v>
      </c>
      <c r="H351" s="13" t="s">
        <v>101</v>
      </c>
      <c r="I351" s="21" t="s">
        <v>328</v>
      </c>
      <c r="J351" s="21" t="s">
        <v>118</v>
      </c>
      <c r="K351" s="21" t="s">
        <v>1290</v>
      </c>
      <c r="L351" s="22" t="s">
        <v>36</v>
      </c>
      <c r="M351" s="21" t="s">
        <v>120</v>
      </c>
      <c r="N351" s="13" t="s">
        <v>106</v>
      </c>
      <c r="O351" s="23" t="n">
        <v>11.43</v>
      </c>
      <c r="P351" s="13" t="n">
        <v>1</v>
      </c>
      <c r="Q351" s="24" t="n">
        <v>46310.608125</v>
      </c>
      <c r="R351" s="22" t="s">
        <v>36</v>
      </c>
      <c r="S351" s="13" t="s">
        <v>107</v>
      </c>
      <c r="T351" s="13" t="str">
        <f aca="false">IF(S351="Oui",IF(R351=L351,"Identique","Changé"),"")</f>
        <v>Identique</v>
      </c>
    </row>
    <row r="352" customFormat="false" ht="57.45" hidden="false" customHeight="false" outlineLevel="0" collapsed="false">
      <c r="A352" s="13" t="s">
        <v>1291</v>
      </c>
      <c r="B352" s="13" t="s">
        <v>1292</v>
      </c>
      <c r="C352" s="13" t="n">
        <v>1</v>
      </c>
      <c r="D352" s="13" t="s">
        <v>97</v>
      </c>
      <c r="E352" s="13" t="s">
        <v>171</v>
      </c>
      <c r="F352" s="13" t="s">
        <v>1094</v>
      </c>
      <c r="G352" s="13" t="s">
        <v>222</v>
      </c>
      <c r="H352" s="13" t="s">
        <v>101</v>
      </c>
      <c r="I352" s="21" t="s">
        <v>1293</v>
      </c>
      <c r="J352" s="21" t="s">
        <v>334</v>
      </c>
      <c r="K352" s="21" t="s">
        <v>1294</v>
      </c>
      <c r="L352" s="22" t="s">
        <v>36</v>
      </c>
      <c r="M352" s="21" t="s">
        <v>120</v>
      </c>
      <c r="N352" s="13" t="s">
        <v>106</v>
      </c>
      <c r="O352" s="23" t="n">
        <v>35.95</v>
      </c>
      <c r="P352" s="13" t="n">
        <v>1</v>
      </c>
      <c r="Q352" s="24" t="n">
        <v>46310.6087268519</v>
      </c>
      <c r="R352" s="22" t="s">
        <v>36</v>
      </c>
      <c r="S352" s="13" t="s">
        <v>107</v>
      </c>
      <c r="T352" s="13" t="str">
        <f aca="false">IF(S352="Oui",IF(R352=L352,"Identique","Changé"),"")</f>
        <v>Identique</v>
      </c>
    </row>
    <row r="353" customFormat="false" ht="35.05" hidden="false" customHeight="false" outlineLevel="0" collapsed="false">
      <c r="A353" s="13" t="s">
        <v>1295</v>
      </c>
      <c r="B353" s="13" t="s">
        <v>1292</v>
      </c>
      <c r="C353" s="13" t="n">
        <v>2</v>
      </c>
      <c r="D353" s="13" t="s">
        <v>97</v>
      </c>
      <c r="E353" s="13" t="s">
        <v>128</v>
      </c>
      <c r="F353" s="13" t="s">
        <v>1094</v>
      </c>
      <c r="G353" s="13" t="s">
        <v>209</v>
      </c>
      <c r="H353" s="13" t="s">
        <v>101</v>
      </c>
      <c r="I353" s="21" t="s">
        <v>659</v>
      </c>
      <c r="J353" s="21" t="s">
        <v>1285</v>
      </c>
      <c r="K353" s="21" t="s">
        <v>1296</v>
      </c>
      <c r="L353" s="22" t="s">
        <v>36</v>
      </c>
      <c r="M353" s="21" t="s">
        <v>120</v>
      </c>
      <c r="N353" s="13" t="s">
        <v>106</v>
      </c>
      <c r="O353" s="23" t="n">
        <v>12.78</v>
      </c>
      <c r="P353" s="13" t="n">
        <v>1</v>
      </c>
      <c r="Q353" s="24" t="n">
        <v>46310.6089930556</v>
      </c>
      <c r="R353" s="22" t="s">
        <v>36</v>
      </c>
      <c r="S353" s="13" t="s">
        <v>107</v>
      </c>
      <c r="T353" s="13" t="str">
        <f aca="false">IF(S353="Oui",IF(R353=L353,"Identique","Changé"),"")</f>
        <v>Identique</v>
      </c>
    </row>
    <row r="354" customFormat="false" ht="35.05" hidden="false" customHeight="false" outlineLevel="0" collapsed="false">
      <c r="A354" s="13" t="s">
        <v>1297</v>
      </c>
      <c r="B354" s="13" t="s">
        <v>1292</v>
      </c>
      <c r="C354" s="13" t="n">
        <v>3</v>
      </c>
      <c r="D354" s="13" t="s">
        <v>97</v>
      </c>
      <c r="E354" s="13" t="s">
        <v>122</v>
      </c>
      <c r="F354" s="13" t="s">
        <v>1298</v>
      </c>
      <c r="G354" s="13" t="s">
        <v>123</v>
      </c>
      <c r="H354" s="13" t="s">
        <v>101</v>
      </c>
      <c r="I354" s="21" t="s">
        <v>1299</v>
      </c>
      <c r="J354" s="21" t="s">
        <v>1300</v>
      </c>
      <c r="K354" s="21" t="s">
        <v>1301</v>
      </c>
      <c r="L354" s="22" t="s">
        <v>36</v>
      </c>
      <c r="M354" s="21" t="s">
        <v>120</v>
      </c>
      <c r="N354" s="13" t="s">
        <v>106</v>
      </c>
      <c r="O354" s="23" t="n">
        <v>11.72</v>
      </c>
      <c r="P354" s="13" t="n">
        <v>1</v>
      </c>
      <c r="Q354" s="24" t="n">
        <v>46310.6092476852</v>
      </c>
      <c r="R354" s="22" t="s">
        <v>36</v>
      </c>
      <c r="S354" s="13" t="s">
        <v>107</v>
      </c>
      <c r="T354" s="13" t="str">
        <f aca="false">IF(S354="Oui",IF(R354=L354,"Identique","Changé"),"")</f>
        <v>Identique</v>
      </c>
    </row>
    <row r="355" customFormat="false" ht="57.45" hidden="false" customHeight="false" outlineLevel="0" collapsed="false">
      <c r="A355" s="13" t="s">
        <v>1302</v>
      </c>
      <c r="B355" s="13" t="s">
        <v>1292</v>
      </c>
      <c r="C355" s="13" t="n">
        <v>4</v>
      </c>
      <c r="D355" s="13" t="s">
        <v>97</v>
      </c>
      <c r="E355" s="13" t="s">
        <v>158</v>
      </c>
      <c r="F355" s="13" t="s">
        <v>1298</v>
      </c>
      <c r="G355" s="13" t="s">
        <v>343</v>
      </c>
      <c r="H355" s="13" t="s">
        <v>101</v>
      </c>
      <c r="I355" s="21" t="s">
        <v>344</v>
      </c>
      <c r="J355" s="21" t="s">
        <v>233</v>
      </c>
      <c r="K355" s="21" t="s">
        <v>1303</v>
      </c>
      <c r="L355" s="22" t="s">
        <v>37</v>
      </c>
      <c r="M355" s="21" t="s">
        <v>163</v>
      </c>
      <c r="N355" s="13" t="s">
        <v>106</v>
      </c>
      <c r="O355" s="23" t="n">
        <v>19.18</v>
      </c>
      <c r="P355" s="13" t="n">
        <v>1</v>
      </c>
      <c r="Q355" s="24" t="n">
        <v>46310.6095949074</v>
      </c>
      <c r="R355" s="22" t="s">
        <v>37</v>
      </c>
      <c r="S355" s="13" t="s">
        <v>107</v>
      </c>
      <c r="T355" s="13" t="str">
        <f aca="false">IF(S355="Oui",IF(R355=L355,"Identique","Changé"),"")</f>
        <v>Identique</v>
      </c>
    </row>
    <row r="356" customFormat="false" ht="23.85" hidden="false" customHeight="false" outlineLevel="0" collapsed="false">
      <c r="A356" s="13" t="s">
        <v>1304</v>
      </c>
      <c r="B356" s="13" t="s">
        <v>1292</v>
      </c>
      <c r="C356" s="13" t="n">
        <v>5</v>
      </c>
      <c r="D356" s="13" t="s">
        <v>97</v>
      </c>
      <c r="E356" s="13" t="s">
        <v>114</v>
      </c>
      <c r="F356" s="13" t="s">
        <v>1094</v>
      </c>
      <c r="G356" s="13" t="s">
        <v>1305</v>
      </c>
      <c r="H356" s="13" t="s">
        <v>101</v>
      </c>
      <c r="I356" s="21" t="s">
        <v>1306</v>
      </c>
      <c r="J356" s="21" t="s">
        <v>284</v>
      </c>
      <c r="K356" s="21" t="s">
        <v>1307</v>
      </c>
      <c r="L356" s="22" t="s">
        <v>36</v>
      </c>
      <c r="M356" s="21" t="s">
        <v>120</v>
      </c>
      <c r="N356" s="13" t="s">
        <v>106</v>
      </c>
      <c r="O356" s="23" t="n">
        <v>12.22</v>
      </c>
      <c r="P356" s="13" t="n">
        <v>1</v>
      </c>
      <c r="Q356" s="24" t="n">
        <v>46310.609849537</v>
      </c>
      <c r="R356" s="22" t="s">
        <v>36</v>
      </c>
      <c r="S356" s="13" t="s">
        <v>107</v>
      </c>
      <c r="T356" s="13" t="str">
        <f aca="false">IF(S356="Oui",IF(R356=L356,"Identique","Changé"),"")</f>
        <v>Identique</v>
      </c>
    </row>
    <row r="357" customFormat="false" ht="23.85" hidden="false" customHeight="false" outlineLevel="0" collapsed="false">
      <c r="A357" s="13" t="s">
        <v>1308</v>
      </c>
      <c r="B357" s="13" t="s">
        <v>1309</v>
      </c>
      <c r="C357" s="13" t="n">
        <v>1</v>
      </c>
      <c r="D357" s="13" t="s">
        <v>135</v>
      </c>
      <c r="E357" s="13" t="s">
        <v>128</v>
      </c>
      <c r="F357" s="13" t="s">
        <v>1310</v>
      </c>
      <c r="G357" s="13" t="s">
        <v>209</v>
      </c>
      <c r="H357" s="13" t="s">
        <v>101</v>
      </c>
      <c r="I357" s="21" t="s">
        <v>1311</v>
      </c>
      <c r="J357" s="21" t="s">
        <v>1206</v>
      </c>
      <c r="K357" s="21" t="s">
        <v>1105</v>
      </c>
      <c r="L357" s="22" t="s">
        <v>37</v>
      </c>
      <c r="M357" s="21" t="s">
        <v>163</v>
      </c>
      <c r="N357" s="13" t="s">
        <v>106</v>
      </c>
      <c r="O357" s="23" t="n">
        <v>17.6</v>
      </c>
      <c r="P357" s="13" t="n">
        <v>1</v>
      </c>
      <c r="Q357" s="24" t="n">
        <v>46310.6102430556</v>
      </c>
      <c r="R357" s="22" t="s">
        <v>36</v>
      </c>
      <c r="S357" s="13" t="s">
        <v>107</v>
      </c>
      <c r="T357" s="13" t="str">
        <f aca="false">IF(S357="Oui",IF(R357=L357,"Identique","Changé"),"")</f>
        <v>Changé</v>
      </c>
    </row>
    <row r="358" customFormat="false" ht="15" hidden="false" customHeight="false" outlineLevel="0" collapsed="false">
      <c r="A358" s="13" t="s">
        <v>1312</v>
      </c>
      <c r="B358" s="13" t="s">
        <v>1309</v>
      </c>
      <c r="C358" s="13" t="n">
        <v>2</v>
      </c>
      <c r="D358" s="13" t="s">
        <v>135</v>
      </c>
      <c r="E358" s="13" t="s">
        <v>122</v>
      </c>
      <c r="F358" s="13" t="s">
        <v>1310</v>
      </c>
      <c r="G358" s="13" t="s">
        <v>123</v>
      </c>
      <c r="H358" s="13" t="s">
        <v>101</v>
      </c>
      <c r="I358" s="21" t="s">
        <v>358</v>
      </c>
      <c r="J358" s="21" t="s">
        <v>277</v>
      </c>
      <c r="K358" s="21" t="s">
        <v>1105</v>
      </c>
      <c r="L358" s="22" t="s">
        <v>37</v>
      </c>
      <c r="M358" s="21" t="s">
        <v>163</v>
      </c>
      <c r="N358" s="13" t="s">
        <v>106</v>
      </c>
      <c r="O358" s="23" t="n">
        <v>10.68</v>
      </c>
      <c r="P358" s="13" t="n">
        <v>1</v>
      </c>
      <c r="Q358" s="24" t="n">
        <v>46310.6104861111</v>
      </c>
      <c r="R358" s="22" t="s">
        <v>36</v>
      </c>
      <c r="S358" s="13" t="s">
        <v>107</v>
      </c>
      <c r="T358" s="13" t="str">
        <f aca="false">IF(S358="Oui",IF(R358=L358,"Identique","Changé"),"")</f>
        <v>Changé</v>
      </c>
    </row>
    <row r="359" customFormat="false" ht="35.05" hidden="false" customHeight="false" outlineLevel="0" collapsed="false">
      <c r="A359" s="13" t="s">
        <v>1313</v>
      </c>
      <c r="B359" s="13" t="s">
        <v>1309</v>
      </c>
      <c r="C359" s="13" t="n">
        <v>3</v>
      </c>
      <c r="D359" s="13" t="s">
        <v>135</v>
      </c>
      <c r="E359" s="13" t="s">
        <v>171</v>
      </c>
      <c r="F359" s="13" t="s">
        <v>1310</v>
      </c>
      <c r="G359" s="13" t="s">
        <v>172</v>
      </c>
      <c r="H359" s="13" t="s">
        <v>101</v>
      </c>
      <c r="I359" s="21" t="s">
        <v>173</v>
      </c>
      <c r="J359" s="21" t="s">
        <v>174</v>
      </c>
      <c r="K359" s="21" t="s">
        <v>1314</v>
      </c>
      <c r="L359" s="22" t="s">
        <v>36</v>
      </c>
      <c r="M359" s="21" t="s">
        <v>120</v>
      </c>
      <c r="N359" s="13" t="s">
        <v>106</v>
      </c>
      <c r="O359" s="23" t="n">
        <v>52.7</v>
      </c>
      <c r="P359" s="13" t="n">
        <v>1</v>
      </c>
      <c r="Q359" s="24" t="n">
        <v>46310.6112152778</v>
      </c>
      <c r="R359" s="22" t="s">
        <v>37</v>
      </c>
      <c r="S359" s="13" t="s">
        <v>107</v>
      </c>
      <c r="T359" s="13" t="str">
        <f aca="false">IF(S359="Oui",IF(R359=L359,"Identique","Changé"),"")</f>
        <v>Changé</v>
      </c>
    </row>
    <row r="360" customFormat="false" ht="46.25" hidden="false" customHeight="false" outlineLevel="0" collapsed="false">
      <c r="A360" s="13" t="s">
        <v>1315</v>
      </c>
      <c r="B360" s="13" t="s">
        <v>1309</v>
      </c>
      <c r="C360" s="13" t="n">
        <v>4</v>
      </c>
      <c r="D360" s="13" t="s">
        <v>135</v>
      </c>
      <c r="E360" s="13" t="s">
        <v>570</v>
      </c>
      <c r="F360" s="13" t="s">
        <v>1310</v>
      </c>
      <c r="G360" s="13" t="s">
        <v>571</v>
      </c>
      <c r="H360" s="13" t="s">
        <v>152</v>
      </c>
      <c r="I360" s="21" t="s">
        <v>1316</v>
      </c>
      <c r="J360" s="21" t="s">
        <v>154</v>
      </c>
      <c r="K360" s="21" t="s">
        <v>1317</v>
      </c>
      <c r="L360" s="22" t="s">
        <v>40</v>
      </c>
      <c r="M360" s="21" t="s">
        <v>156</v>
      </c>
      <c r="N360" s="13" t="s">
        <v>106</v>
      </c>
      <c r="O360" s="23" t="n">
        <v>11.08</v>
      </c>
      <c r="P360" s="13" t="n">
        <v>1</v>
      </c>
      <c r="Q360" s="24" t="n">
        <v>46310.6114583333</v>
      </c>
      <c r="R360" s="22" t="s">
        <v>40</v>
      </c>
      <c r="S360" s="13" t="s">
        <v>107</v>
      </c>
      <c r="T360" s="13" t="str">
        <f aca="false">IF(S360="Oui",IF(R360=L360,"Identique","Changé"),"")</f>
        <v>Identique</v>
      </c>
    </row>
    <row r="361" customFormat="false" ht="35.05" hidden="false" customHeight="false" outlineLevel="0" collapsed="false">
      <c r="A361" s="13" t="s">
        <v>1318</v>
      </c>
      <c r="B361" s="13" t="s">
        <v>1309</v>
      </c>
      <c r="C361" s="13" t="n">
        <v>5</v>
      </c>
      <c r="D361" s="13" t="s">
        <v>135</v>
      </c>
      <c r="E361" s="13" t="s">
        <v>128</v>
      </c>
      <c r="F361" s="13" t="s">
        <v>1310</v>
      </c>
      <c r="G361" s="13" t="s">
        <v>204</v>
      </c>
      <c r="H361" s="13" t="s">
        <v>101</v>
      </c>
      <c r="I361" s="21" t="s">
        <v>367</v>
      </c>
      <c r="J361" s="21" t="s">
        <v>355</v>
      </c>
      <c r="K361" s="21" t="s">
        <v>1319</v>
      </c>
      <c r="L361" s="22" t="s">
        <v>36</v>
      </c>
      <c r="M361" s="21" t="s">
        <v>120</v>
      </c>
      <c r="N361" s="13" t="s">
        <v>106</v>
      </c>
      <c r="O361" s="23" t="n">
        <v>12.96</v>
      </c>
      <c r="P361" s="13" t="n">
        <v>1</v>
      </c>
      <c r="Q361" s="24" t="n">
        <v>46310.6117361111</v>
      </c>
      <c r="R361" s="22" t="s">
        <v>36</v>
      </c>
      <c r="S361" s="13" t="s">
        <v>107</v>
      </c>
      <c r="T361" s="13" t="str">
        <f aca="false">IF(S361="Oui",IF(R361=L361,"Identique","Changé"),"")</f>
        <v>Identique</v>
      </c>
    </row>
    <row r="362" customFormat="false" ht="35.05" hidden="false" customHeight="false" outlineLevel="0" collapsed="false">
      <c r="A362" s="13" t="s">
        <v>1320</v>
      </c>
      <c r="B362" s="13" t="s">
        <v>1321</v>
      </c>
      <c r="C362" s="13" t="n">
        <v>1</v>
      </c>
      <c r="D362" s="13" t="s">
        <v>97</v>
      </c>
      <c r="E362" s="13" t="s">
        <v>98</v>
      </c>
      <c r="F362" s="13" t="s">
        <v>1298</v>
      </c>
      <c r="G362" s="13" t="s">
        <v>100</v>
      </c>
      <c r="H362" s="13" t="s">
        <v>101</v>
      </c>
      <c r="I362" s="21" t="s">
        <v>1322</v>
      </c>
      <c r="J362" s="21" t="s">
        <v>1323</v>
      </c>
      <c r="K362" s="21" t="s">
        <v>1324</v>
      </c>
      <c r="L362" s="22" t="s">
        <v>36</v>
      </c>
      <c r="M362" s="21" t="s">
        <v>105</v>
      </c>
      <c r="N362" s="13" t="s">
        <v>106</v>
      </c>
      <c r="O362" s="23" t="n">
        <v>34.78</v>
      </c>
      <c r="P362" s="13" t="n">
        <v>1</v>
      </c>
      <c r="Q362" s="24" t="n">
        <v>46310.6123032407</v>
      </c>
      <c r="R362" s="22" t="s">
        <v>36</v>
      </c>
      <c r="S362" s="13" t="s">
        <v>107</v>
      </c>
      <c r="T362" s="13" t="str">
        <f aca="false">IF(S362="Oui",IF(R362=L362,"Identique","Changé"),"")</f>
        <v>Identique</v>
      </c>
    </row>
    <row r="363" customFormat="false" ht="35.05" hidden="false" customHeight="false" outlineLevel="0" collapsed="false">
      <c r="A363" s="13" t="s">
        <v>1325</v>
      </c>
      <c r="B363" s="13" t="s">
        <v>1321</v>
      </c>
      <c r="C363" s="13" t="n">
        <v>2</v>
      </c>
      <c r="D363" s="13" t="s">
        <v>97</v>
      </c>
      <c r="E363" s="13" t="s">
        <v>98</v>
      </c>
      <c r="F363" s="13" t="s">
        <v>1298</v>
      </c>
      <c r="G363" s="13" t="s">
        <v>109</v>
      </c>
      <c r="H363" s="13" t="s">
        <v>101</v>
      </c>
      <c r="I363" s="21" t="s">
        <v>374</v>
      </c>
      <c r="J363" s="21" t="s">
        <v>103</v>
      </c>
      <c r="K363" s="21" t="s">
        <v>1326</v>
      </c>
      <c r="L363" s="22" t="s">
        <v>36</v>
      </c>
      <c r="M363" s="21" t="s">
        <v>105</v>
      </c>
      <c r="N363" s="13" t="s">
        <v>106</v>
      </c>
      <c r="O363" s="23" t="n">
        <v>15.68</v>
      </c>
      <c r="P363" s="13" t="n">
        <v>1</v>
      </c>
      <c r="Q363" s="24" t="n">
        <v>46310.6126041667</v>
      </c>
      <c r="R363" s="22" t="s">
        <v>36</v>
      </c>
      <c r="S363" s="13" t="s">
        <v>107</v>
      </c>
      <c r="T363" s="13" t="str">
        <f aca="false">IF(S363="Oui",IF(R363=L363,"Identique","Changé"),"")</f>
        <v>Identique</v>
      </c>
    </row>
    <row r="364" customFormat="false" ht="35.05" hidden="false" customHeight="false" outlineLevel="0" collapsed="false">
      <c r="A364" s="13" t="s">
        <v>1327</v>
      </c>
      <c r="B364" s="13" t="s">
        <v>1321</v>
      </c>
      <c r="C364" s="13" t="n">
        <v>3</v>
      </c>
      <c r="D364" s="13" t="s">
        <v>97</v>
      </c>
      <c r="E364" s="13" t="s">
        <v>114</v>
      </c>
      <c r="F364" s="13" t="s">
        <v>1298</v>
      </c>
      <c r="G364" s="13" t="s">
        <v>1305</v>
      </c>
      <c r="H364" s="13" t="s">
        <v>101</v>
      </c>
      <c r="I364" s="21" t="s">
        <v>1328</v>
      </c>
      <c r="J364" s="21" t="s">
        <v>284</v>
      </c>
      <c r="K364" s="21" t="s">
        <v>1329</v>
      </c>
      <c r="L364" s="22" t="s">
        <v>36</v>
      </c>
      <c r="M364" s="21" t="s">
        <v>120</v>
      </c>
      <c r="N364" s="13" t="s">
        <v>106</v>
      </c>
      <c r="O364" s="23" t="n">
        <v>12.84</v>
      </c>
      <c r="P364" s="13" t="n">
        <v>1</v>
      </c>
      <c r="Q364" s="24" t="n">
        <v>46310.6128703704</v>
      </c>
      <c r="R364" s="22" t="s">
        <v>36</v>
      </c>
      <c r="S364" s="13" t="s">
        <v>107</v>
      </c>
      <c r="T364" s="13" t="str">
        <f aca="false">IF(S364="Oui",IF(R364=L364,"Identique","Changé"),"")</f>
        <v>Identique</v>
      </c>
    </row>
    <row r="365" customFormat="false" ht="46.25" hidden="false" customHeight="false" outlineLevel="0" collapsed="false">
      <c r="A365" s="13" t="s">
        <v>1330</v>
      </c>
      <c r="B365" s="13" t="s">
        <v>1321</v>
      </c>
      <c r="C365" s="13" t="n">
        <v>4</v>
      </c>
      <c r="D365" s="13" t="s">
        <v>97</v>
      </c>
      <c r="E365" s="13" t="s">
        <v>185</v>
      </c>
      <c r="F365" s="13" t="s">
        <v>1298</v>
      </c>
      <c r="G365" s="13" t="s">
        <v>363</v>
      </c>
      <c r="H365" s="13" t="s">
        <v>152</v>
      </c>
      <c r="I365" s="21" t="s">
        <v>1331</v>
      </c>
      <c r="J365" s="21" t="s">
        <v>154</v>
      </c>
      <c r="K365" s="21" t="s">
        <v>1332</v>
      </c>
      <c r="L365" s="22" t="s">
        <v>40</v>
      </c>
      <c r="M365" s="21" t="s">
        <v>156</v>
      </c>
      <c r="N365" s="13" t="s">
        <v>106</v>
      </c>
      <c r="O365" s="23" t="n">
        <v>12.13</v>
      </c>
      <c r="P365" s="13" t="n">
        <v>1</v>
      </c>
      <c r="Q365" s="24" t="n">
        <v>46310.613125</v>
      </c>
      <c r="R365" s="22" t="s">
        <v>40</v>
      </c>
      <c r="S365" s="13" t="s">
        <v>107</v>
      </c>
      <c r="T365" s="13" t="str">
        <f aca="false">IF(S365="Oui",IF(R365=L365,"Identique","Changé"),"")</f>
        <v>Identique</v>
      </c>
    </row>
    <row r="366" customFormat="false" ht="46.25" hidden="false" customHeight="false" outlineLevel="0" collapsed="false">
      <c r="A366" s="13" t="s">
        <v>1333</v>
      </c>
      <c r="B366" s="13" t="s">
        <v>1321</v>
      </c>
      <c r="C366" s="13" t="n">
        <v>5</v>
      </c>
      <c r="D366" s="13" t="s">
        <v>97</v>
      </c>
      <c r="E366" s="13" t="s">
        <v>122</v>
      </c>
      <c r="F366" s="13" t="s">
        <v>1298</v>
      </c>
      <c r="G366" s="13" t="s">
        <v>123</v>
      </c>
      <c r="H366" s="13" t="s">
        <v>101</v>
      </c>
      <c r="I366" s="21" t="s">
        <v>384</v>
      </c>
      <c r="J366" s="21" t="s">
        <v>1300</v>
      </c>
      <c r="K366" s="21" t="s">
        <v>1334</v>
      </c>
      <c r="L366" s="22" t="s">
        <v>36</v>
      </c>
      <c r="M366" s="21" t="s">
        <v>120</v>
      </c>
      <c r="N366" s="13" t="s">
        <v>106</v>
      </c>
      <c r="O366" s="23" t="n">
        <v>10.31</v>
      </c>
      <c r="P366" s="13" t="n">
        <v>1</v>
      </c>
      <c r="Q366" s="24" t="n">
        <v>46310.6133680556</v>
      </c>
      <c r="R366" s="22" t="s">
        <v>36</v>
      </c>
      <c r="S366" s="13" t="s">
        <v>107</v>
      </c>
      <c r="T366" s="13" t="str">
        <f aca="false">IF(S366="Oui",IF(R366=L366,"Identique","Changé"),"")</f>
        <v>Identique</v>
      </c>
    </row>
    <row r="367" customFormat="false" ht="35.05" hidden="false" customHeight="false" outlineLevel="0" collapsed="false">
      <c r="A367" s="13" t="s">
        <v>1335</v>
      </c>
      <c r="B367" s="13" t="s">
        <v>1336</v>
      </c>
      <c r="C367" s="13" t="n">
        <v>1</v>
      </c>
      <c r="D367" s="13" t="s">
        <v>135</v>
      </c>
      <c r="E367" s="13" t="s">
        <v>114</v>
      </c>
      <c r="F367" s="13" t="s">
        <v>1337</v>
      </c>
      <c r="G367" s="13" t="s">
        <v>116</v>
      </c>
      <c r="H367" s="13" t="s">
        <v>101</v>
      </c>
      <c r="I367" s="21" t="s">
        <v>1338</v>
      </c>
      <c r="J367" s="21" t="s">
        <v>118</v>
      </c>
      <c r="K367" s="21" t="s">
        <v>1339</v>
      </c>
      <c r="L367" s="22" t="s">
        <v>36</v>
      </c>
      <c r="M367" s="21" t="s">
        <v>120</v>
      </c>
      <c r="N367" s="13" t="s">
        <v>106</v>
      </c>
      <c r="O367" s="23" t="n">
        <v>28.18</v>
      </c>
      <c r="P367" s="13" t="n">
        <v>1</v>
      </c>
      <c r="Q367" s="24" t="n">
        <v>46310.6138541667</v>
      </c>
      <c r="R367" s="22" t="s">
        <v>36</v>
      </c>
      <c r="S367" s="13" t="s">
        <v>107</v>
      </c>
      <c r="T367" s="13" t="str">
        <f aca="false">IF(S367="Oui",IF(R367=L367,"Identique","Changé"),"")</f>
        <v>Identique</v>
      </c>
    </row>
    <row r="368" customFormat="false" ht="35.05" hidden="false" customHeight="false" outlineLevel="0" collapsed="false">
      <c r="A368" s="13" t="s">
        <v>1340</v>
      </c>
      <c r="B368" s="13" t="s">
        <v>1336</v>
      </c>
      <c r="C368" s="13" t="n">
        <v>2</v>
      </c>
      <c r="D368" s="13" t="s">
        <v>135</v>
      </c>
      <c r="E368" s="13" t="s">
        <v>114</v>
      </c>
      <c r="F368" s="13" t="s">
        <v>1337</v>
      </c>
      <c r="G368" s="13" t="s">
        <v>1305</v>
      </c>
      <c r="H368" s="13" t="s">
        <v>101</v>
      </c>
      <c r="I368" s="21" t="s">
        <v>1328</v>
      </c>
      <c r="J368" s="21" t="s">
        <v>284</v>
      </c>
      <c r="K368" s="21" t="s">
        <v>1341</v>
      </c>
      <c r="L368" s="22" t="s">
        <v>36</v>
      </c>
      <c r="M368" s="21" t="s">
        <v>120</v>
      </c>
      <c r="N368" s="13" t="s">
        <v>106</v>
      </c>
      <c r="O368" s="23" t="n">
        <v>11.81</v>
      </c>
      <c r="P368" s="13" t="n">
        <v>1</v>
      </c>
      <c r="Q368" s="24" t="n">
        <v>46310.6141087963</v>
      </c>
      <c r="R368" s="22" t="s">
        <v>36</v>
      </c>
      <c r="S368" s="13" t="s">
        <v>107</v>
      </c>
      <c r="T368" s="13" t="str">
        <f aca="false">IF(S368="Oui",IF(R368=L368,"Identique","Changé"),"")</f>
        <v>Identique</v>
      </c>
    </row>
    <row r="369" customFormat="false" ht="35.05" hidden="false" customHeight="false" outlineLevel="0" collapsed="false">
      <c r="A369" s="13" t="s">
        <v>1342</v>
      </c>
      <c r="B369" s="13" t="s">
        <v>1336</v>
      </c>
      <c r="C369" s="13" t="n">
        <v>3</v>
      </c>
      <c r="D369" s="13" t="s">
        <v>135</v>
      </c>
      <c r="E369" s="13" t="s">
        <v>114</v>
      </c>
      <c r="F369" s="13" t="s">
        <v>1337</v>
      </c>
      <c r="G369" s="13" t="s">
        <v>146</v>
      </c>
      <c r="H369" s="13" t="s">
        <v>101</v>
      </c>
      <c r="I369" s="21" t="s">
        <v>396</v>
      </c>
      <c r="J369" s="21" t="s">
        <v>148</v>
      </c>
      <c r="K369" s="21" t="s">
        <v>1343</v>
      </c>
      <c r="L369" s="22" t="s">
        <v>36</v>
      </c>
      <c r="M369" s="21" t="s">
        <v>120</v>
      </c>
      <c r="N369" s="13" t="s">
        <v>106</v>
      </c>
      <c r="O369" s="23" t="n">
        <v>10.55</v>
      </c>
      <c r="P369" s="13" t="n">
        <v>1</v>
      </c>
      <c r="Q369" s="24" t="n">
        <v>46310.6143518519</v>
      </c>
      <c r="R369" s="22" t="s">
        <v>36</v>
      </c>
      <c r="S369" s="13" t="s">
        <v>107</v>
      </c>
      <c r="T369" s="13" t="str">
        <f aca="false">IF(S369="Oui",IF(R369=L369,"Identique","Changé"),"")</f>
        <v>Identique</v>
      </c>
    </row>
    <row r="370" customFormat="false" ht="35.05" hidden="false" customHeight="false" outlineLevel="0" collapsed="false">
      <c r="A370" s="13" t="s">
        <v>1344</v>
      </c>
      <c r="B370" s="13" t="s">
        <v>1336</v>
      </c>
      <c r="C370" s="13" t="n">
        <v>4</v>
      </c>
      <c r="D370" s="13" t="s">
        <v>135</v>
      </c>
      <c r="E370" s="13" t="s">
        <v>122</v>
      </c>
      <c r="F370" s="13" t="s">
        <v>1337</v>
      </c>
      <c r="G370" s="13" t="s">
        <v>123</v>
      </c>
      <c r="H370" s="13" t="s">
        <v>101</v>
      </c>
      <c r="I370" s="21" t="s">
        <v>384</v>
      </c>
      <c r="J370" s="21" t="s">
        <v>277</v>
      </c>
      <c r="K370" s="21" t="s">
        <v>1345</v>
      </c>
      <c r="L370" s="22" t="s">
        <v>36</v>
      </c>
      <c r="M370" s="21" t="s">
        <v>120</v>
      </c>
      <c r="N370" s="13" t="s">
        <v>106</v>
      </c>
      <c r="O370" s="23" t="n">
        <v>11.36</v>
      </c>
      <c r="P370" s="13" t="n">
        <v>1</v>
      </c>
      <c r="Q370" s="24" t="n">
        <v>46310.6146064815</v>
      </c>
      <c r="R370" s="22" t="s">
        <v>36</v>
      </c>
      <c r="S370" s="13" t="s">
        <v>107</v>
      </c>
      <c r="T370" s="13" t="str">
        <f aca="false">IF(S370="Oui",IF(R370=L370,"Identique","Changé"),"")</f>
        <v>Identique</v>
      </c>
    </row>
    <row r="371" customFormat="false" ht="35.05" hidden="false" customHeight="false" outlineLevel="0" collapsed="false">
      <c r="A371" s="13" t="s">
        <v>1346</v>
      </c>
      <c r="B371" s="13" t="s">
        <v>1336</v>
      </c>
      <c r="C371" s="13" t="n">
        <v>5</v>
      </c>
      <c r="D371" s="13" t="s">
        <v>135</v>
      </c>
      <c r="E371" s="13" t="s">
        <v>171</v>
      </c>
      <c r="F371" s="13" t="s">
        <v>1337</v>
      </c>
      <c r="G371" s="13" t="s">
        <v>908</v>
      </c>
      <c r="H371" s="13" t="s">
        <v>101</v>
      </c>
      <c r="I371" s="21" t="s">
        <v>909</v>
      </c>
      <c r="J371" s="21" t="s">
        <v>1347</v>
      </c>
      <c r="K371" s="21" t="s">
        <v>1348</v>
      </c>
      <c r="L371" s="22" t="s">
        <v>36</v>
      </c>
      <c r="M371" s="21" t="s">
        <v>120</v>
      </c>
      <c r="N371" s="13" t="s">
        <v>106</v>
      </c>
      <c r="O371" s="23" t="n">
        <v>11.75</v>
      </c>
      <c r="P371" s="13" t="n">
        <v>1</v>
      </c>
      <c r="Q371" s="24" t="n">
        <v>46310.6148611111</v>
      </c>
      <c r="R371" s="22" t="s">
        <v>36</v>
      </c>
      <c r="S371" s="13" t="s">
        <v>107</v>
      </c>
      <c r="T371" s="13" t="str">
        <f aca="false">IF(S371="Oui",IF(R371=L371,"Identique","Changé"),"")</f>
        <v>Identique</v>
      </c>
    </row>
    <row r="372" customFormat="false" ht="46.25" hidden="false" customHeight="false" outlineLevel="0" collapsed="false">
      <c r="A372" s="13" t="s">
        <v>1349</v>
      </c>
      <c r="B372" s="13" t="s">
        <v>1350</v>
      </c>
      <c r="C372" s="13" t="n">
        <v>1</v>
      </c>
      <c r="D372" s="13" t="s">
        <v>97</v>
      </c>
      <c r="E372" s="13" t="s">
        <v>114</v>
      </c>
      <c r="F372" s="13" t="s">
        <v>488</v>
      </c>
      <c r="G372" s="13" t="s">
        <v>1305</v>
      </c>
      <c r="H372" s="13" t="s">
        <v>101</v>
      </c>
      <c r="I372" s="21" t="s">
        <v>1351</v>
      </c>
      <c r="J372" s="21" t="s">
        <v>284</v>
      </c>
      <c r="K372" s="21" t="s">
        <v>1352</v>
      </c>
      <c r="L372" s="22" t="s">
        <v>36</v>
      </c>
      <c r="M372" s="21" t="s">
        <v>120</v>
      </c>
      <c r="N372" s="13" t="s">
        <v>106</v>
      </c>
      <c r="O372" s="23" t="n">
        <v>47.85</v>
      </c>
      <c r="P372" s="13" t="n">
        <v>1</v>
      </c>
      <c r="Q372" s="24" t="n">
        <v>46310.6155787037</v>
      </c>
      <c r="R372" s="22" t="s">
        <v>36</v>
      </c>
      <c r="S372" s="13" t="s">
        <v>107</v>
      </c>
      <c r="T372" s="13" t="str">
        <f aca="false">IF(S372="Oui",IF(R372=L372,"Identique","Changé"),"")</f>
        <v>Identique</v>
      </c>
    </row>
    <row r="373" customFormat="false" ht="46.25" hidden="false" customHeight="false" outlineLevel="0" collapsed="false">
      <c r="A373" s="13" t="s">
        <v>1353</v>
      </c>
      <c r="B373" s="13" t="s">
        <v>1350</v>
      </c>
      <c r="C373" s="13" t="n">
        <v>2</v>
      </c>
      <c r="D373" s="13" t="s">
        <v>97</v>
      </c>
      <c r="E373" s="13" t="s">
        <v>171</v>
      </c>
      <c r="F373" s="13" t="s">
        <v>488</v>
      </c>
      <c r="G373" s="13" t="s">
        <v>172</v>
      </c>
      <c r="H373" s="13" t="s">
        <v>101</v>
      </c>
      <c r="I373" s="21" t="s">
        <v>413</v>
      </c>
      <c r="J373" s="21" t="s">
        <v>174</v>
      </c>
      <c r="K373" s="21" t="s">
        <v>1354</v>
      </c>
      <c r="L373" s="22" t="s">
        <v>36</v>
      </c>
      <c r="M373" s="21" t="s">
        <v>120</v>
      </c>
      <c r="N373" s="13" t="s">
        <v>106</v>
      </c>
      <c r="O373" s="23" t="n">
        <v>26.94</v>
      </c>
      <c r="P373" s="13" t="n">
        <v>1</v>
      </c>
      <c r="Q373" s="24" t="n">
        <v>46310.6160069444</v>
      </c>
      <c r="R373" s="22" t="s">
        <v>37</v>
      </c>
      <c r="S373" s="13" t="s">
        <v>107</v>
      </c>
      <c r="T373" s="13" t="str">
        <f aca="false">IF(S373="Oui",IF(R373=L373,"Identique","Changé"),"")</f>
        <v>Changé</v>
      </c>
    </row>
    <row r="374" customFormat="false" ht="35.05" hidden="false" customHeight="false" outlineLevel="0" collapsed="false">
      <c r="A374" s="13" t="s">
        <v>1355</v>
      </c>
      <c r="B374" s="13" t="s">
        <v>1350</v>
      </c>
      <c r="C374" s="13" t="n">
        <v>3</v>
      </c>
      <c r="D374" s="13" t="s">
        <v>97</v>
      </c>
      <c r="E374" s="13" t="s">
        <v>158</v>
      </c>
      <c r="F374" s="13" t="s">
        <v>488</v>
      </c>
      <c r="G374" s="13" t="s">
        <v>159</v>
      </c>
      <c r="H374" s="13" t="s">
        <v>101</v>
      </c>
      <c r="I374" s="21" t="s">
        <v>416</v>
      </c>
      <c r="J374" s="21" t="s">
        <v>233</v>
      </c>
      <c r="K374" s="21" t="s">
        <v>1356</v>
      </c>
      <c r="L374" s="22" t="s">
        <v>37</v>
      </c>
      <c r="M374" s="21" t="s">
        <v>163</v>
      </c>
      <c r="N374" s="13" t="s">
        <v>106</v>
      </c>
      <c r="O374" s="23" t="n">
        <v>13.48</v>
      </c>
      <c r="P374" s="13" t="n">
        <v>1</v>
      </c>
      <c r="Q374" s="24" t="n">
        <v>46310.6162847222</v>
      </c>
      <c r="R374" s="22" t="s">
        <v>37</v>
      </c>
      <c r="S374" s="13" t="s">
        <v>107</v>
      </c>
      <c r="T374" s="13" t="str">
        <f aca="false">IF(S374="Oui",IF(R374=L374,"Identique","Changé"),"")</f>
        <v>Identique</v>
      </c>
    </row>
    <row r="375" customFormat="false" ht="35.05" hidden="false" customHeight="false" outlineLevel="0" collapsed="false">
      <c r="A375" s="13" t="s">
        <v>1357</v>
      </c>
      <c r="B375" s="13" t="s">
        <v>1350</v>
      </c>
      <c r="C375" s="13" t="n">
        <v>4</v>
      </c>
      <c r="D375" s="13" t="s">
        <v>97</v>
      </c>
      <c r="E375" s="13" t="s">
        <v>171</v>
      </c>
      <c r="F375" s="13" t="s">
        <v>488</v>
      </c>
      <c r="G375" s="13" t="s">
        <v>908</v>
      </c>
      <c r="H375" s="13" t="s">
        <v>101</v>
      </c>
      <c r="I375" s="21" t="s">
        <v>909</v>
      </c>
      <c r="J375" s="21" t="s">
        <v>1358</v>
      </c>
      <c r="K375" s="21" t="s">
        <v>1359</v>
      </c>
      <c r="L375" s="22" t="s">
        <v>36</v>
      </c>
      <c r="M375" s="21" t="s">
        <v>120</v>
      </c>
      <c r="N375" s="13" t="s">
        <v>106</v>
      </c>
      <c r="O375" s="23" t="n">
        <v>13.43</v>
      </c>
      <c r="P375" s="13" t="n">
        <v>1</v>
      </c>
      <c r="Q375" s="24" t="n">
        <v>46310.6165509259</v>
      </c>
      <c r="R375" s="22" t="s">
        <v>36</v>
      </c>
      <c r="S375" s="13" t="s">
        <v>107</v>
      </c>
      <c r="T375" s="13" t="str">
        <f aca="false">IF(S375="Oui",IF(R375=L375,"Identique","Changé"),"")</f>
        <v>Identique</v>
      </c>
    </row>
    <row r="376" customFormat="false" ht="35.05" hidden="false" customHeight="false" outlineLevel="0" collapsed="false">
      <c r="A376" s="13" t="s">
        <v>1360</v>
      </c>
      <c r="B376" s="13" t="s">
        <v>1350</v>
      </c>
      <c r="C376" s="13" t="n">
        <v>5</v>
      </c>
      <c r="D376" s="13" t="s">
        <v>97</v>
      </c>
      <c r="E376" s="13" t="s">
        <v>185</v>
      </c>
      <c r="F376" s="13" t="s">
        <v>488</v>
      </c>
      <c r="G376" s="13" t="s">
        <v>186</v>
      </c>
      <c r="H376" s="13" t="s">
        <v>101</v>
      </c>
      <c r="I376" s="21" t="s">
        <v>1361</v>
      </c>
      <c r="J376" s="21" t="s">
        <v>1362</v>
      </c>
      <c r="K376" s="21" t="s">
        <v>1363</v>
      </c>
      <c r="L376" s="22" t="s">
        <v>36</v>
      </c>
      <c r="M376" s="21" t="s">
        <v>120</v>
      </c>
      <c r="N376" s="13" t="s">
        <v>106</v>
      </c>
      <c r="O376" s="23" t="n">
        <v>11.36</v>
      </c>
      <c r="P376" s="13" t="n">
        <v>1</v>
      </c>
      <c r="Q376" s="24" t="n">
        <v>46310.6167939815</v>
      </c>
      <c r="R376" s="22" t="s">
        <v>36</v>
      </c>
      <c r="S376" s="13" t="s">
        <v>107</v>
      </c>
      <c r="T376" s="13" t="str">
        <f aca="false">IF(S376="Oui",IF(R376=L376,"Identique","Changé"),"")</f>
        <v>Identique</v>
      </c>
    </row>
    <row r="377" customFormat="false" ht="35.05" hidden="false" customHeight="false" outlineLevel="0" collapsed="false">
      <c r="A377" s="13" t="s">
        <v>1364</v>
      </c>
      <c r="B377" s="13" t="s">
        <v>1365</v>
      </c>
      <c r="C377" s="13" t="n">
        <v>1</v>
      </c>
      <c r="D377" s="13" t="s">
        <v>135</v>
      </c>
      <c r="E377" s="13" t="s">
        <v>128</v>
      </c>
      <c r="F377" s="13" t="s">
        <v>1366</v>
      </c>
      <c r="G377" s="13" t="s">
        <v>193</v>
      </c>
      <c r="H377" s="13" t="s">
        <v>101</v>
      </c>
      <c r="I377" s="21" t="s">
        <v>1367</v>
      </c>
      <c r="J377" s="21" t="s">
        <v>195</v>
      </c>
      <c r="K377" s="21" t="s">
        <v>1368</v>
      </c>
      <c r="L377" s="22" t="s">
        <v>36</v>
      </c>
      <c r="M377" s="21" t="s">
        <v>120</v>
      </c>
      <c r="N377" s="13" t="s">
        <v>106</v>
      </c>
      <c r="O377" s="23" t="n">
        <v>51.07</v>
      </c>
      <c r="P377" s="13" t="n">
        <v>1</v>
      </c>
      <c r="Q377" s="24" t="n">
        <v>46310.6175462963</v>
      </c>
      <c r="R377" s="22" t="s">
        <v>36</v>
      </c>
      <c r="S377" s="13" t="s">
        <v>107</v>
      </c>
      <c r="T377" s="13" t="str">
        <f aca="false">IF(S377="Oui",IF(R377=L377,"Identique","Changé"),"")</f>
        <v>Identique</v>
      </c>
    </row>
    <row r="378" customFormat="false" ht="46.25" hidden="false" customHeight="false" outlineLevel="0" collapsed="false">
      <c r="A378" s="13" t="s">
        <v>1369</v>
      </c>
      <c r="B378" s="13" t="s">
        <v>1365</v>
      </c>
      <c r="C378" s="13" t="n">
        <v>2</v>
      </c>
      <c r="D378" s="13" t="s">
        <v>135</v>
      </c>
      <c r="E378" s="13" t="s">
        <v>128</v>
      </c>
      <c r="F378" s="13" t="s">
        <v>1366</v>
      </c>
      <c r="G378" s="13" t="s">
        <v>129</v>
      </c>
      <c r="H378" s="13" t="s">
        <v>101</v>
      </c>
      <c r="I378" s="21" t="s">
        <v>434</v>
      </c>
      <c r="J378" s="21" t="s">
        <v>199</v>
      </c>
      <c r="K378" s="21" t="s">
        <v>1370</v>
      </c>
      <c r="L378" s="22" t="s">
        <v>36</v>
      </c>
      <c r="M378" s="21" t="s">
        <v>120</v>
      </c>
      <c r="N378" s="13" t="s">
        <v>106</v>
      </c>
      <c r="O378" s="23" t="n">
        <v>17.06</v>
      </c>
      <c r="P378" s="13" t="n">
        <v>1</v>
      </c>
      <c r="Q378" s="24" t="n">
        <v>46310.6178703704</v>
      </c>
      <c r="R378" s="22" t="s">
        <v>36</v>
      </c>
      <c r="S378" s="13" t="s">
        <v>107</v>
      </c>
      <c r="T378" s="13" t="str">
        <f aca="false">IF(S378="Oui",IF(R378=L378,"Identique","Changé"),"")</f>
        <v>Identique</v>
      </c>
    </row>
    <row r="379" customFormat="false" ht="35.05" hidden="false" customHeight="false" outlineLevel="0" collapsed="false">
      <c r="A379" s="13" t="s">
        <v>1371</v>
      </c>
      <c r="B379" s="13" t="s">
        <v>1365</v>
      </c>
      <c r="C379" s="13" t="n">
        <v>3</v>
      </c>
      <c r="D379" s="13" t="s">
        <v>135</v>
      </c>
      <c r="E379" s="13" t="s">
        <v>171</v>
      </c>
      <c r="F379" s="13" t="s">
        <v>1372</v>
      </c>
      <c r="G379" s="13" t="s">
        <v>908</v>
      </c>
      <c r="H379" s="13" t="s">
        <v>101</v>
      </c>
      <c r="I379" s="21" t="s">
        <v>1373</v>
      </c>
      <c r="J379" s="21" t="s">
        <v>1374</v>
      </c>
      <c r="K379" s="21" t="s">
        <v>1375</v>
      </c>
      <c r="L379" s="22" t="s">
        <v>36</v>
      </c>
      <c r="M379" s="21" t="s">
        <v>120</v>
      </c>
      <c r="N379" s="13" t="s">
        <v>106</v>
      </c>
      <c r="O379" s="23" t="n">
        <v>31.99</v>
      </c>
      <c r="P379" s="13" t="n">
        <v>1</v>
      </c>
      <c r="Q379" s="24" t="n">
        <v>46310.6183564815</v>
      </c>
      <c r="R379" s="22" t="s">
        <v>36</v>
      </c>
      <c r="S379" s="13" t="s">
        <v>107</v>
      </c>
      <c r="T379" s="13" t="str">
        <f aca="false">IF(S379="Oui",IF(R379=L379,"Identique","Changé"),"")</f>
        <v>Identique</v>
      </c>
    </row>
    <row r="380" customFormat="false" ht="35.05" hidden="false" customHeight="false" outlineLevel="0" collapsed="false">
      <c r="A380" s="13" t="s">
        <v>1376</v>
      </c>
      <c r="B380" s="13" t="s">
        <v>1365</v>
      </c>
      <c r="C380" s="13" t="n">
        <v>4</v>
      </c>
      <c r="D380" s="13" t="s">
        <v>135</v>
      </c>
      <c r="E380" s="13" t="s">
        <v>128</v>
      </c>
      <c r="F380" s="13" t="s">
        <v>1372</v>
      </c>
      <c r="G380" s="13" t="s">
        <v>204</v>
      </c>
      <c r="H380" s="13" t="s">
        <v>101</v>
      </c>
      <c r="I380" s="21" t="s">
        <v>442</v>
      </c>
      <c r="J380" s="21" t="s">
        <v>206</v>
      </c>
      <c r="K380" s="21" t="s">
        <v>1377</v>
      </c>
      <c r="L380" s="22" t="s">
        <v>36</v>
      </c>
      <c r="M380" s="21" t="s">
        <v>120</v>
      </c>
      <c r="N380" s="13" t="s">
        <v>106</v>
      </c>
      <c r="O380" s="23" t="n">
        <v>13.12</v>
      </c>
      <c r="P380" s="13" t="n">
        <v>1</v>
      </c>
      <c r="Q380" s="24" t="n">
        <v>46310.6186342593</v>
      </c>
      <c r="R380" s="22" t="s">
        <v>36</v>
      </c>
      <c r="S380" s="13" t="s">
        <v>107</v>
      </c>
      <c r="T380" s="13" t="str">
        <f aca="false">IF(S380="Oui",IF(R380=L380,"Identique","Changé"),"")</f>
        <v>Identique</v>
      </c>
    </row>
    <row r="381" customFormat="false" ht="57.45" hidden="false" customHeight="false" outlineLevel="0" collapsed="false">
      <c r="A381" s="13" t="s">
        <v>1378</v>
      </c>
      <c r="B381" s="13" t="s">
        <v>1365</v>
      </c>
      <c r="C381" s="13" t="n">
        <v>5</v>
      </c>
      <c r="D381" s="13" t="s">
        <v>135</v>
      </c>
      <c r="E381" s="13" t="s">
        <v>128</v>
      </c>
      <c r="F381" s="13" t="s">
        <v>1366</v>
      </c>
      <c r="G381" s="13" t="s">
        <v>209</v>
      </c>
      <c r="H381" s="13" t="s">
        <v>101</v>
      </c>
      <c r="I381" s="21" t="s">
        <v>1379</v>
      </c>
      <c r="J381" s="21" t="s">
        <v>447</v>
      </c>
      <c r="K381" s="21" t="s">
        <v>1380</v>
      </c>
      <c r="L381" s="22" t="s">
        <v>36</v>
      </c>
      <c r="M381" s="21" t="s">
        <v>120</v>
      </c>
      <c r="N381" s="13" t="s">
        <v>106</v>
      </c>
      <c r="O381" s="23" t="n">
        <v>11.42</v>
      </c>
      <c r="P381" s="13" t="n">
        <v>1</v>
      </c>
      <c r="Q381" s="24" t="n">
        <v>46310.6188888889</v>
      </c>
      <c r="R381" s="22" t="s">
        <v>36</v>
      </c>
      <c r="S381" s="13" t="s">
        <v>107</v>
      </c>
      <c r="T381" s="13" t="str">
        <f aca="false">IF(S381="Oui",IF(R381=L381,"Identique","Changé"),"")</f>
        <v>Identique</v>
      </c>
    </row>
    <row r="382" customFormat="false" ht="35.05" hidden="false" customHeight="false" outlineLevel="0" collapsed="false">
      <c r="A382" s="13" t="s">
        <v>1381</v>
      </c>
      <c r="B382" s="13" t="s">
        <v>1382</v>
      </c>
      <c r="C382" s="13" t="n">
        <v>1</v>
      </c>
      <c r="D382" s="13" t="s">
        <v>97</v>
      </c>
      <c r="E382" s="13" t="s">
        <v>98</v>
      </c>
      <c r="F382" s="13" t="s">
        <v>524</v>
      </c>
      <c r="G382" s="13" t="s">
        <v>100</v>
      </c>
      <c r="H382" s="13" t="s">
        <v>101</v>
      </c>
      <c r="I382" s="21" t="s">
        <v>1383</v>
      </c>
      <c r="J382" s="21" t="s">
        <v>595</v>
      </c>
      <c r="K382" s="21" t="s">
        <v>1384</v>
      </c>
      <c r="L382" s="22" t="s">
        <v>36</v>
      </c>
      <c r="M382" s="21" t="s">
        <v>105</v>
      </c>
      <c r="N382" s="13" t="s">
        <v>106</v>
      </c>
      <c r="O382" s="23" t="n">
        <v>36.65</v>
      </c>
      <c r="P382" s="13" t="n">
        <v>1</v>
      </c>
      <c r="Q382" s="24" t="n">
        <v>46310.6195023148</v>
      </c>
      <c r="R382" s="22" t="s">
        <v>36</v>
      </c>
      <c r="S382" s="13" t="s">
        <v>107</v>
      </c>
      <c r="T382" s="13" t="str">
        <f aca="false">IF(S382="Oui",IF(R382=L382,"Identique","Changé"),"")</f>
        <v>Identique</v>
      </c>
    </row>
    <row r="383" customFormat="false" ht="23.85" hidden="false" customHeight="false" outlineLevel="0" collapsed="false">
      <c r="A383" s="13" t="s">
        <v>1385</v>
      </c>
      <c r="B383" s="13" t="s">
        <v>1382</v>
      </c>
      <c r="C383" s="13" t="n">
        <v>2</v>
      </c>
      <c r="D383" s="13" t="s">
        <v>97</v>
      </c>
      <c r="E383" s="13" t="s">
        <v>171</v>
      </c>
      <c r="F383" s="13" t="s">
        <v>524</v>
      </c>
      <c r="G383" s="13" t="s">
        <v>908</v>
      </c>
      <c r="H383" s="13" t="s">
        <v>101</v>
      </c>
      <c r="I383" s="21" t="s">
        <v>909</v>
      </c>
      <c r="J383" s="21" t="s">
        <v>1386</v>
      </c>
      <c r="K383" s="21" t="s">
        <v>1387</v>
      </c>
      <c r="L383" s="22" t="s">
        <v>36</v>
      </c>
      <c r="M383" s="21" t="s">
        <v>120</v>
      </c>
      <c r="N383" s="13" t="s">
        <v>106</v>
      </c>
      <c r="O383" s="23" t="n">
        <v>12.93</v>
      </c>
      <c r="P383" s="13" t="n">
        <v>1</v>
      </c>
      <c r="Q383" s="24" t="n">
        <v>46310.6197800926</v>
      </c>
      <c r="R383" s="22" t="s">
        <v>36</v>
      </c>
      <c r="S383" s="13" t="s">
        <v>107</v>
      </c>
      <c r="T383" s="13" t="str">
        <f aca="false">IF(S383="Oui",IF(R383=L383,"Identique","Changé"),"")</f>
        <v>Identique</v>
      </c>
    </row>
    <row r="384" customFormat="false" ht="35.05" hidden="false" customHeight="false" outlineLevel="0" collapsed="false">
      <c r="A384" s="13" t="s">
        <v>1388</v>
      </c>
      <c r="B384" s="13" t="s">
        <v>1382</v>
      </c>
      <c r="C384" s="13" t="n">
        <v>3</v>
      </c>
      <c r="D384" s="13" t="s">
        <v>97</v>
      </c>
      <c r="E384" s="13" t="s">
        <v>98</v>
      </c>
      <c r="F384" s="13" t="s">
        <v>524</v>
      </c>
      <c r="G384" s="13" t="s">
        <v>151</v>
      </c>
      <c r="H384" s="13" t="s">
        <v>101</v>
      </c>
      <c r="I384" s="21" t="s">
        <v>635</v>
      </c>
      <c r="J384" s="21" t="s">
        <v>1389</v>
      </c>
      <c r="K384" s="21" t="s">
        <v>1390</v>
      </c>
      <c r="L384" s="22" t="s">
        <v>36</v>
      </c>
      <c r="M384" s="21" t="s">
        <v>105</v>
      </c>
      <c r="N384" s="13" t="s">
        <v>106</v>
      </c>
      <c r="O384" s="23" t="n">
        <v>13.28</v>
      </c>
      <c r="P384" s="13" t="n">
        <v>1</v>
      </c>
      <c r="Q384" s="24" t="n">
        <v>46310.6200462963</v>
      </c>
      <c r="R384" s="22" t="s">
        <v>36</v>
      </c>
      <c r="S384" s="13" t="s">
        <v>107</v>
      </c>
      <c r="T384" s="13" t="str">
        <f aca="false">IF(S384="Oui",IF(R384=L384,"Identique","Changé"),"")</f>
        <v>Identique</v>
      </c>
    </row>
    <row r="385" customFormat="false" ht="35.05" hidden="false" customHeight="false" outlineLevel="0" collapsed="false">
      <c r="A385" s="13" t="s">
        <v>1391</v>
      </c>
      <c r="B385" s="13" t="s">
        <v>1382</v>
      </c>
      <c r="C385" s="13" t="n">
        <v>4</v>
      </c>
      <c r="D385" s="13" t="s">
        <v>97</v>
      </c>
      <c r="E385" s="13" t="s">
        <v>185</v>
      </c>
      <c r="F385" s="13" t="s">
        <v>524</v>
      </c>
      <c r="G385" s="13" t="s">
        <v>380</v>
      </c>
      <c r="H385" s="13" t="s">
        <v>152</v>
      </c>
      <c r="I385" s="21" t="s">
        <v>1392</v>
      </c>
      <c r="J385" s="21" t="s">
        <v>154</v>
      </c>
      <c r="K385" s="21" t="s">
        <v>1393</v>
      </c>
      <c r="L385" s="22" t="s">
        <v>40</v>
      </c>
      <c r="M385" s="21" t="s">
        <v>156</v>
      </c>
      <c r="N385" s="13" t="s">
        <v>106</v>
      </c>
      <c r="O385" s="23" t="n">
        <v>11.55</v>
      </c>
      <c r="P385" s="13" t="n">
        <v>1</v>
      </c>
      <c r="Q385" s="24" t="n">
        <v>46310.6203009259</v>
      </c>
      <c r="R385" s="22" t="s">
        <v>40</v>
      </c>
      <c r="S385" s="13" t="s">
        <v>107</v>
      </c>
      <c r="T385" s="13" t="str">
        <f aca="false">IF(S385="Oui",IF(R385=L385,"Identique","Changé"),"")</f>
        <v>Identique</v>
      </c>
    </row>
    <row r="386" customFormat="false" ht="46.25" hidden="false" customHeight="false" outlineLevel="0" collapsed="false">
      <c r="A386" s="13" t="s">
        <v>1394</v>
      </c>
      <c r="B386" s="13" t="s">
        <v>1382</v>
      </c>
      <c r="C386" s="13" t="n">
        <v>5</v>
      </c>
      <c r="D386" s="13" t="s">
        <v>97</v>
      </c>
      <c r="E386" s="13" t="s">
        <v>122</v>
      </c>
      <c r="F386" s="13" t="s">
        <v>524</v>
      </c>
      <c r="G386" s="13" t="s">
        <v>1395</v>
      </c>
      <c r="H386" s="13" t="s">
        <v>101</v>
      </c>
      <c r="I386" s="21" t="s">
        <v>1396</v>
      </c>
      <c r="J386" s="21" t="s">
        <v>512</v>
      </c>
      <c r="K386" s="21" t="s">
        <v>1397</v>
      </c>
      <c r="L386" s="22" t="s">
        <v>36</v>
      </c>
      <c r="M386" s="21" t="s">
        <v>1398</v>
      </c>
      <c r="N386" s="13" t="s">
        <v>1085</v>
      </c>
      <c r="O386" s="23" t="n">
        <v>10.84</v>
      </c>
      <c r="P386" s="13" t="n">
        <v>1</v>
      </c>
      <c r="Q386" s="24" t="n">
        <v>46310.6205555556</v>
      </c>
      <c r="R386" s="22" t="s">
        <v>36</v>
      </c>
      <c r="S386" s="13" t="s">
        <v>107</v>
      </c>
      <c r="T386" s="13" t="str">
        <f aca="false">IF(S386="Oui",IF(R386=L386,"Identique","Changé"),"")</f>
        <v>Identique</v>
      </c>
    </row>
    <row r="387" customFormat="false" ht="46.25" hidden="false" customHeight="false" outlineLevel="0" collapsed="false">
      <c r="A387" s="13" t="s">
        <v>1399</v>
      </c>
      <c r="B387" s="13" t="s">
        <v>1400</v>
      </c>
      <c r="C387" s="13" t="n">
        <v>1</v>
      </c>
      <c r="D387" s="13" t="s">
        <v>135</v>
      </c>
      <c r="E387" s="13" t="s">
        <v>171</v>
      </c>
      <c r="F387" s="13" t="s">
        <v>1401</v>
      </c>
      <c r="G387" s="13" t="s">
        <v>464</v>
      </c>
      <c r="H387" s="13" t="s">
        <v>101</v>
      </c>
      <c r="I387" s="21" t="s">
        <v>1402</v>
      </c>
      <c r="J387" s="21" t="s">
        <v>1403</v>
      </c>
      <c r="K387" s="21" t="s">
        <v>1404</v>
      </c>
      <c r="L387" s="22" t="s">
        <v>36</v>
      </c>
      <c r="M387" s="21" t="s">
        <v>120</v>
      </c>
      <c r="N387" s="13" t="s">
        <v>106</v>
      </c>
      <c r="O387" s="23" t="n">
        <v>54.68</v>
      </c>
      <c r="P387" s="13" t="n">
        <v>1</v>
      </c>
      <c r="Q387" s="24" t="n">
        <v>46310.6213773148</v>
      </c>
      <c r="R387" s="22" t="s">
        <v>36</v>
      </c>
      <c r="S387" s="13" t="s">
        <v>107</v>
      </c>
      <c r="T387" s="13" t="str">
        <f aca="false">IF(S387="Oui",IF(R387=L387,"Identique","Changé"),"")</f>
        <v>Identique</v>
      </c>
    </row>
    <row r="388" customFormat="false" ht="35.05" hidden="false" customHeight="false" outlineLevel="0" collapsed="false">
      <c r="A388" s="13" t="s">
        <v>1405</v>
      </c>
      <c r="B388" s="13" t="s">
        <v>1400</v>
      </c>
      <c r="C388" s="13" t="n">
        <v>2</v>
      </c>
      <c r="D388" s="13" t="s">
        <v>135</v>
      </c>
      <c r="E388" s="13" t="s">
        <v>114</v>
      </c>
      <c r="F388" s="13" t="s">
        <v>1401</v>
      </c>
      <c r="G388" s="13" t="s">
        <v>116</v>
      </c>
      <c r="H388" s="13" t="s">
        <v>101</v>
      </c>
      <c r="I388" s="21" t="s">
        <v>475</v>
      </c>
      <c r="J388" s="21" t="s">
        <v>118</v>
      </c>
      <c r="K388" s="21" t="s">
        <v>1406</v>
      </c>
      <c r="L388" s="22" t="s">
        <v>36</v>
      </c>
      <c r="M388" s="21" t="s">
        <v>120</v>
      </c>
      <c r="N388" s="13" t="s">
        <v>106</v>
      </c>
      <c r="O388" s="23" t="n">
        <v>12.01</v>
      </c>
      <c r="P388" s="13" t="n">
        <v>1</v>
      </c>
      <c r="Q388" s="24" t="n">
        <v>46310.6216319444</v>
      </c>
      <c r="R388" s="22" t="s">
        <v>36</v>
      </c>
      <c r="S388" s="13" t="s">
        <v>107</v>
      </c>
      <c r="T388" s="13" t="str">
        <f aca="false">IF(S388="Oui",IF(R388=L388,"Identique","Changé"),"")</f>
        <v>Identique</v>
      </c>
    </row>
    <row r="389" customFormat="false" ht="35.05" hidden="false" customHeight="false" outlineLevel="0" collapsed="false">
      <c r="A389" s="13" t="s">
        <v>1407</v>
      </c>
      <c r="B389" s="13" t="s">
        <v>1400</v>
      </c>
      <c r="C389" s="13" t="n">
        <v>3</v>
      </c>
      <c r="D389" s="13" t="s">
        <v>135</v>
      </c>
      <c r="E389" s="13" t="s">
        <v>128</v>
      </c>
      <c r="F389" s="13" t="s">
        <v>1401</v>
      </c>
      <c r="G389" s="13" t="s">
        <v>129</v>
      </c>
      <c r="H389" s="13" t="s">
        <v>101</v>
      </c>
      <c r="I389" s="21" t="s">
        <v>478</v>
      </c>
      <c r="J389" s="21" t="s">
        <v>199</v>
      </c>
      <c r="K389" s="21" t="s">
        <v>1408</v>
      </c>
      <c r="L389" s="22" t="s">
        <v>36</v>
      </c>
      <c r="M389" s="21" t="s">
        <v>120</v>
      </c>
      <c r="N389" s="13" t="s">
        <v>106</v>
      </c>
      <c r="O389" s="23" t="n">
        <v>15.31</v>
      </c>
      <c r="P389" s="13" t="n">
        <v>1</v>
      </c>
      <c r="Q389" s="24" t="n">
        <v>46310.6219212963</v>
      </c>
      <c r="R389" s="22" t="s">
        <v>36</v>
      </c>
      <c r="S389" s="13" t="s">
        <v>107</v>
      </c>
      <c r="T389" s="13" t="str">
        <f aca="false">IF(S389="Oui",IF(R389=L389,"Identique","Changé"),"")</f>
        <v>Identique</v>
      </c>
    </row>
    <row r="390" customFormat="false" ht="35.05" hidden="false" customHeight="false" outlineLevel="0" collapsed="false">
      <c r="A390" s="13" t="s">
        <v>1409</v>
      </c>
      <c r="B390" s="13" t="s">
        <v>1400</v>
      </c>
      <c r="C390" s="13" t="n">
        <v>4</v>
      </c>
      <c r="D390" s="13" t="s">
        <v>135</v>
      </c>
      <c r="E390" s="13" t="s">
        <v>570</v>
      </c>
      <c r="F390" s="13" t="s">
        <v>1401</v>
      </c>
      <c r="G390" s="13" t="s">
        <v>639</v>
      </c>
      <c r="H390" s="13" t="s">
        <v>152</v>
      </c>
      <c r="I390" s="21" t="s">
        <v>1261</v>
      </c>
      <c r="J390" s="21" t="s">
        <v>154</v>
      </c>
      <c r="K390" s="21" t="s">
        <v>1410</v>
      </c>
      <c r="L390" s="22" t="s">
        <v>40</v>
      </c>
      <c r="M390" s="21" t="s">
        <v>156</v>
      </c>
      <c r="N390" s="13" t="s">
        <v>106</v>
      </c>
      <c r="O390" s="23" t="n">
        <v>11.31</v>
      </c>
      <c r="P390" s="13" t="n">
        <v>1</v>
      </c>
      <c r="Q390" s="24" t="n">
        <v>46310.6221759259</v>
      </c>
      <c r="R390" s="22" t="s">
        <v>40</v>
      </c>
      <c r="S390" s="13" t="s">
        <v>107</v>
      </c>
      <c r="T390" s="13" t="str">
        <f aca="false">IF(S390="Oui",IF(R390=L390,"Identique","Changé"),"")</f>
        <v>Identique</v>
      </c>
    </row>
    <row r="391" customFormat="false" ht="23.85" hidden="false" customHeight="false" outlineLevel="0" collapsed="false">
      <c r="A391" s="13" t="s">
        <v>1411</v>
      </c>
      <c r="B391" s="13" t="s">
        <v>1400</v>
      </c>
      <c r="C391" s="13" t="n">
        <v>5</v>
      </c>
      <c r="D391" s="13" t="s">
        <v>135</v>
      </c>
      <c r="E391" s="13" t="s">
        <v>122</v>
      </c>
      <c r="F391" s="13" t="s">
        <v>1401</v>
      </c>
      <c r="G391" s="13" t="s">
        <v>123</v>
      </c>
      <c r="H391" s="13" t="s">
        <v>101</v>
      </c>
      <c r="I391" s="21" t="s">
        <v>1412</v>
      </c>
      <c r="J391" s="21" t="s">
        <v>277</v>
      </c>
      <c r="K391" s="21" t="s">
        <v>1413</v>
      </c>
      <c r="L391" s="22" t="s">
        <v>36</v>
      </c>
      <c r="M391" s="21" t="s">
        <v>120</v>
      </c>
      <c r="N391" s="13" t="s">
        <v>106</v>
      </c>
      <c r="O391" s="23" t="n">
        <v>8.98</v>
      </c>
      <c r="P391" s="13" t="n">
        <v>1</v>
      </c>
      <c r="Q391" s="24" t="n">
        <v>46310.6223958333</v>
      </c>
      <c r="R391" s="22" t="s">
        <v>36</v>
      </c>
      <c r="S391" s="13" t="s">
        <v>107</v>
      </c>
      <c r="T391" s="13" t="str">
        <f aca="false">IF(S391="Oui",IF(R391=L391,"Identique","Changé"),"")</f>
        <v>Identique</v>
      </c>
    </row>
    <row r="392" customFormat="false" ht="35.05" hidden="false" customHeight="false" outlineLevel="0" collapsed="false">
      <c r="A392" s="13" t="s">
        <v>1414</v>
      </c>
      <c r="B392" s="13" t="s">
        <v>1415</v>
      </c>
      <c r="C392" s="13" t="n">
        <v>1</v>
      </c>
      <c r="D392" s="13" t="s">
        <v>97</v>
      </c>
      <c r="E392" s="13" t="s">
        <v>171</v>
      </c>
      <c r="F392" s="13" t="s">
        <v>1416</v>
      </c>
      <c r="G392" s="13" t="s">
        <v>908</v>
      </c>
      <c r="H392" s="13" t="s">
        <v>101</v>
      </c>
      <c r="I392" s="21" t="s">
        <v>1417</v>
      </c>
      <c r="J392" s="21" t="s">
        <v>1386</v>
      </c>
      <c r="K392" s="21" t="s">
        <v>1418</v>
      </c>
      <c r="L392" s="22" t="s">
        <v>36</v>
      </c>
      <c r="M392" s="21" t="s">
        <v>120</v>
      </c>
      <c r="N392" s="13" t="s">
        <v>106</v>
      </c>
      <c r="O392" s="23" t="n">
        <v>38.9</v>
      </c>
      <c r="P392" s="13" t="n">
        <v>1</v>
      </c>
      <c r="Q392" s="24" t="n">
        <v>46310.6230555556</v>
      </c>
      <c r="R392" s="22" t="s">
        <v>36</v>
      </c>
      <c r="S392" s="13" t="s">
        <v>107</v>
      </c>
      <c r="T392" s="13" t="str">
        <f aca="false">IF(S392="Oui",IF(R392=L392,"Identique","Changé"),"")</f>
        <v>Identique</v>
      </c>
    </row>
    <row r="393" customFormat="false" ht="35.05" hidden="false" customHeight="false" outlineLevel="0" collapsed="false">
      <c r="A393" s="13" t="s">
        <v>1419</v>
      </c>
      <c r="B393" s="13" t="s">
        <v>1415</v>
      </c>
      <c r="C393" s="13" t="n">
        <v>2</v>
      </c>
      <c r="D393" s="13" t="s">
        <v>97</v>
      </c>
      <c r="E393" s="13" t="s">
        <v>260</v>
      </c>
      <c r="F393" s="13" t="s">
        <v>1416</v>
      </c>
      <c r="G393" s="13" t="s">
        <v>261</v>
      </c>
      <c r="H393" s="13" t="s">
        <v>101</v>
      </c>
      <c r="I393" s="21" t="s">
        <v>493</v>
      </c>
      <c r="J393" s="21" t="s">
        <v>263</v>
      </c>
      <c r="K393" s="21" t="s">
        <v>1420</v>
      </c>
      <c r="L393" s="22" t="s">
        <v>36</v>
      </c>
      <c r="M393" s="21" t="s">
        <v>120</v>
      </c>
      <c r="N393" s="13" t="s">
        <v>106</v>
      </c>
      <c r="O393" s="23" t="n">
        <v>15.29</v>
      </c>
      <c r="P393" s="13" t="n">
        <v>1</v>
      </c>
      <c r="Q393" s="24" t="n">
        <v>46310.6233449074</v>
      </c>
      <c r="R393" s="22" t="s">
        <v>36</v>
      </c>
      <c r="S393" s="13" t="s">
        <v>107</v>
      </c>
      <c r="T393" s="13" t="str">
        <f aca="false">IF(S393="Oui",IF(R393=L393,"Identique","Changé"),"")</f>
        <v>Identique</v>
      </c>
    </row>
    <row r="394" customFormat="false" ht="46.25" hidden="false" customHeight="false" outlineLevel="0" collapsed="false">
      <c r="A394" s="13" t="s">
        <v>1421</v>
      </c>
      <c r="B394" s="13" t="s">
        <v>1415</v>
      </c>
      <c r="C394" s="13" t="n">
        <v>3</v>
      </c>
      <c r="D394" s="13" t="s">
        <v>97</v>
      </c>
      <c r="E394" s="13" t="s">
        <v>122</v>
      </c>
      <c r="F394" s="13" t="s">
        <v>1416</v>
      </c>
      <c r="G394" s="13" t="s">
        <v>1395</v>
      </c>
      <c r="H394" s="13" t="s">
        <v>101</v>
      </c>
      <c r="I394" s="21" t="s">
        <v>1396</v>
      </c>
      <c r="J394" s="21" t="s">
        <v>512</v>
      </c>
      <c r="K394" s="21" t="s">
        <v>1422</v>
      </c>
      <c r="L394" s="22" t="s">
        <v>36</v>
      </c>
      <c r="M394" s="21" t="s">
        <v>1398</v>
      </c>
      <c r="N394" s="13" t="s">
        <v>1085</v>
      </c>
      <c r="O394" s="23" t="n">
        <v>11.03</v>
      </c>
      <c r="P394" s="13" t="n">
        <v>1</v>
      </c>
      <c r="Q394" s="24" t="n">
        <v>46310.623599537</v>
      </c>
      <c r="R394" s="22" t="s">
        <v>36</v>
      </c>
      <c r="S394" s="13" t="s">
        <v>107</v>
      </c>
      <c r="T394" s="13" t="str">
        <f aca="false">IF(S394="Oui",IF(R394=L394,"Identique","Changé"),"")</f>
        <v>Identique</v>
      </c>
    </row>
    <row r="395" customFormat="false" ht="46.25" hidden="false" customHeight="false" outlineLevel="0" collapsed="false">
      <c r="A395" s="13" t="s">
        <v>1423</v>
      </c>
      <c r="B395" s="13" t="s">
        <v>1415</v>
      </c>
      <c r="C395" s="13" t="n">
        <v>4</v>
      </c>
      <c r="D395" s="13" t="s">
        <v>97</v>
      </c>
      <c r="E395" s="13" t="s">
        <v>114</v>
      </c>
      <c r="F395" s="13" t="s">
        <v>1416</v>
      </c>
      <c r="G395" s="13" t="s">
        <v>141</v>
      </c>
      <c r="H395" s="13" t="s">
        <v>101</v>
      </c>
      <c r="I395" s="21" t="s">
        <v>499</v>
      </c>
      <c r="J395" s="21" t="s">
        <v>143</v>
      </c>
      <c r="K395" s="21" t="s">
        <v>1424</v>
      </c>
      <c r="L395" s="22" t="s">
        <v>36</v>
      </c>
      <c r="M395" s="21" t="s">
        <v>120</v>
      </c>
      <c r="N395" s="13" t="s">
        <v>106</v>
      </c>
      <c r="O395" s="23" t="n">
        <v>11.59</v>
      </c>
      <c r="P395" s="13" t="n">
        <v>1</v>
      </c>
      <c r="Q395" s="24" t="n">
        <v>46310.6238541667</v>
      </c>
      <c r="R395" s="22" t="s">
        <v>36</v>
      </c>
      <c r="S395" s="13" t="s">
        <v>107</v>
      </c>
      <c r="T395" s="13" t="str">
        <f aca="false">IF(S395="Oui",IF(R395=L395,"Identique","Changé"),"")</f>
        <v>Identique</v>
      </c>
    </row>
    <row r="396" customFormat="false" ht="46.25" hidden="false" customHeight="false" outlineLevel="0" collapsed="false">
      <c r="A396" s="13" t="s">
        <v>1425</v>
      </c>
      <c r="B396" s="13" t="s">
        <v>1415</v>
      </c>
      <c r="C396" s="13" t="n">
        <v>5</v>
      </c>
      <c r="D396" s="13" t="s">
        <v>97</v>
      </c>
      <c r="E396" s="13" t="s">
        <v>122</v>
      </c>
      <c r="F396" s="13" t="s">
        <v>1416</v>
      </c>
      <c r="G396" s="13" t="s">
        <v>123</v>
      </c>
      <c r="H396" s="13" t="s">
        <v>101</v>
      </c>
      <c r="I396" s="21" t="s">
        <v>358</v>
      </c>
      <c r="J396" s="21" t="s">
        <v>125</v>
      </c>
      <c r="K396" s="21" t="s">
        <v>1426</v>
      </c>
      <c r="L396" s="22" t="s">
        <v>36</v>
      </c>
      <c r="M396" s="21" t="s">
        <v>120</v>
      </c>
      <c r="N396" s="13" t="s">
        <v>106</v>
      </c>
      <c r="O396" s="23" t="n">
        <v>11</v>
      </c>
      <c r="P396" s="13" t="n">
        <v>1</v>
      </c>
      <c r="Q396" s="24" t="n">
        <v>46310.6241087963</v>
      </c>
      <c r="R396" s="22" t="s">
        <v>36</v>
      </c>
      <c r="S396" s="13" t="s">
        <v>107</v>
      </c>
      <c r="T396" s="13" t="str">
        <f aca="false">IF(S396="Oui",IF(R396=L396,"Identique","Changé"),"")</f>
        <v>Identique</v>
      </c>
    </row>
    <row r="397" customFormat="false" ht="79.85" hidden="false" customHeight="false" outlineLevel="0" collapsed="false">
      <c r="A397" s="13" t="s">
        <v>1427</v>
      </c>
      <c r="B397" s="13" t="s">
        <v>1428</v>
      </c>
      <c r="C397" s="13" t="n">
        <v>1</v>
      </c>
      <c r="D397" s="13" t="s">
        <v>135</v>
      </c>
      <c r="E397" s="13" t="s">
        <v>122</v>
      </c>
      <c r="F397" s="13" t="s">
        <v>1429</v>
      </c>
      <c r="G397" s="13" t="s">
        <v>123</v>
      </c>
      <c r="H397" s="13" t="s">
        <v>101</v>
      </c>
      <c r="I397" s="21" t="s">
        <v>1430</v>
      </c>
      <c r="J397" s="21" t="s">
        <v>125</v>
      </c>
      <c r="K397" s="21" t="s">
        <v>1431</v>
      </c>
      <c r="L397" s="22" t="s">
        <v>37</v>
      </c>
      <c r="M397" s="21" t="s">
        <v>163</v>
      </c>
      <c r="N397" s="13" t="s">
        <v>106</v>
      </c>
      <c r="O397" s="23" t="n">
        <v>24.17</v>
      </c>
      <c r="P397" s="13" t="n">
        <v>1</v>
      </c>
      <c r="Q397" s="24" t="n">
        <v>46310.6245717593</v>
      </c>
      <c r="R397" s="22" t="s">
        <v>36</v>
      </c>
      <c r="S397" s="13" t="s">
        <v>107</v>
      </c>
      <c r="T397" s="13" t="str">
        <f aca="false">IF(S397="Oui",IF(R397=L397,"Identique","Changé"),"")</f>
        <v>Changé</v>
      </c>
    </row>
    <row r="398" customFormat="false" ht="57.45" hidden="false" customHeight="false" outlineLevel="0" collapsed="false">
      <c r="A398" s="13" t="s">
        <v>1432</v>
      </c>
      <c r="B398" s="13" t="s">
        <v>1428</v>
      </c>
      <c r="C398" s="13" t="n">
        <v>2</v>
      </c>
      <c r="D398" s="13" t="s">
        <v>135</v>
      </c>
      <c r="E398" s="13" t="s">
        <v>122</v>
      </c>
      <c r="F398" s="13" t="s">
        <v>1429</v>
      </c>
      <c r="G398" s="13" t="s">
        <v>1395</v>
      </c>
      <c r="H398" s="13" t="s">
        <v>101</v>
      </c>
      <c r="I398" s="21" t="s">
        <v>1396</v>
      </c>
      <c r="J398" s="21" t="s">
        <v>512</v>
      </c>
      <c r="K398" s="21" t="s">
        <v>1433</v>
      </c>
      <c r="L398" s="22" t="s">
        <v>37</v>
      </c>
      <c r="M398" s="21" t="s">
        <v>163</v>
      </c>
      <c r="N398" s="13" t="s">
        <v>106</v>
      </c>
      <c r="O398" s="23" t="n">
        <v>13.72</v>
      </c>
      <c r="P398" s="13" t="n">
        <v>1</v>
      </c>
      <c r="Q398" s="24" t="n">
        <v>46310.624849537</v>
      </c>
      <c r="R398" s="22" t="s">
        <v>36</v>
      </c>
      <c r="S398" s="13" t="s">
        <v>107</v>
      </c>
      <c r="T398" s="13" t="str">
        <f aca="false">IF(S398="Oui",IF(R398=L398,"Identique","Changé"),"")</f>
        <v>Changé</v>
      </c>
    </row>
    <row r="399" customFormat="false" ht="57.45" hidden="false" customHeight="false" outlineLevel="0" collapsed="false">
      <c r="A399" s="13" t="s">
        <v>1434</v>
      </c>
      <c r="B399" s="13" t="s">
        <v>1428</v>
      </c>
      <c r="C399" s="13" t="n">
        <v>3</v>
      </c>
      <c r="D399" s="13" t="s">
        <v>135</v>
      </c>
      <c r="E399" s="13" t="s">
        <v>122</v>
      </c>
      <c r="F399" s="13" t="s">
        <v>1429</v>
      </c>
      <c r="G399" s="13" t="s">
        <v>282</v>
      </c>
      <c r="H399" s="13" t="s">
        <v>101</v>
      </c>
      <c r="I399" s="21" t="s">
        <v>511</v>
      </c>
      <c r="J399" s="21" t="s">
        <v>512</v>
      </c>
      <c r="K399" s="21" t="s">
        <v>1435</v>
      </c>
      <c r="L399" s="22" t="s">
        <v>37</v>
      </c>
      <c r="M399" s="21" t="s">
        <v>163</v>
      </c>
      <c r="N399" s="13" t="s">
        <v>106</v>
      </c>
      <c r="O399" s="23" t="n">
        <v>9.74</v>
      </c>
      <c r="P399" s="13" t="n">
        <v>1</v>
      </c>
      <c r="Q399" s="24" t="n">
        <v>46310.6250810185</v>
      </c>
      <c r="R399" s="22" t="s">
        <v>37</v>
      </c>
      <c r="S399" s="13" t="s">
        <v>107</v>
      </c>
      <c r="T399" s="13" t="str">
        <f aca="false">IF(S399="Oui",IF(R399=L399,"Identique","Changé"),"")</f>
        <v>Identique</v>
      </c>
    </row>
    <row r="400" customFormat="false" ht="79.85" hidden="false" customHeight="false" outlineLevel="0" collapsed="false">
      <c r="A400" s="13" t="s">
        <v>1436</v>
      </c>
      <c r="B400" s="13" t="s">
        <v>1428</v>
      </c>
      <c r="C400" s="13" t="n">
        <v>4</v>
      </c>
      <c r="D400" s="13" t="s">
        <v>135</v>
      </c>
      <c r="E400" s="13" t="s">
        <v>171</v>
      </c>
      <c r="F400" s="13" t="s">
        <v>1429</v>
      </c>
      <c r="G400" s="13" t="s">
        <v>222</v>
      </c>
      <c r="H400" s="13" t="s">
        <v>101</v>
      </c>
      <c r="I400" s="21" t="s">
        <v>515</v>
      </c>
      <c r="J400" s="21" t="s">
        <v>561</v>
      </c>
      <c r="K400" s="21" t="s">
        <v>1437</v>
      </c>
      <c r="L400" s="22" t="s">
        <v>37</v>
      </c>
      <c r="M400" s="21" t="s">
        <v>163</v>
      </c>
      <c r="N400" s="13" t="s">
        <v>106</v>
      </c>
      <c r="O400" s="23" t="n">
        <v>12.87</v>
      </c>
      <c r="P400" s="13" t="n">
        <v>1</v>
      </c>
      <c r="Q400" s="24" t="n">
        <v>46310.6253472222</v>
      </c>
      <c r="R400" s="22" t="s">
        <v>36</v>
      </c>
      <c r="S400" s="13" t="s">
        <v>107</v>
      </c>
      <c r="T400" s="13" t="str">
        <f aca="false">IF(S400="Oui",IF(R400=L400,"Identique","Changé"),"")</f>
        <v>Changé</v>
      </c>
    </row>
    <row r="401" customFormat="false" ht="68.65" hidden="false" customHeight="false" outlineLevel="0" collapsed="false">
      <c r="A401" s="13" t="s">
        <v>1438</v>
      </c>
      <c r="B401" s="13" t="s">
        <v>1428</v>
      </c>
      <c r="C401" s="13" t="n">
        <v>5</v>
      </c>
      <c r="D401" s="13" t="s">
        <v>135</v>
      </c>
      <c r="E401" s="13" t="s">
        <v>98</v>
      </c>
      <c r="F401" s="13" t="s">
        <v>1429</v>
      </c>
      <c r="G401" s="13" t="s">
        <v>109</v>
      </c>
      <c r="H401" s="13" t="s">
        <v>101</v>
      </c>
      <c r="I401" s="21" t="s">
        <v>1031</v>
      </c>
      <c r="J401" s="21" t="s">
        <v>1439</v>
      </c>
      <c r="K401" s="21" t="s">
        <v>1440</v>
      </c>
      <c r="L401" s="22" t="s">
        <v>37</v>
      </c>
      <c r="M401" s="21" t="s">
        <v>163</v>
      </c>
      <c r="N401" s="13" t="s">
        <v>106</v>
      </c>
      <c r="O401" s="23" t="n">
        <v>13.56</v>
      </c>
      <c r="P401" s="13" t="n">
        <v>1</v>
      </c>
      <c r="Q401" s="24" t="n">
        <v>46310.625625</v>
      </c>
      <c r="R401" s="22" t="s">
        <v>36</v>
      </c>
      <c r="S401" s="13" t="s">
        <v>107</v>
      </c>
      <c r="T401" s="13" t="str">
        <f aca="false">IF(S401="Oui",IF(R401=L401,"Identique","Changé"),"")</f>
        <v>Changé</v>
      </c>
    </row>
    <row r="402" customFormat="false" ht="57.45" hidden="false" customHeight="false" outlineLevel="0" collapsed="false">
      <c r="A402" s="13" t="s">
        <v>1441</v>
      </c>
      <c r="B402" s="13" t="s">
        <v>1442</v>
      </c>
      <c r="C402" s="13" t="n">
        <v>1</v>
      </c>
      <c r="D402" s="13" t="s">
        <v>97</v>
      </c>
      <c r="E402" s="13" t="s">
        <v>122</v>
      </c>
      <c r="F402" s="13" t="s">
        <v>1151</v>
      </c>
      <c r="G402" s="13" t="s">
        <v>1395</v>
      </c>
      <c r="H402" s="13" t="s">
        <v>101</v>
      </c>
      <c r="I402" s="21" t="s">
        <v>1443</v>
      </c>
      <c r="J402" s="21" t="s">
        <v>512</v>
      </c>
      <c r="K402" s="21" t="s">
        <v>1444</v>
      </c>
      <c r="L402" s="22" t="s">
        <v>36</v>
      </c>
      <c r="M402" s="21" t="s">
        <v>1398</v>
      </c>
      <c r="N402" s="13" t="s">
        <v>1085</v>
      </c>
      <c r="O402" s="23" t="n">
        <v>51.44</v>
      </c>
      <c r="P402" s="13" t="n">
        <v>1</v>
      </c>
      <c r="Q402" s="24" t="n">
        <v>46310.6264583333</v>
      </c>
      <c r="R402" s="22" t="s">
        <v>36</v>
      </c>
      <c r="S402" s="13" t="s">
        <v>107</v>
      </c>
      <c r="T402" s="13" t="str">
        <f aca="false">IF(S402="Oui",IF(R402=L402,"Identique","Changé"),"")</f>
        <v>Identique</v>
      </c>
    </row>
    <row r="403" customFormat="false" ht="46.25" hidden="false" customHeight="false" outlineLevel="0" collapsed="false">
      <c r="A403" s="13" t="s">
        <v>1445</v>
      </c>
      <c r="B403" s="13" t="s">
        <v>1442</v>
      </c>
      <c r="C403" s="13" t="n">
        <v>2</v>
      </c>
      <c r="D403" s="13" t="s">
        <v>97</v>
      </c>
      <c r="E403" s="13" t="s">
        <v>98</v>
      </c>
      <c r="F403" s="13" t="s">
        <v>1151</v>
      </c>
      <c r="G403" s="13" t="s">
        <v>109</v>
      </c>
      <c r="H403" s="13" t="s">
        <v>101</v>
      </c>
      <c r="I403" s="21" t="s">
        <v>529</v>
      </c>
      <c r="J403" s="21" t="s">
        <v>452</v>
      </c>
      <c r="K403" s="21" t="s">
        <v>1446</v>
      </c>
      <c r="L403" s="22" t="s">
        <v>36</v>
      </c>
      <c r="M403" s="21" t="s">
        <v>105</v>
      </c>
      <c r="N403" s="13" t="s">
        <v>106</v>
      </c>
      <c r="O403" s="23" t="n">
        <v>6.5</v>
      </c>
      <c r="P403" s="13" t="n">
        <v>1</v>
      </c>
      <c r="Q403" s="24" t="n">
        <v>46310.6266550926</v>
      </c>
      <c r="R403" s="22" t="s">
        <v>36</v>
      </c>
      <c r="S403" s="13" t="s">
        <v>107</v>
      </c>
      <c r="T403" s="13" t="str">
        <f aca="false">IF(S403="Oui",IF(R403=L403,"Identique","Changé"),"")</f>
        <v>Identique</v>
      </c>
    </row>
    <row r="404" customFormat="false" ht="46.25" hidden="false" customHeight="false" outlineLevel="0" collapsed="false">
      <c r="A404" s="13" t="s">
        <v>1447</v>
      </c>
      <c r="B404" s="13" t="s">
        <v>1442</v>
      </c>
      <c r="C404" s="13" t="n">
        <v>3</v>
      </c>
      <c r="D404" s="13" t="s">
        <v>97</v>
      </c>
      <c r="E404" s="13" t="s">
        <v>98</v>
      </c>
      <c r="F404" s="13" t="s">
        <v>1448</v>
      </c>
      <c r="G404" s="13" t="s">
        <v>151</v>
      </c>
      <c r="H404" s="13" t="s">
        <v>101</v>
      </c>
      <c r="I404" s="21" t="s">
        <v>1449</v>
      </c>
      <c r="J404" s="21" t="s">
        <v>217</v>
      </c>
      <c r="K404" s="21" t="s">
        <v>1450</v>
      </c>
      <c r="L404" s="22" t="s">
        <v>36</v>
      </c>
      <c r="M404" s="21" t="s">
        <v>105</v>
      </c>
      <c r="N404" s="13" t="s">
        <v>106</v>
      </c>
      <c r="O404" s="23" t="n">
        <v>31.29</v>
      </c>
      <c r="P404" s="13" t="n">
        <v>1</v>
      </c>
      <c r="Q404" s="24" t="n">
        <v>46310.6271296296</v>
      </c>
      <c r="R404" s="22" t="s">
        <v>36</v>
      </c>
      <c r="S404" s="13" t="s">
        <v>107</v>
      </c>
      <c r="T404" s="13" t="str">
        <f aca="false">IF(S404="Oui",IF(R404=L404,"Identique","Changé"),"")</f>
        <v>Identique</v>
      </c>
    </row>
    <row r="405" customFormat="false" ht="46.25" hidden="false" customHeight="false" outlineLevel="0" collapsed="false">
      <c r="A405" s="13" t="s">
        <v>1451</v>
      </c>
      <c r="B405" s="13" t="s">
        <v>1442</v>
      </c>
      <c r="C405" s="13" t="n">
        <v>4</v>
      </c>
      <c r="D405" s="13" t="s">
        <v>97</v>
      </c>
      <c r="E405" s="13" t="s">
        <v>171</v>
      </c>
      <c r="F405" s="13" t="s">
        <v>1448</v>
      </c>
      <c r="G405" s="13" t="s">
        <v>222</v>
      </c>
      <c r="H405" s="13" t="s">
        <v>101</v>
      </c>
      <c r="I405" s="21" t="s">
        <v>1452</v>
      </c>
      <c r="J405" s="21" t="s">
        <v>224</v>
      </c>
      <c r="K405" s="21" t="s">
        <v>1453</v>
      </c>
      <c r="L405" s="22" t="s">
        <v>36</v>
      </c>
      <c r="M405" s="21" t="s">
        <v>120</v>
      </c>
      <c r="N405" s="13" t="s">
        <v>106</v>
      </c>
      <c r="O405" s="23" t="n">
        <v>8.09</v>
      </c>
      <c r="P405" s="13" t="n">
        <v>1</v>
      </c>
      <c r="Q405" s="24" t="n">
        <v>46310.6273611111</v>
      </c>
      <c r="R405" s="22" t="s">
        <v>36</v>
      </c>
      <c r="S405" s="13" t="s">
        <v>107</v>
      </c>
      <c r="T405" s="13" t="str">
        <f aca="false">IF(S405="Oui",IF(R405=L405,"Identique","Changé"),"")</f>
        <v>Identique</v>
      </c>
    </row>
    <row r="406" customFormat="false" ht="35.05" hidden="false" customHeight="false" outlineLevel="0" collapsed="false">
      <c r="A406" s="13" t="s">
        <v>1454</v>
      </c>
      <c r="B406" s="13" t="s">
        <v>1442</v>
      </c>
      <c r="C406" s="13" t="n">
        <v>5</v>
      </c>
      <c r="D406" s="13" t="s">
        <v>97</v>
      </c>
      <c r="E406" s="13" t="s">
        <v>158</v>
      </c>
      <c r="F406" s="13" t="s">
        <v>1151</v>
      </c>
      <c r="G406" s="13" t="s">
        <v>159</v>
      </c>
      <c r="H406" s="13" t="s">
        <v>101</v>
      </c>
      <c r="I406" s="21" t="s">
        <v>1455</v>
      </c>
      <c r="J406" s="21" t="s">
        <v>178</v>
      </c>
      <c r="K406" s="21" t="s">
        <v>1456</v>
      </c>
      <c r="L406" s="22" t="s">
        <v>36</v>
      </c>
      <c r="M406" s="21" t="s">
        <v>235</v>
      </c>
      <c r="N406" s="13" t="s">
        <v>106</v>
      </c>
      <c r="O406" s="23" t="n">
        <v>8.34</v>
      </c>
      <c r="P406" s="13" t="n">
        <v>1</v>
      </c>
      <c r="Q406" s="24" t="n">
        <v>46310.6275694444</v>
      </c>
      <c r="R406" s="22" t="s">
        <v>37</v>
      </c>
      <c r="S406" s="13" t="s">
        <v>107</v>
      </c>
      <c r="T406" s="13" t="str">
        <f aca="false">IF(S406="Oui",IF(R406=L406,"Identique","Changé"),"")</f>
        <v>Changé</v>
      </c>
    </row>
    <row r="407" customFormat="false" ht="23.85" hidden="false" customHeight="false" outlineLevel="0" collapsed="false">
      <c r="A407" s="13" t="s">
        <v>1457</v>
      </c>
      <c r="B407" s="13" t="s">
        <v>1458</v>
      </c>
      <c r="C407" s="13" t="n">
        <v>1</v>
      </c>
      <c r="D407" s="13" t="s">
        <v>135</v>
      </c>
      <c r="E407" s="13" t="s">
        <v>128</v>
      </c>
      <c r="F407" s="13" t="s">
        <v>1459</v>
      </c>
      <c r="G407" s="13" t="s">
        <v>193</v>
      </c>
      <c r="H407" s="13" t="s">
        <v>101</v>
      </c>
      <c r="I407" s="21" t="s">
        <v>1460</v>
      </c>
      <c r="J407" s="21" t="s">
        <v>195</v>
      </c>
      <c r="K407" s="21" t="s">
        <v>1461</v>
      </c>
      <c r="L407" s="22" t="s">
        <v>39</v>
      </c>
      <c r="M407" s="21" t="s">
        <v>565</v>
      </c>
      <c r="N407" s="13" t="s">
        <v>106</v>
      </c>
      <c r="O407" s="23" t="n">
        <v>16.85</v>
      </c>
      <c r="P407" s="13" t="n">
        <v>1</v>
      </c>
      <c r="Q407" s="24" t="n">
        <v>46310.6279282407</v>
      </c>
      <c r="R407" s="22" t="s">
        <v>36</v>
      </c>
      <c r="S407" s="13" t="s">
        <v>107</v>
      </c>
      <c r="T407" s="13" t="str">
        <f aca="false">IF(S407="Oui",IF(R407=L407,"Identique","Changé"),"")</f>
        <v>Changé</v>
      </c>
    </row>
    <row r="408" customFormat="false" ht="23.85" hidden="false" customHeight="false" outlineLevel="0" collapsed="false">
      <c r="A408" s="13" t="s">
        <v>1462</v>
      </c>
      <c r="B408" s="13" t="s">
        <v>1458</v>
      </c>
      <c r="C408" s="13" t="n">
        <v>2</v>
      </c>
      <c r="D408" s="13" t="s">
        <v>135</v>
      </c>
      <c r="E408" s="13" t="s">
        <v>128</v>
      </c>
      <c r="F408" s="13" t="s">
        <v>1459</v>
      </c>
      <c r="G408" s="13" t="s">
        <v>129</v>
      </c>
      <c r="H408" s="13" t="s">
        <v>101</v>
      </c>
      <c r="I408" s="21" t="s">
        <v>547</v>
      </c>
      <c r="J408" s="21" t="s">
        <v>199</v>
      </c>
      <c r="K408" s="21" t="s">
        <v>1463</v>
      </c>
      <c r="L408" s="22" t="s">
        <v>39</v>
      </c>
      <c r="M408" s="21" t="s">
        <v>565</v>
      </c>
      <c r="N408" s="13" t="s">
        <v>106</v>
      </c>
      <c r="O408" s="23" t="n">
        <v>5.82</v>
      </c>
      <c r="P408" s="13" t="n">
        <v>1</v>
      </c>
      <c r="Q408" s="24" t="n">
        <v>46310.6281134259</v>
      </c>
      <c r="R408" s="22" t="s">
        <v>36</v>
      </c>
      <c r="S408" s="13" t="s">
        <v>107</v>
      </c>
      <c r="T408" s="13" t="str">
        <f aca="false">IF(S408="Oui",IF(R408=L408,"Identique","Changé"),"")</f>
        <v>Changé</v>
      </c>
    </row>
    <row r="409" customFormat="false" ht="23.85" hidden="false" customHeight="false" outlineLevel="0" collapsed="false">
      <c r="A409" s="13" t="s">
        <v>1464</v>
      </c>
      <c r="B409" s="13" t="s">
        <v>1458</v>
      </c>
      <c r="C409" s="13" t="n">
        <v>3</v>
      </c>
      <c r="D409" s="13" t="s">
        <v>135</v>
      </c>
      <c r="E409" s="13" t="s">
        <v>98</v>
      </c>
      <c r="F409" s="13" t="s">
        <v>1459</v>
      </c>
      <c r="G409" s="13" t="s">
        <v>109</v>
      </c>
      <c r="H409" s="13" t="s">
        <v>101</v>
      </c>
      <c r="I409" s="21" t="s">
        <v>1031</v>
      </c>
      <c r="J409" s="21" t="s">
        <v>996</v>
      </c>
      <c r="K409" s="21" t="s">
        <v>1465</v>
      </c>
      <c r="L409" s="22" t="s">
        <v>39</v>
      </c>
      <c r="M409" s="21" t="s">
        <v>565</v>
      </c>
      <c r="N409" s="13" t="s">
        <v>106</v>
      </c>
      <c r="O409" s="23" t="n">
        <v>6.28</v>
      </c>
      <c r="P409" s="13" t="n">
        <v>1</v>
      </c>
      <c r="Q409" s="24" t="n">
        <v>46310.6282986111</v>
      </c>
      <c r="R409" s="22" t="s">
        <v>36</v>
      </c>
      <c r="S409" s="13" t="s">
        <v>107</v>
      </c>
      <c r="T409" s="13" t="str">
        <f aca="false">IF(S409="Oui",IF(R409=L409,"Identique","Changé"),"")</f>
        <v>Changé</v>
      </c>
    </row>
    <row r="410" customFormat="false" ht="35.05" hidden="false" customHeight="false" outlineLevel="0" collapsed="false">
      <c r="A410" s="13" t="s">
        <v>1466</v>
      </c>
      <c r="B410" s="13" t="s">
        <v>1458</v>
      </c>
      <c r="C410" s="13" t="n">
        <v>4</v>
      </c>
      <c r="D410" s="13" t="s">
        <v>135</v>
      </c>
      <c r="E410" s="13" t="s">
        <v>185</v>
      </c>
      <c r="F410" s="13" t="s">
        <v>1459</v>
      </c>
      <c r="G410" s="13" t="s">
        <v>380</v>
      </c>
      <c r="H410" s="13" t="s">
        <v>152</v>
      </c>
      <c r="I410" s="21" t="s">
        <v>1021</v>
      </c>
      <c r="J410" s="21" t="s">
        <v>154</v>
      </c>
      <c r="K410" s="21" t="s">
        <v>1467</v>
      </c>
      <c r="L410" s="22" t="s">
        <v>39</v>
      </c>
      <c r="M410" s="21" t="s">
        <v>565</v>
      </c>
      <c r="N410" s="13" t="s">
        <v>106</v>
      </c>
      <c r="O410" s="23" t="n">
        <v>6.01</v>
      </c>
      <c r="P410" s="13" t="n">
        <v>1</v>
      </c>
      <c r="Q410" s="24" t="n">
        <v>46310.6284953704</v>
      </c>
      <c r="R410" s="22" t="s">
        <v>40</v>
      </c>
      <c r="S410" s="13" t="s">
        <v>107</v>
      </c>
      <c r="T410" s="13" t="str">
        <f aca="false">IF(S410="Oui",IF(R410=L410,"Identique","Changé"),"")</f>
        <v>Changé</v>
      </c>
    </row>
    <row r="411" customFormat="false" ht="35.05" hidden="false" customHeight="false" outlineLevel="0" collapsed="false">
      <c r="A411" s="13" t="s">
        <v>1468</v>
      </c>
      <c r="B411" s="13" t="s">
        <v>1458</v>
      </c>
      <c r="C411" s="13" t="n">
        <v>5</v>
      </c>
      <c r="D411" s="13" t="s">
        <v>135</v>
      </c>
      <c r="E411" s="13" t="s">
        <v>114</v>
      </c>
      <c r="F411" s="13" t="s">
        <v>1459</v>
      </c>
      <c r="G411" s="13" t="s">
        <v>116</v>
      </c>
      <c r="H411" s="13" t="s">
        <v>101</v>
      </c>
      <c r="I411" s="21" t="s">
        <v>1469</v>
      </c>
      <c r="J411" s="21" t="s">
        <v>118</v>
      </c>
      <c r="K411" s="21" t="s">
        <v>1470</v>
      </c>
      <c r="L411" s="22" t="s">
        <v>37</v>
      </c>
      <c r="M411" s="21" t="s">
        <v>163</v>
      </c>
      <c r="N411" s="13" t="s">
        <v>106</v>
      </c>
      <c r="O411" s="23" t="n">
        <v>11.37</v>
      </c>
      <c r="P411" s="13" t="n">
        <v>1</v>
      </c>
      <c r="Q411" s="24" t="n">
        <v>46310.62875</v>
      </c>
      <c r="R411" s="22" t="s">
        <v>36</v>
      </c>
      <c r="S411" s="13" t="s">
        <v>107</v>
      </c>
      <c r="T411" s="13" t="str">
        <f aca="false">IF(S411="Oui",IF(R411=L411,"Identique","Changé"),"")</f>
        <v>Changé</v>
      </c>
    </row>
    <row r="412" customFormat="false" ht="68.65" hidden="false" customHeight="false" outlineLevel="0" collapsed="false">
      <c r="A412" s="13" t="s">
        <v>1471</v>
      </c>
      <c r="B412" s="13" t="s">
        <v>1472</v>
      </c>
      <c r="C412" s="13" t="n">
        <v>1</v>
      </c>
      <c r="D412" s="13" t="s">
        <v>97</v>
      </c>
      <c r="E412" s="13" t="s">
        <v>171</v>
      </c>
      <c r="F412" s="13" t="s">
        <v>1473</v>
      </c>
      <c r="G412" s="13" t="s">
        <v>222</v>
      </c>
      <c r="H412" s="13" t="s">
        <v>101</v>
      </c>
      <c r="I412" s="21" t="s">
        <v>1474</v>
      </c>
      <c r="J412" s="21" t="s">
        <v>334</v>
      </c>
      <c r="K412" s="21" t="s">
        <v>1475</v>
      </c>
      <c r="L412" s="22" t="s">
        <v>36</v>
      </c>
      <c r="M412" s="21" t="s">
        <v>120</v>
      </c>
      <c r="N412" s="13" t="s">
        <v>106</v>
      </c>
      <c r="O412" s="23" t="n">
        <v>35.69</v>
      </c>
      <c r="P412" s="13" t="n">
        <v>1</v>
      </c>
      <c r="Q412" s="24" t="n">
        <v>46310.6293171296</v>
      </c>
      <c r="R412" s="22" t="s">
        <v>36</v>
      </c>
      <c r="S412" s="13" t="s">
        <v>107</v>
      </c>
      <c r="T412" s="13" t="str">
        <f aca="false">IF(S412="Oui",IF(R412=L412,"Identique","Changé"),"")</f>
        <v>Identique</v>
      </c>
    </row>
    <row r="413" customFormat="false" ht="35.05" hidden="false" customHeight="false" outlineLevel="0" collapsed="false">
      <c r="A413" s="13" t="s">
        <v>1476</v>
      </c>
      <c r="B413" s="13" t="s">
        <v>1472</v>
      </c>
      <c r="C413" s="13" t="n">
        <v>2</v>
      </c>
      <c r="D413" s="13" t="s">
        <v>97</v>
      </c>
      <c r="E413" s="13" t="s">
        <v>98</v>
      </c>
      <c r="F413" s="13" t="s">
        <v>1473</v>
      </c>
      <c r="G413" s="13" t="s">
        <v>109</v>
      </c>
      <c r="H413" s="13" t="s">
        <v>101</v>
      </c>
      <c r="I413" s="21" t="s">
        <v>1031</v>
      </c>
      <c r="J413" s="21" t="s">
        <v>974</v>
      </c>
      <c r="K413" s="21" t="s">
        <v>1477</v>
      </c>
      <c r="L413" s="22" t="s">
        <v>36</v>
      </c>
      <c r="M413" s="21" t="s">
        <v>120</v>
      </c>
      <c r="N413" s="13" t="s">
        <v>106</v>
      </c>
      <c r="O413" s="23" t="n">
        <v>16.66</v>
      </c>
      <c r="P413" s="13" t="n">
        <v>1</v>
      </c>
      <c r="Q413" s="24" t="n">
        <v>46310.6296296296</v>
      </c>
      <c r="R413" s="22" t="s">
        <v>36</v>
      </c>
      <c r="S413" s="13" t="s">
        <v>107</v>
      </c>
      <c r="T413" s="13" t="str">
        <f aca="false">IF(S413="Oui",IF(R413=L413,"Identique","Changé"),"")</f>
        <v>Identique</v>
      </c>
    </row>
    <row r="414" customFormat="false" ht="46.25" hidden="false" customHeight="false" outlineLevel="0" collapsed="false">
      <c r="A414" s="13" t="s">
        <v>1478</v>
      </c>
      <c r="B414" s="13" t="s">
        <v>1472</v>
      </c>
      <c r="C414" s="13" t="n">
        <v>3</v>
      </c>
      <c r="D414" s="13" t="s">
        <v>97</v>
      </c>
      <c r="E414" s="13" t="s">
        <v>122</v>
      </c>
      <c r="F414" s="13" t="s">
        <v>1473</v>
      </c>
      <c r="G414" s="13" t="s">
        <v>123</v>
      </c>
      <c r="H414" s="13" t="s">
        <v>101</v>
      </c>
      <c r="I414" s="21" t="s">
        <v>567</v>
      </c>
      <c r="J414" s="21" t="s">
        <v>125</v>
      </c>
      <c r="K414" s="21" t="s">
        <v>1479</v>
      </c>
      <c r="L414" s="22" t="s">
        <v>36</v>
      </c>
      <c r="M414" s="21" t="s">
        <v>120</v>
      </c>
      <c r="N414" s="13" t="s">
        <v>106</v>
      </c>
      <c r="O414" s="23" t="n">
        <v>11.3</v>
      </c>
      <c r="P414" s="13" t="n">
        <v>1</v>
      </c>
      <c r="Q414" s="24" t="n">
        <v>46310.6298842593</v>
      </c>
      <c r="R414" s="22" t="s">
        <v>36</v>
      </c>
      <c r="S414" s="13" t="s">
        <v>107</v>
      </c>
      <c r="T414" s="13" t="str">
        <f aca="false">IF(S414="Oui",IF(R414=L414,"Identique","Changé"),"")</f>
        <v>Identique</v>
      </c>
    </row>
    <row r="415" customFormat="false" ht="46.25" hidden="false" customHeight="false" outlineLevel="0" collapsed="false">
      <c r="A415" s="13" t="s">
        <v>1480</v>
      </c>
      <c r="B415" s="13" t="s">
        <v>1472</v>
      </c>
      <c r="C415" s="13" t="n">
        <v>4</v>
      </c>
      <c r="D415" s="13" t="s">
        <v>97</v>
      </c>
      <c r="E415" s="13" t="s">
        <v>185</v>
      </c>
      <c r="F415" s="13" t="s">
        <v>1473</v>
      </c>
      <c r="G415" s="13" t="s">
        <v>380</v>
      </c>
      <c r="H415" s="13" t="s">
        <v>152</v>
      </c>
      <c r="I415" s="21" t="s">
        <v>1481</v>
      </c>
      <c r="J415" s="21" t="s">
        <v>154</v>
      </c>
      <c r="K415" s="21" t="s">
        <v>1482</v>
      </c>
      <c r="L415" s="22" t="s">
        <v>41</v>
      </c>
      <c r="M415" s="21" t="s">
        <v>1483</v>
      </c>
      <c r="N415" s="13" t="s">
        <v>1085</v>
      </c>
      <c r="O415" s="23" t="n">
        <v>31.04</v>
      </c>
      <c r="P415" s="13" t="n">
        <v>1</v>
      </c>
      <c r="Q415" s="24" t="n">
        <v>46310.6303587963</v>
      </c>
      <c r="R415" s="22" t="s">
        <v>40</v>
      </c>
      <c r="S415" s="13" t="s">
        <v>107</v>
      </c>
      <c r="T415" s="13" t="str">
        <f aca="false">IF(S415="Oui",IF(R415=L415,"Identique","Changé"),"")</f>
        <v>Changé</v>
      </c>
    </row>
    <row r="416" customFormat="false" ht="35.05" hidden="false" customHeight="false" outlineLevel="0" collapsed="false">
      <c r="A416" s="13" t="s">
        <v>1484</v>
      </c>
      <c r="B416" s="13" t="s">
        <v>1472</v>
      </c>
      <c r="C416" s="13" t="n">
        <v>5</v>
      </c>
      <c r="D416" s="13" t="s">
        <v>97</v>
      </c>
      <c r="E416" s="13" t="s">
        <v>114</v>
      </c>
      <c r="F416" s="13" t="s">
        <v>1473</v>
      </c>
      <c r="G416" s="13" t="s">
        <v>146</v>
      </c>
      <c r="H416" s="13" t="s">
        <v>101</v>
      </c>
      <c r="I416" s="21" t="s">
        <v>1040</v>
      </c>
      <c r="J416" s="21" t="s">
        <v>148</v>
      </c>
      <c r="K416" s="21" t="s">
        <v>1485</v>
      </c>
      <c r="L416" s="22" t="s">
        <v>36</v>
      </c>
      <c r="M416" s="21" t="s">
        <v>120</v>
      </c>
      <c r="N416" s="13" t="s">
        <v>106</v>
      </c>
      <c r="O416" s="23" t="n">
        <v>12.48</v>
      </c>
      <c r="P416" s="13" t="n">
        <v>1</v>
      </c>
      <c r="Q416" s="24" t="n">
        <v>46310.630625</v>
      </c>
      <c r="R416" s="22" t="s">
        <v>36</v>
      </c>
      <c r="S416" s="13" t="s">
        <v>107</v>
      </c>
      <c r="T416" s="13" t="str">
        <f aca="false">IF(S416="Oui",IF(R416=L416,"Identique","Changé"),"")</f>
        <v>Identique</v>
      </c>
    </row>
    <row r="417" customFormat="false" ht="35.05" hidden="false" customHeight="false" outlineLevel="0" collapsed="false">
      <c r="A417" s="13" t="s">
        <v>1486</v>
      </c>
      <c r="B417" s="13" t="s">
        <v>1487</v>
      </c>
      <c r="C417" s="13" t="n">
        <v>1</v>
      </c>
      <c r="D417" s="13" t="s">
        <v>135</v>
      </c>
      <c r="E417" s="13" t="s">
        <v>98</v>
      </c>
      <c r="F417" s="13" t="s">
        <v>1488</v>
      </c>
      <c r="G417" s="13" t="s">
        <v>109</v>
      </c>
      <c r="H417" s="13" t="s">
        <v>101</v>
      </c>
      <c r="I417" s="21" t="s">
        <v>1489</v>
      </c>
      <c r="J417" s="21" t="s">
        <v>1490</v>
      </c>
      <c r="K417" s="21" t="s">
        <v>1491</v>
      </c>
      <c r="L417" s="22" t="s">
        <v>36</v>
      </c>
      <c r="M417" s="21" t="s">
        <v>105</v>
      </c>
      <c r="N417" s="13" t="s">
        <v>106</v>
      </c>
      <c r="O417" s="23" t="n">
        <v>64.15</v>
      </c>
      <c r="P417" s="13" t="n">
        <v>1</v>
      </c>
      <c r="Q417" s="24" t="n">
        <v>46310.6315509259</v>
      </c>
      <c r="R417" s="22" t="s">
        <v>36</v>
      </c>
      <c r="S417" s="13" t="s">
        <v>107</v>
      </c>
      <c r="T417" s="13" t="str">
        <f aca="false">IF(S417="Oui",IF(R417=L417,"Identique","Changé"),"")</f>
        <v>Identique</v>
      </c>
    </row>
    <row r="418" customFormat="false" ht="46.25" hidden="false" customHeight="false" outlineLevel="0" collapsed="false">
      <c r="A418" s="13" t="s">
        <v>1492</v>
      </c>
      <c r="B418" s="13" t="s">
        <v>1487</v>
      </c>
      <c r="C418" s="13" t="n">
        <v>2</v>
      </c>
      <c r="D418" s="13" t="s">
        <v>135</v>
      </c>
      <c r="E418" s="13" t="s">
        <v>122</v>
      </c>
      <c r="F418" s="13" t="s">
        <v>1488</v>
      </c>
      <c r="G418" s="13" t="s">
        <v>123</v>
      </c>
      <c r="H418" s="13" t="s">
        <v>101</v>
      </c>
      <c r="I418" s="21" t="s">
        <v>567</v>
      </c>
      <c r="J418" s="21" t="s">
        <v>125</v>
      </c>
      <c r="K418" s="21" t="s">
        <v>1493</v>
      </c>
      <c r="L418" s="22" t="s">
        <v>36</v>
      </c>
      <c r="M418" s="21" t="s">
        <v>120</v>
      </c>
      <c r="N418" s="13" t="s">
        <v>106</v>
      </c>
      <c r="O418" s="23" t="n">
        <v>11.36</v>
      </c>
      <c r="P418" s="13" t="n">
        <v>1</v>
      </c>
      <c r="Q418" s="24" t="n">
        <v>46310.6318055556</v>
      </c>
      <c r="R418" s="22" t="s">
        <v>36</v>
      </c>
      <c r="S418" s="13" t="s">
        <v>107</v>
      </c>
      <c r="T418" s="13" t="str">
        <f aca="false">IF(S418="Oui",IF(R418=L418,"Identique","Changé"),"")</f>
        <v>Identique</v>
      </c>
    </row>
    <row r="419" customFormat="false" ht="35.05" hidden="false" customHeight="false" outlineLevel="0" collapsed="false">
      <c r="A419" s="13" t="s">
        <v>1494</v>
      </c>
      <c r="B419" s="13" t="s">
        <v>1487</v>
      </c>
      <c r="C419" s="13" t="n">
        <v>3</v>
      </c>
      <c r="D419" s="13" t="s">
        <v>135</v>
      </c>
      <c r="E419" s="13" t="s">
        <v>171</v>
      </c>
      <c r="F419" s="13" t="s">
        <v>1488</v>
      </c>
      <c r="G419" s="13" t="s">
        <v>172</v>
      </c>
      <c r="H419" s="13" t="s">
        <v>101</v>
      </c>
      <c r="I419" s="21" t="s">
        <v>413</v>
      </c>
      <c r="J419" s="21" t="s">
        <v>821</v>
      </c>
      <c r="K419" s="21" t="s">
        <v>1495</v>
      </c>
      <c r="L419" s="22" t="s">
        <v>36</v>
      </c>
      <c r="M419" s="21" t="s">
        <v>120</v>
      </c>
      <c r="N419" s="13" t="s">
        <v>106</v>
      </c>
      <c r="O419" s="23" t="n">
        <v>14.66</v>
      </c>
      <c r="P419" s="13" t="n">
        <v>1</v>
      </c>
      <c r="Q419" s="24" t="n">
        <v>46310.6320833333</v>
      </c>
      <c r="R419" s="22" t="s">
        <v>37</v>
      </c>
      <c r="S419" s="13" t="s">
        <v>107</v>
      </c>
      <c r="T419" s="13" t="str">
        <f aca="false">IF(S419="Oui",IF(R419=L419,"Identique","Changé"),"")</f>
        <v>Changé</v>
      </c>
    </row>
    <row r="420" customFormat="false" ht="35.05" hidden="false" customHeight="false" outlineLevel="0" collapsed="false">
      <c r="A420" s="13" t="s">
        <v>1496</v>
      </c>
      <c r="B420" s="13" t="s">
        <v>1487</v>
      </c>
      <c r="C420" s="13" t="n">
        <v>4</v>
      </c>
      <c r="D420" s="13" t="s">
        <v>135</v>
      </c>
      <c r="E420" s="13" t="s">
        <v>114</v>
      </c>
      <c r="F420" s="13" t="s">
        <v>1488</v>
      </c>
      <c r="G420" s="13" t="s">
        <v>146</v>
      </c>
      <c r="H420" s="13" t="s">
        <v>101</v>
      </c>
      <c r="I420" s="21" t="s">
        <v>1040</v>
      </c>
      <c r="J420" s="21" t="s">
        <v>148</v>
      </c>
      <c r="K420" s="21" t="s">
        <v>1497</v>
      </c>
      <c r="L420" s="22" t="s">
        <v>36</v>
      </c>
      <c r="M420" s="21" t="s">
        <v>120</v>
      </c>
      <c r="N420" s="13" t="s">
        <v>106</v>
      </c>
      <c r="O420" s="23" t="n">
        <v>11</v>
      </c>
      <c r="P420" s="13" t="n">
        <v>1</v>
      </c>
      <c r="Q420" s="24" t="n">
        <v>46310.6323263889</v>
      </c>
      <c r="R420" s="22" t="s">
        <v>36</v>
      </c>
      <c r="S420" s="13" t="s">
        <v>107</v>
      </c>
      <c r="T420" s="13" t="str">
        <f aca="false">IF(S420="Oui",IF(R420=L420,"Identique","Changé"),"")</f>
        <v>Identique</v>
      </c>
    </row>
    <row r="421" customFormat="false" ht="35.05" hidden="false" customHeight="false" outlineLevel="0" collapsed="false">
      <c r="A421" s="13" t="s">
        <v>1498</v>
      </c>
      <c r="B421" s="13" t="s">
        <v>1487</v>
      </c>
      <c r="C421" s="13" t="n">
        <v>5</v>
      </c>
      <c r="D421" s="13" t="s">
        <v>135</v>
      </c>
      <c r="E421" s="13" t="s">
        <v>128</v>
      </c>
      <c r="F421" s="13" t="s">
        <v>1488</v>
      </c>
      <c r="G421" s="13" t="s">
        <v>204</v>
      </c>
      <c r="H421" s="13" t="s">
        <v>101</v>
      </c>
      <c r="I421" s="21" t="s">
        <v>590</v>
      </c>
      <c r="J421" s="21" t="s">
        <v>206</v>
      </c>
      <c r="K421" s="21" t="s">
        <v>1499</v>
      </c>
      <c r="L421" s="22" t="s">
        <v>36</v>
      </c>
      <c r="M421" s="21" t="s">
        <v>120</v>
      </c>
      <c r="N421" s="13" t="s">
        <v>106</v>
      </c>
      <c r="O421" s="23" t="n">
        <v>16.75</v>
      </c>
      <c r="P421" s="13" t="n">
        <v>1</v>
      </c>
      <c r="Q421" s="24" t="n">
        <v>46310.6326388889</v>
      </c>
      <c r="R421" s="22" t="s">
        <v>36</v>
      </c>
      <c r="S421" s="13" t="s">
        <v>107</v>
      </c>
      <c r="T421" s="13" t="str">
        <f aca="false">IF(S421="Oui",IF(R421=L421,"Identique","Changé"),"")</f>
        <v>Identique</v>
      </c>
    </row>
    <row r="422" customFormat="false" ht="23.85" hidden="false" customHeight="false" outlineLevel="0" collapsed="false">
      <c r="A422" s="13" t="s">
        <v>1500</v>
      </c>
      <c r="B422" s="13" t="s">
        <v>1501</v>
      </c>
      <c r="C422" s="13" t="n">
        <v>1</v>
      </c>
      <c r="D422" s="13" t="s">
        <v>97</v>
      </c>
      <c r="E422" s="13" t="s">
        <v>98</v>
      </c>
      <c r="F422" s="13" t="s">
        <v>946</v>
      </c>
      <c r="G422" s="13" t="s">
        <v>100</v>
      </c>
      <c r="H422" s="13" t="s">
        <v>101</v>
      </c>
      <c r="I422" s="21" t="s">
        <v>1502</v>
      </c>
      <c r="J422" s="21" t="s">
        <v>1019</v>
      </c>
      <c r="K422" s="21" t="s">
        <v>1503</v>
      </c>
      <c r="L422" s="22" t="s">
        <v>36</v>
      </c>
      <c r="M422" s="21" t="s">
        <v>105</v>
      </c>
      <c r="N422" s="13" t="s">
        <v>106</v>
      </c>
      <c r="O422" s="23" t="n">
        <v>32.64</v>
      </c>
      <c r="P422" s="13" t="n">
        <v>1</v>
      </c>
      <c r="Q422" s="24" t="n">
        <v>46310.6332291667</v>
      </c>
      <c r="R422" s="22" t="s">
        <v>36</v>
      </c>
      <c r="S422" s="13" t="s">
        <v>107</v>
      </c>
      <c r="T422" s="13" t="str">
        <f aca="false">IF(S422="Oui",IF(R422=L422,"Identique","Changé"),"")</f>
        <v>Identique</v>
      </c>
    </row>
    <row r="423" customFormat="false" ht="23.85" hidden="false" customHeight="false" outlineLevel="0" collapsed="false">
      <c r="A423" s="13" t="s">
        <v>1504</v>
      </c>
      <c r="B423" s="13" t="s">
        <v>1501</v>
      </c>
      <c r="C423" s="13" t="n">
        <v>2</v>
      </c>
      <c r="D423" s="13" t="s">
        <v>97</v>
      </c>
      <c r="E423" s="13" t="s">
        <v>98</v>
      </c>
      <c r="F423" s="13" t="s">
        <v>946</v>
      </c>
      <c r="G423" s="13" t="s">
        <v>109</v>
      </c>
      <c r="H423" s="13" t="s">
        <v>101</v>
      </c>
      <c r="I423" s="21" t="s">
        <v>598</v>
      </c>
      <c r="J423" s="21" t="s">
        <v>452</v>
      </c>
      <c r="K423" s="21" t="s">
        <v>1505</v>
      </c>
      <c r="L423" s="22" t="s">
        <v>36</v>
      </c>
      <c r="M423" s="21" t="s">
        <v>105</v>
      </c>
      <c r="N423" s="13" t="s">
        <v>106</v>
      </c>
      <c r="O423" s="23" t="n">
        <v>16.47</v>
      </c>
      <c r="P423" s="13" t="n">
        <v>1</v>
      </c>
      <c r="Q423" s="24" t="n">
        <v>46310.6335416667</v>
      </c>
      <c r="R423" s="22" t="s">
        <v>36</v>
      </c>
      <c r="S423" s="13" t="s">
        <v>107</v>
      </c>
      <c r="T423" s="13" t="str">
        <f aca="false">IF(S423="Oui",IF(R423=L423,"Identique","Changé"),"")</f>
        <v>Identique</v>
      </c>
    </row>
    <row r="424" customFormat="false" ht="23.85" hidden="false" customHeight="false" outlineLevel="0" collapsed="false">
      <c r="A424" s="13" t="s">
        <v>1506</v>
      </c>
      <c r="B424" s="13" t="s">
        <v>1501</v>
      </c>
      <c r="C424" s="13" t="n">
        <v>3</v>
      </c>
      <c r="D424" s="13" t="s">
        <v>97</v>
      </c>
      <c r="E424" s="13" t="s">
        <v>171</v>
      </c>
      <c r="F424" s="13" t="s">
        <v>946</v>
      </c>
      <c r="G424" s="13" t="s">
        <v>172</v>
      </c>
      <c r="H424" s="13" t="s">
        <v>101</v>
      </c>
      <c r="I424" s="21" t="s">
        <v>575</v>
      </c>
      <c r="J424" s="21" t="s">
        <v>174</v>
      </c>
      <c r="K424" s="21" t="s">
        <v>1507</v>
      </c>
      <c r="L424" s="22" t="s">
        <v>36</v>
      </c>
      <c r="M424" s="21" t="s">
        <v>120</v>
      </c>
      <c r="N424" s="13" t="s">
        <v>106</v>
      </c>
      <c r="O424" s="23" t="n">
        <v>8.93</v>
      </c>
      <c r="P424" s="13" t="n">
        <v>1</v>
      </c>
      <c r="Q424" s="24" t="n">
        <v>46310.6337615741</v>
      </c>
      <c r="R424" s="22" t="s">
        <v>36</v>
      </c>
      <c r="S424" s="13" t="s">
        <v>107</v>
      </c>
      <c r="T424" s="13" t="str">
        <f aca="false">IF(S424="Oui",IF(R424=L424,"Identique","Changé"),"")</f>
        <v>Identique</v>
      </c>
    </row>
    <row r="425" customFormat="false" ht="35.05" hidden="false" customHeight="false" outlineLevel="0" collapsed="false">
      <c r="A425" s="13" t="s">
        <v>1508</v>
      </c>
      <c r="B425" s="13" t="s">
        <v>1501</v>
      </c>
      <c r="C425" s="13" t="n">
        <v>4</v>
      </c>
      <c r="D425" s="13" t="s">
        <v>97</v>
      </c>
      <c r="E425" s="13" t="s">
        <v>171</v>
      </c>
      <c r="F425" s="13" t="s">
        <v>946</v>
      </c>
      <c r="G425" s="13" t="s">
        <v>222</v>
      </c>
      <c r="H425" s="13" t="s">
        <v>101</v>
      </c>
      <c r="I425" s="21" t="s">
        <v>1509</v>
      </c>
      <c r="J425" s="21" t="s">
        <v>224</v>
      </c>
      <c r="K425" s="21" t="s">
        <v>1510</v>
      </c>
      <c r="L425" s="22" t="s">
        <v>36</v>
      </c>
      <c r="M425" s="21" t="s">
        <v>120</v>
      </c>
      <c r="N425" s="13" t="s">
        <v>106</v>
      </c>
      <c r="O425" s="23" t="n">
        <v>21.8</v>
      </c>
      <c r="P425" s="13" t="n">
        <v>1</v>
      </c>
      <c r="Q425" s="24" t="n">
        <v>46310.6341319445</v>
      </c>
      <c r="R425" s="22" t="s">
        <v>36</v>
      </c>
      <c r="S425" s="13" t="s">
        <v>107</v>
      </c>
      <c r="T425" s="13" t="str">
        <f aca="false">IF(S425="Oui",IF(R425=L425,"Identique","Changé"),"")</f>
        <v>Identique</v>
      </c>
    </row>
    <row r="426" customFormat="false" ht="23.85" hidden="false" customHeight="false" outlineLevel="0" collapsed="false">
      <c r="A426" s="13" t="s">
        <v>1511</v>
      </c>
      <c r="B426" s="13" t="s">
        <v>1501</v>
      </c>
      <c r="C426" s="13" t="n">
        <v>5</v>
      </c>
      <c r="D426" s="13" t="s">
        <v>97</v>
      </c>
      <c r="E426" s="13" t="s">
        <v>122</v>
      </c>
      <c r="F426" s="13" t="s">
        <v>946</v>
      </c>
      <c r="G426" s="13" t="s">
        <v>123</v>
      </c>
      <c r="H426" s="13" t="s">
        <v>101</v>
      </c>
      <c r="I426" s="21" t="s">
        <v>1512</v>
      </c>
      <c r="J426" s="21" t="s">
        <v>125</v>
      </c>
      <c r="K426" s="21" t="s">
        <v>1513</v>
      </c>
      <c r="L426" s="22" t="s">
        <v>36</v>
      </c>
      <c r="M426" s="21" t="s">
        <v>120</v>
      </c>
      <c r="N426" s="13" t="s">
        <v>106</v>
      </c>
      <c r="O426" s="23" t="n">
        <v>11.6</v>
      </c>
      <c r="P426" s="13" t="n">
        <v>1</v>
      </c>
      <c r="Q426" s="24" t="n">
        <v>46310.6343981482</v>
      </c>
      <c r="R426" s="22" t="s">
        <v>36</v>
      </c>
      <c r="S426" s="13" t="s">
        <v>107</v>
      </c>
      <c r="T426" s="13" t="str">
        <f aca="false">IF(S426="Oui",IF(R426=L426,"Identique","Changé"),"")</f>
        <v>Identique</v>
      </c>
    </row>
    <row r="427" customFormat="false" ht="23.85" hidden="false" customHeight="false" outlineLevel="0" collapsed="false">
      <c r="A427" s="13" t="s">
        <v>1514</v>
      </c>
      <c r="B427" s="13" t="s">
        <v>1515</v>
      </c>
      <c r="C427" s="13" t="n">
        <v>1</v>
      </c>
      <c r="D427" s="13" t="s">
        <v>135</v>
      </c>
      <c r="E427" s="13" t="s">
        <v>114</v>
      </c>
      <c r="F427" s="13" t="s">
        <v>1516</v>
      </c>
      <c r="G427" s="13" t="s">
        <v>116</v>
      </c>
      <c r="H427" s="13" t="s">
        <v>101</v>
      </c>
      <c r="I427" s="21" t="s">
        <v>1517</v>
      </c>
      <c r="J427" s="21" t="s">
        <v>118</v>
      </c>
      <c r="K427" s="21" t="s">
        <v>1518</v>
      </c>
      <c r="L427" s="22" t="s">
        <v>36</v>
      </c>
      <c r="M427" s="21" t="s">
        <v>120</v>
      </c>
      <c r="N427" s="13" t="s">
        <v>106</v>
      </c>
      <c r="O427" s="23" t="n">
        <v>41.42</v>
      </c>
      <c r="P427" s="13" t="n">
        <v>1</v>
      </c>
      <c r="Q427" s="24" t="n">
        <v>46310.6350694444</v>
      </c>
      <c r="R427" s="22" t="s">
        <v>36</v>
      </c>
      <c r="S427" s="13" t="s">
        <v>107</v>
      </c>
      <c r="T427" s="13" t="str">
        <f aca="false">IF(S427="Oui",IF(R427=L427,"Identique","Changé"),"")</f>
        <v>Identique</v>
      </c>
    </row>
    <row r="428" customFormat="false" ht="35.05" hidden="false" customHeight="false" outlineLevel="0" collapsed="false">
      <c r="A428" s="13" t="s">
        <v>1519</v>
      </c>
      <c r="B428" s="13" t="s">
        <v>1515</v>
      </c>
      <c r="C428" s="13" t="n">
        <v>2</v>
      </c>
      <c r="D428" s="13" t="s">
        <v>135</v>
      </c>
      <c r="E428" s="13" t="s">
        <v>171</v>
      </c>
      <c r="F428" s="13" t="s">
        <v>1516</v>
      </c>
      <c r="G428" s="13" t="s">
        <v>172</v>
      </c>
      <c r="H428" s="13" t="s">
        <v>101</v>
      </c>
      <c r="I428" s="21" t="s">
        <v>575</v>
      </c>
      <c r="J428" s="21" t="s">
        <v>174</v>
      </c>
      <c r="K428" s="21" t="s">
        <v>1520</v>
      </c>
      <c r="L428" s="22" t="s">
        <v>36</v>
      </c>
      <c r="M428" s="21" t="s">
        <v>120</v>
      </c>
      <c r="N428" s="13" t="s">
        <v>106</v>
      </c>
      <c r="O428" s="23" t="n">
        <v>11.15</v>
      </c>
      <c r="P428" s="13" t="n">
        <v>1</v>
      </c>
      <c r="Q428" s="24" t="n">
        <v>46310.6353125</v>
      </c>
      <c r="R428" s="22" t="s">
        <v>36</v>
      </c>
      <c r="S428" s="13" t="s">
        <v>107</v>
      </c>
      <c r="T428" s="13" t="str">
        <f aca="false">IF(S428="Oui",IF(R428=L428,"Identique","Changé"),"")</f>
        <v>Identique</v>
      </c>
    </row>
    <row r="429" customFormat="false" ht="23.85" hidden="false" customHeight="false" outlineLevel="0" collapsed="false">
      <c r="A429" s="13" t="s">
        <v>1521</v>
      </c>
      <c r="B429" s="13" t="s">
        <v>1515</v>
      </c>
      <c r="C429" s="13" t="n">
        <v>3</v>
      </c>
      <c r="D429" s="13" t="s">
        <v>135</v>
      </c>
      <c r="E429" s="13" t="s">
        <v>114</v>
      </c>
      <c r="F429" s="13" t="s">
        <v>388</v>
      </c>
      <c r="G429" s="13" t="s">
        <v>146</v>
      </c>
      <c r="H429" s="13" t="s">
        <v>101</v>
      </c>
      <c r="I429" s="21" t="s">
        <v>1522</v>
      </c>
      <c r="J429" s="21" t="s">
        <v>148</v>
      </c>
      <c r="K429" s="21" t="s">
        <v>1523</v>
      </c>
      <c r="L429" s="22" t="s">
        <v>36</v>
      </c>
      <c r="M429" s="21" t="s">
        <v>120</v>
      </c>
      <c r="N429" s="13" t="s">
        <v>106</v>
      </c>
      <c r="O429" s="23" t="n">
        <v>12.97</v>
      </c>
      <c r="P429" s="13" t="n">
        <v>1</v>
      </c>
      <c r="Q429" s="24" t="n">
        <v>46310.6355787037</v>
      </c>
      <c r="R429" s="22" t="s">
        <v>36</v>
      </c>
      <c r="S429" s="13" t="s">
        <v>107</v>
      </c>
      <c r="T429" s="13" t="str">
        <f aca="false">IF(S429="Oui",IF(R429=L429,"Identique","Changé"),"")</f>
        <v>Identique</v>
      </c>
    </row>
    <row r="430" customFormat="false" ht="35.05" hidden="false" customHeight="false" outlineLevel="0" collapsed="false">
      <c r="A430" s="13" t="s">
        <v>1524</v>
      </c>
      <c r="B430" s="13" t="s">
        <v>1515</v>
      </c>
      <c r="C430" s="13" t="n">
        <v>4</v>
      </c>
      <c r="D430" s="13" t="s">
        <v>135</v>
      </c>
      <c r="E430" s="13" t="s">
        <v>122</v>
      </c>
      <c r="F430" s="13" t="s">
        <v>388</v>
      </c>
      <c r="G430" s="13" t="s">
        <v>123</v>
      </c>
      <c r="H430" s="13" t="s">
        <v>101</v>
      </c>
      <c r="I430" s="21" t="s">
        <v>607</v>
      </c>
      <c r="J430" s="21" t="s">
        <v>125</v>
      </c>
      <c r="K430" s="21" t="s">
        <v>1525</v>
      </c>
      <c r="L430" s="22" t="s">
        <v>36</v>
      </c>
      <c r="M430" s="21" t="s">
        <v>120</v>
      </c>
      <c r="N430" s="13" t="s">
        <v>106</v>
      </c>
      <c r="O430" s="23" t="n">
        <v>13.53</v>
      </c>
      <c r="P430" s="13" t="n">
        <v>1</v>
      </c>
      <c r="Q430" s="24" t="n">
        <v>46310.6358564815</v>
      </c>
      <c r="R430" s="22" t="s">
        <v>36</v>
      </c>
      <c r="S430" s="13" t="s">
        <v>107</v>
      </c>
      <c r="T430" s="13" t="str">
        <f aca="false">IF(S430="Oui",IF(R430=L430,"Identique","Changé"),"")</f>
        <v>Identique</v>
      </c>
    </row>
    <row r="431" customFormat="false" ht="35.05" hidden="false" customHeight="false" outlineLevel="0" collapsed="false">
      <c r="A431" s="13" t="s">
        <v>1526</v>
      </c>
      <c r="B431" s="13" t="s">
        <v>1515</v>
      </c>
      <c r="C431" s="13" t="n">
        <v>5</v>
      </c>
      <c r="D431" s="13" t="s">
        <v>135</v>
      </c>
      <c r="E431" s="13" t="s">
        <v>114</v>
      </c>
      <c r="F431" s="13" t="s">
        <v>1516</v>
      </c>
      <c r="G431" s="13" t="s">
        <v>141</v>
      </c>
      <c r="H431" s="13" t="s">
        <v>101</v>
      </c>
      <c r="I431" s="21" t="s">
        <v>1527</v>
      </c>
      <c r="J431" s="21" t="s">
        <v>143</v>
      </c>
      <c r="K431" s="21" t="s">
        <v>1528</v>
      </c>
      <c r="L431" s="22" t="s">
        <v>36</v>
      </c>
      <c r="M431" s="21" t="s">
        <v>120</v>
      </c>
      <c r="N431" s="13" t="s">
        <v>106</v>
      </c>
      <c r="O431" s="23" t="n">
        <v>10.39</v>
      </c>
      <c r="P431" s="13" t="n">
        <v>1</v>
      </c>
      <c r="Q431" s="24" t="n">
        <v>46310.636099537</v>
      </c>
      <c r="R431" s="22" t="s">
        <v>36</v>
      </c>
      <c r="S431" s="13" t="s">
        <v>107</v>
      </c>
      <c r="T431" s="13" t="str">
        <f aca="false">IF(S431="Oui",IF(R431=L431,"Identique","Changé"),"")</f>
        <v>Identique</v>
      </c>
    </row>
    <row r="432" customFormat="false" ht="35.05" hidden="false" customHeight="false" outlineLevel="0" collapsed="false">
      <c r="A432" s="13" t="s">
        <v>1529</v>
      </c>
      <c r="B432" s="13" t="s">
        <v>1530</v>
      </c>
      <c r="C432" s="13" t="n">
        <v>1</v>
      </c>
      <c r="D432" s="13" t="s">
        <v>97</v>
      </c>
      <c r="E432" s="13" t="s">
        <v>171</v>
      </c>
      <c r="F432" s="13" t="s">
        <v>1210</v>
      </c>
      <c r="G432" s="13" t="s">
        <v>172</v>
      </c>
      <c r="H432" s="13" t="s">
        <v>101</v>
      </c>
      <c r="I432" s="21" t="s">
        <v>1531</v>
      </c>
      <c r="J432" s="21" t="s">
        <v>228</v>
      </c>
      <c r="K432" s="21" t="s">
        <v>1532</v>
      </c>
      <c r="L432" s="22" t="s">
        <v>36</v>
      </c>
      <c r="M432" s="21" t="s">
        <v>120</v>
      </c>
      <c r="N432" s="13" t="s">
        <v>106</v>
      </c>
      <c r="O432" s="23" t="n">
        <v>27.35</v>
      </c>
      <c r="P432" s="13" t="n">
        <v>1</v>
      </c>
      <c r="Q432" s="24" t="n">
        <v>46310.6366087963</v>
      </c>
      <c r="R432" s="22" t="s">
        <v>36</v>
      </c>
      <c r="S432" s="13" t="s">
        <v>107</v>
      </c>
      <c r="T432" s="13" t="str">
        <f aca="false">IF(S432="Oui",IF(R432=L432,"Identique","Changé"),"")</f>
        <v>Identique</v>
      </c>
    </row>
    <row r="433" customFormat="false" ht="46.25" hidden="false" customHeight="false" outlineLevel="0" collapsed="false">
      <c r="A433" s="13" t="s">
        <v>1533</v>
      </c>
      <c r="B433" s="13" t="s">
        <v>1530</v>
      </c>
      <c r="C433" s="13" t="n">
        <v>2</v>
      </c>
      <c r="D433" s="13" t="s">
        <v>97</v>
      </c>
      <c r="E433" s="13" t="s">
        <v>114</v>
      </c>
      <c r="F433" s="13" t="s">
        <v>1210</v>
      </c>
      <c r="G433" s="13" t="s">
        <v>146</v>
      </c>
      <c r="H433" s="13" t="s">
        <v>101</v>
      </c>
      <c r="I433" s="21" t="s">
        <v>1534</v>
      </c>
      <c r="J433" s="21" t="s">
        <v>148</v>
      </c>
      <c r="K433" s="21" t="s">
        <v>1535</v>
      </c>
      <c r="L433" s="22" t="s">
        <v>36</v>
      </c>
      <c r="M433" s="21" t="s">
        <v>120</v>
      </c>
      <c r="N433" s="13" t="s">
        <v>106</v>
      </c>
      <c r="O433" s="23" t="n">
        <v>11.14</v>
      </c>
      <c r="P433" s="13" t="n">
        <v>1</v>
      </c>
      <c r="Q433" s="24" t="n">
        <v>46310.6368518519</v>
      </c>
      <c r="R433" s="22" t="s">
        <v>36</v>
      </c>
      <c r="S433" s="13" t="s">
        <v>107</v>
      </c>
      <c r="T433" s="13" t="str">
        <f aca="false">IF(S433="Oui",IF(R433=L433,"Identique","Changé"),"")</f>
        <v>Identique</v>
      </c>
    </row>
    <row r="434" customFormat="false" ht="46.25" hidden="false" customHeight="false" outlineLevel="0" collapsed="false">
      <c r="A434" s="13" t="s">
        <v>1536</v>
      </c>
      <c r="B434" s="13" t="s">
        <v>1530</v>
      </c>
      <c r="C434" s="13" t="n">
        <v>3</v>
      </c>
      <c r="D434" s="13" t="s">
        <v>97</v>
      </c>
      <c r="E434" s="13" t="s">
        <v>158</v>
      </c>
      <c r="F434" s="13" t="s">
        <v>1210</v>
      </c>
      <c r="G434" s="13" t="s">
        <v>159</v>
      </c>
      <c r="H434" s="13" t="s">
        <v>101</v>
      </c>
      <c r="I434" s="21" t="s">
        <v>925</v>
      </c>
      <c r="J434" s="21" t="s">
        <v>233</v>
      </c>
      <c r="K434" s="21" t="s">
        <v>1537</v>
      </c>
      <c r="L434" s="22" t="s">
        <v>37</v>
      </c>
      <c r="M434" s="21" t="s">
        <v>163</v>
      </c>
      <c r="N434" s="13" t="s">
        <v>106</v>
      </c>
      <c r="O434" s="23" t="n">
        <v>10.71</v>
      </c>
      <c r="P434" s="13" t="n">
        <v>1</v>
      </c>
      <c r="Q434" s="24" t="n">
        <v>46310.6370833333</v>
      </c>
      <c r="R434" s="22" t="s">
        <v>37</v>
      </c>
      <c r="S434" s="13" t="s">
        <v>107</v>
      </c>
      <c r="T434" s="13" t="str">
        <f aca="false">IF(S434="Oui",IF(R434=L434,"Identique","Changé"),"")</f>
        <v>Identique</v>
      </c>
    </row>
    <row r="435" customFormat="false" ht="46.25" hidden="false" customHeight="false" outlineLevel="0" collapsed="false">
      <c r="A435" s="13" t="s">
        <v>1538</v>
      </c>
      <c r="B435" s="13" t="s">
        <v>1530</v>
      </c>
      <c r="C435" s="13" t="n">
        <v>4</v>
      </c>
      <c r="D435" s="13" t="s">
        <v>97</v>
      </c>
      <c r="E435" s="13" t="s">
        <v>185</v>
      </c>
      <c r="F435" s="13" t="s">
        <v>1210</v>
      </c>
      <c r="G435" s="13" t="s">
        <v>363</v>
      </c>
      <c r="H435" s="13" t="s">
        <v>152</v>
      </c>
      <c r="I435" s="21" t="s">
        <v>461</v>
      </c>
      <c r="J435" s="21" t="s">
        <v>154</v>
      </c>
      <c r="K435" s="21" t="s">
        <v>1539</v>
      </c>
      <c r="L435" s="22" t="s">
        <v>40</v>
      </c>
      <c r="M435" s="21" t="s">
        <v>156</v>
      </c>
      <c r="N435" s="13" t="s">
        <v>106</v>
      </c>
      <c r="O435" s="23" t="n">
        <v>12.77</v>
      </c>
      <c r="P435" s="13" t="n">
        <v>1</v>
      </c>
      <c r="Q435" s="24" t="n">
        <v>46310.6373611111</v>
      </c>
      <c r="R435" s="22" t="s">
        <v>40</v>
      </c>
      <c r="S435" s="13" t="s">
        <v>107</v>
      </c>
      <c r="T435" s="13" t="str">
        <f aca="false">IF(S435="Oui",IF(R435=L435,"Identique","Changé"),"")</f>
        <v>Identique</v>
      </c>
    </row>
    <row r="436" customFormat="false" ht="35.05" hidden="false" customHeight="false" outlineLevel="0" collapsed="false">
      <c r="A436" s="13" t="s">
        <v>1540</v>
      </c>
      <c r="B436" s="13" t="s">
        <v>1530</v>
      </c>
      <c r="C436" s="13" t="n">
        <v>5</v>
      </c>
      <c r="D436" s="13" t="s">
        <v>97</v>
      </c>
      <c r="E436" s="13" t="s">
        <v>185</v>
      </c>
      <c r="F436" s="13" t="s">
        <v>1210</v>
      </c>
      <c r="G436" s="13" t="s">
        <v>186</v>
      </c>
      <c r="H436" s="13" t="s">
        <v>101</v>
      </c>
      <c r="I436" s="21" t="s">
        <v>1541</v>
      </c>
      <c r="J436" s="21" t="s">
        <v>1362</v>
      </c>
      <c r="K436" s="21" t="s">
        <v>1542</v>
      </c>
      <c r="L436" s="22" t="s">
        <v>36</v>
      </c>
      <c r="M436" s="21" t="s">
        <v>120</v>
      </c>
      <c r="N436" s="13" t="s">
        <v>106</v>
      </c>
      <c r="O436" s="23" t="n">
        <v>10.89</v>
      </c>
      <c r="P436" s="13" t="n">
        <v>1</v>
      </c>
      <c r="Q436" s="24" t="n">
        <v>46310.6376157407</v>
      </c>
      <c r="R436" s="22" t="s">
        <v>36</v>
      </c>
      <c r="S436" s="13" t="s">
        <v>107</v>
      </c>
      <c r="T436" s="13" t="str">
        <f aca="false">IF(S436="Oui",IF(R436=L436,"Identique","Changé"),"")</f>
        <v>Identique</v>
      </c>
    </row>
    <row r="437" customFormat="false" ht="57.45" hidden="false" customHeight="false" outlineLevel="0" collapsed="false">
      <c r="A437" s="13" t="s">
        <v>1543</v>
      </c>
      <c r="B437" s="13" t="s">
        <v>1544</v>
      </c>
      <c r="C437" s="13" t="n">
        <v>1</v>
      </c>
      <c r="D437" s="13" t="s">
        <v>135</v>
      </c>
      <c r="E437" s="13" t="s">
        <v>128</v>
      </c>
      <c r="F437" s="13" t="s">
        <v>245</v>
      </c>
      <c r="G437" s="13" t="s">
        <v>193</v>
      </c>
      <c r="H437" s="13" t="s">
        <v>101</v>
      </c>
      <c r="I437" s="21" t="s">
        <v>1545</v>
      </c>
      <c r="J437" s="21" t="s">
        <v>195</v>
      </c>
      <c r="K437" s="21" t="s">
        <v>1546</v>
      </c>
      <c r="L437" s="22" t="s">
        <v>36</v>
      </c>
      <c r="M437" s="21" t="s">
        <v>120</v>
      </c>
      <c r="N437" s="13" t="s">
        <v>106</v>
      </c>
      <c r="O437" s="23" t="n">
        <v>40.96</v>
      </c>
      <c r="P437" s="13" t="n">
        <v>1</v>
      </c>
      <c r="Q437" s="24" t="n">
        <v>46310.6382523148</v>
      </c>
      <c r="R437" s="22" t="s">
        <v>36</v>
      </c>
      <c r="S437" s="13" t="s">
        <v>107</v>
      </c>
      <c r="T437" s="13" t="str">
        <f aca="false">IF(S437="Oui",IF(R437=L437,"Identique","Changé"),"")</f>
        <v>Identique</v>
      </c>
    </row>
    <row r="438" customFormat="false" ht="35.05" hidden="false" customHeight="false" outlineLevel="0" collapsed="false">
      <c r="A438" s="13" t="s">
        <v>1547</v>
      </c>
      <c r="B438" s="13" t="s">
        <v>1544</v>
      </c>
      <c r="C438" s="13" t="n">
        <v>2</v>
      </c>
      <c r="D438" s="13" t="s">
        <v>135</v>
      </c>
      <c r="E438" s="13" t="s">
        <v>128</v>
      </c>
      <c r="F438" s="13" t="s">
        <v>245</v>
      </c>
      <c r="G438" s="13" t="s">
        <v>129</v>
      </c>
      <c r="H438" s="13" t="s">
        <v>101</v>
      </c>
      <c r="I438" s="21" t="s">
        <v>650</v>
      </c>
      <c r="J438" s="21" t="s">
        <v>199</v>
      </c>
      <c r="K438" s="21" t="s">
        <v>1548</v>
      </c>
      <c r="L438" s="22" t="s">
        <v>36</v>
      </c>
      <c r="M438" s="21" t="s">
        <v>120</v>
      </c>
      <c r="N438" s="13" t="s">
        <v>106</v>
      </c>
      <c r="O438" s="23" t="n">
        <v>16.78</v>
      </c>
      <c r="P438" s="13" t="n">
        <v>1</v>
      </c>
      <c r="Q438" s="24" t="n">
        <v>46310.6385648148</v>
      </c>
      <c r="R438" s="22" t="s">
        <v>36</v>
      </c>
      <c r="S438" s="13" t="s">
        <v>107</v>
      </c>
      <c r="T438" s="13" t="str">
        <f aca="false">IF(S438="Oui",IF(R438=L438,"Identique","Changé"),"")</f>
        <v>Identique</v>
      </c>
    </row>
    <row r="439" customFormat="false" ht="35.05" hidden="false" customHeight="false" outlineLevel="0" collapsed="false">
      <c r="A439" s="13" t="s">
        <v>1549</v>
      </c>
      <c r="B439" s="13" t="s">
        <v>1544</v>
      </c>
      <c r="C439" s="13" t="n">
        <v>3</v>
      </c>
      <c r="D439" s="13" t="s">
        <v>135</v>
      </c>
      <c r="E439" s="13" t="s">
        <v>114</v>
      </c>
      <c r="F439" s="13" t="s">
        <v>245</v>
      </c>
      <c r="G439" s="13" t="s">
        <v>116</v>
      </c>
      <c r="H439" s="13" t="s">
        <v>101</v>
      </c>
      <c r="I439" s="21" t="s">
        <v>1550</v>
      </c>
      <c r="J439" s="21" t="s">
        <v>138</v>
      </c>
      <c r="K439" s="21" t="s">
        <v>1551</v>
      </c>
      <c r="L439" s="22" t="s">
        <v>36</v>
      </c>
      <c r="M439" s="21" t="s">
        <v>120</v>
      </c>
      <c r="N439" s="13" t="s">
        <v>106</v>
      </c>
      <c r="O439" s="23" t="n">
        <v>9.99</v>
      </c>
      <c r="P439" s="13" t="n">
        <v>1</v>
      </c>
      <c r="Q439" s="24" t="n">
        <v>46310.6387962963</v>
      </c>
      <c r="R439" s="22" t="s">
        <v>36</v>
      </c>
      <c r="S439" s="13" t="s">
        <v>107</v>
      </c>
      <c r="T439" s="13" t="str">
        <f aca="false">IF(S439="Oui",IF(R439=L439,"Identique","Changé"),"")</f>
        <v>Identique</v>
      </c>
    </row>
    <row r="440" customFormat="false" ht="46.25" hidden="false" customHeight="false" outlineLevel="0" collapsed="false">
      <c r="A440" s="13" t="s">
        <v>1552</v>
      </c>
      <c r="B440" s="13" t="s">
        <v>1544</v>
      </c>
      <c r="C440" s="13" t="n">
        <v>4</v>
      </c>
      <c r="D440" s="13" t="s">
        <v>135</v>
      </c>
      <c r="E440" s="13" t="s">
        <v>98</v>
      </c>
      <c r="F440" s="13" t="s">
        <v>245</v>
      </c>
      <c r="G440" s="13" t="s">
        <v>181</v>
      </c>
      <c r="H440" s="13" t="s">
        <v>152</v>
      </c>
      <c r="I440" s="21" t="s">
        <v>1553</v>
      </c>
      <c r="J440" s="21" t="s">
        <v>154</v>
      </c>
      <c r="K440" s="21" t="s">
        <v>1554</v>
      </c>
      <c r="L440" s="22" t="s">
        <v>40</v>
      </c>
      <c r="M440" s="21" t="s">
        <v>156</v>
      </c>
      <c r="N440" s="13" t="s">
        <v>106</v>
      </c>
      <c r="O440" s="23" t="n">
        <v>10.91</v>
      </c>
      <c r="P440" s="13" t="n">
        <v>1</v>
      </c>
      <c r="Q440" s="24" t="n">
        <v>46310.6390509259</v>
      </c>
      <c r="R440" s="22" t="s">
        <v>40</v>
      </c>
      <c r="S440" s="13" t="s">
        <v>107</v>
      </c>
      <c r="T440" s="13" t="str">
        <f aca="false">IF(S440="Oui",IF(R440=L440,"Identique","Changé"),"")</f>
        <v>Identique</v>
      </c>
    </row>
    <row r="441" customFormat="false" ht="46.25" hidden="false" customHeight="false" outlineLevel="0" collapsed="false">
      <c r="A441" s="13" t="s">
        <v>1555</v>
      </c>
      <c r="B441" s="13" t="s">
        <v>1544</v>
      </c>
      <c r="C441" s="13" t="n">
        <v>5</v>
      </c>
      <c r="D441" s="13" t="s">
        <v>135</v>
      </c>
      <c r="E441" s="13" t="s">
        <v>128</v>
      </c>
      <c r="F441" s="13" t="s">
        <v>245</v>
      </c>
      <c r="G441" s="13" t="s">
        <v>209</v>
      </c>
      <c r="H441" s="13" t="s">
        <v>101</v>
      </c>
      <c r="I441" s="21" t="s">
        <v>659</v>
      </c>
      <c r="J441" s="21" t="s">
        <v>211</v>
      </c>
      <c r="K441" s="21" t="s">
        <v>1556</v>
      </c>
      <c r="L441" s="22" t="s">
        <v>36</v>
      </c>
      <c r="M441" s="21" t="s">
        <v>120</v>
      </c>
      <c r="N441" s="13" t="s">
        <v>106</v>
      </c>
      <c r="O441" s="23" t="n">
        <v>15.25</v>
      </c>
      <c r="P441" s="13" t="n">
        <v>1</v>
      </c>
      <c r="Q441" s="24" t="n">
        <v>46310.6393518519</v>
      </c>
      <c r="R441" s="22" t="s">
        <v>36</v>
      </c>
      <c r="S441" s="13" t="s">
        <v>107</v>
      </c>
      <c r="T441" s="13" t="str">
        <f aca="false">IF(S441="Oui",IF(R441=L441,"Identique","Changé"),"")</f>
        <v>Identique</v>
      </c>
    </row>
    <row r="442" customFormat="false" ht="35.05" hidden="false" customHeight="false" outlineLevel="0" collapsed="false">
      <c r="A442" s="13" t="s">
        <v>1557</v>
      </c>
      <c r="B442" s="13" t="s">
        <v>1558</v>
      </c>
      <c r="C442" s="13" t="n">
        <v>1</v>
      </c>
      <c r="D442" s="13" t="s">
        <v>97</v>
      </c>
      <c r="E442" s="13" t="s">
        <v>98</v>
      </c>
      <c r="F442" s="13" t="s">
        <v>728</v>
      </c>
      <c r="G442" s="13" t="s">
        <v>100</v>
      </c>
      <c r="H442" s="13" t="s">
        <v>101</v>
      </c>
      <c r="I442" s="21" t="s">
        <v>1559</v>
      </c>
      <c r="J442" s="21" t="s">
        <v>1560</v>
      </c>
      <c r="K442" s="21" t="s">
        <v>1561</v>
      </c>
      <c r="L442" s="22" t="s">
        <v>36</v>
      </c>
      <c r="M442" s="21" t="s">
        <v>105</v>
      </c>
      <c r="N442" s="13" t="s">
        <v>106</v>
      </c>
      <c r="O442" s="23" t="n">
        <v>43.75</v>
      </c>
      <c r="P442" s="13" t="n">
        <v>1</v>
      </c>
      <c r="Q442" s="24" t="n">
        <v>46310.6400115741</v>
      </c>
      <c r="R442" s="22" t="s">
        <v>36</v>
      </c>
      <c r="S442" s="13" t="s">
        <v>107</v>
      </c>
      <c r="T442" s="13" t="str">
        <f aca="false">IF(S442="Oui",IF(R442=L442,"Identique","Changé"),"")</f>
        <v>Identique</v>
      </c>
    </row>
    <row r="443" customFormat="false" ht="35.05" hidden="false" customHeight="false" outlineLevel="0" collapsed="false">
      <c r="A443" s="13" t="s">
        <v>1562</v>
      </c>
      <c r="B443" s="13" t="s">
        <v>1558</v>
      </c>
      <c r="C443" s="13" t="n">
        <v>2</v>
      </c>
      <c r="D443" s="13" t="s">
        <v>97</v>
      </c>
      <c r="E443" s="13" t="s">
        <v>114</v>
      </c>
      <c r="F443" s="13" t="s">
        <v>728</v>
      </c>
      <c r="G443" s="13" t="s">
        <v>116</v>
      </c>
      <c r="H443" s="13" t="s">
        <v>101</v>
      </c>
      <c r="I443" s="21" t="s">
        <v>1550</v>
      </c>
      <c r="J443" s="21" t="s">
        <v>118</v>
      </c>
      <c r="K443" s="21" t="s">
        <v>1563</v>
      </c>
      <c r="L443" s="22" t="s">
        <v>36</v>
      </c>
      <c r="M443" s="21" t="s">
        <v>120</v>
      </c>
      <c r="N443" s="13" t="s">
        <v>106</v>
      </c>
      <c r="O443" s="23" t="n">
        <v>8.71</v>
      </c>
      <c r="P443" s="13" t="n">
        <v>1</v>
      </c>
      <c r="Q443" s="24" t="n">
        <v>46310.6402314815</v>
      </c>
      <c r="R443" s="22" t="s">
        <v>36</v>
      </c>
      <c r="S443" s="13" t="s">
        <v>107</v>
      </c>
      <c r="T443" s="13" t="str">
        <f aca="false">IF(S443="Oui",IF(R443=L443,"Identique","Changé"),"")</f>
        <v>Identique</v>
      </c>
    </row>
    <row r="444" customFormat="false" ht="35.05" hidden="false" customHeight="false" outlineLevel="0" collapsed="false">
      <c r="A444" s="13" t="s">
        <v>1564</v>
      </c>
      <c r="B444" s="13" t="s">
        <v>1558</v>
      </c>
      <c r="C444" s="13" t="n">
        <v>3</v>
      </c>
      <c r="D444" s="13" t="s">
        <v>97</v>
      </c>
      <c r="E444" s="13" t="s">
        <v>171</v>
      </c>
      <c r="F444" s="13" t="s">
        <v>728</v>
      </c>
      <c r="G444" s="13" t="s">
        <v>222</v>
      </c>
      <c r="H444" s="13" t="s">
        <v>101</v>
      </c>
      <c r="I444" s="21" t="s">
        <v>670</v>
      </c>
      <c r="J444" s="21" t="s">
        <v>224</v>
      </c>
      <c r="K444" s="21" t="s">
        <v>1565</v>
      </c>
      <c r="L444" s="22" t="s">
        <v>36</v>
      </c>
      <c r="M444" s="21" t="s">
        <v>120</v>
      </c>
      <c r="N444" s="13" t="s">
        <v>106</v>
      </c>
      <c r="O444" s="23" t="n">
        <v>15.39</v>
      </c>
      <c r="P444" s="13" t="n">
        <v>1</v>
      </c>
      <c r="Q444" s="24" t="n">
        <v>46310.6405324074</v>
      </c>
      <c r="R444" s="22" t="s">
        <v>36</v>
      </c>
      <c r="S444" s="13" t="s">
        <v>107</v>
      </c>
      <c r="T444" s="13" t="str">
        <f aca="false">IF(S444="Oui",IF(R444=L444,"Identique","Changé"),"")</f>
        <v>Identique</v>
      </c>
    </row>
    <row r="445" customFormat="false" ht="46.25" hidden="false" customHeight="false" outlineLevel="0" collapsed="false">
      <c r="A445" s="13" t="s">
        <v>1566</v>
      </c>
      <c r="B445" s="13" t="s">
        <v>1558</v>
      </c>
      <c r="C445" s="13" t="n">
        <v>4</v>
      </c>
      <c r="D445" s="13" t="s">
        <v>97</v>
      </c>
      <c r="E445" s="13" t="s">
        <v>171</v>
      </c>
      <c r="F445" s="13" t="s">
        <v>728</v>
      </c>
      <c r="G445" s="13" t="s">
        <v>172</v>
      </c>
      <c r="H445" s="13" t="s">
        <v>101</v>
      </c>
      <c r="I445" s="21" t="s">
        <v>673</v>
      </c>
      <c r="J445" s="21" t="s">
        <v>228</v>
      </c>
      <c r="K445" s="21" t="s">
        <v>1567</v>
      </c>
      <c r="L445" s="22" t="s">
        <v>36</v>
      </c>
      <c r="M445" s="21" t="s">
        <v>120</v>
      </c>
      <c r="N445" s="13" t="s">
        <v>106</v>
      </c>
      <c r="O445" s="23" t="n">
        <v>15.13</v>
      </c>
      <c r="P445" s="13" t="n">
        <v>1</v>
      </c>
      <c r="Q445" s="24" t="n">
        <v>46310.6408101852</v>
      </c>
      <c r="R445" s="22" t="s">
        <v>36</v>
      </c>
      <c r="S445" s="13" t="s">
        <v>107</v>
      </c>
      <c r="T445" s="13" t="str">
        <f aca="false">IF(S445="Oui",IF(R445=L445,"Identique","Changé"),"")</f>
        <v>Identique</v>
      </c>
    </row>
    <row r="446" customFormat="false" ht="35.05" hidden="false" customHeight="false" outlineLevel="0" collapsed="false">
      <c r="A446" s="13" t="s">
        <v>1568</v>
      </c>
      <c r="B446" s="13" t="s">
        <v>1558</v>
      </c>
      <c r="C446" s="13" t="n">
        <v>5</v>
      </c>
      <c r="D446" s="13" t="s">
        <v>97</v>
      </c>
      <c r="E446" s="13" t="s">
        <v>158</v>
      </c>
      <c r="F446" s="13" t="s">
        <v>728</v>
      </c>
      <c r="G446" s="13" t="s">
        <v>159</v>
      </c>
      <c r="H446" s="13" t="s">
        <v>101</v>
      </c>
      <c r="I446" s="21" t="s">
        <v>310</v>
      </c>
      <c r="J446" s="21" t="s">
        <v>311</v>
      </c>
      <c r="K446" s="21" t="s">
        <v>1569</v>
      </c>
      <c r="L446" s="22" t="s">
        <v>37</v>
      </c>
      <c r="M446" s="21" t="s">
        <v>163</v>
      </c>
      <c r="N446" s="13" t="s">
        <v>106</v>
      </c>
      <c r="O446" s="23" t="n">
        <v>9.72</v>
      </c>
      <c r="P446" s="13" t="n">
        <v>1</v>
      </c>
      <c r="Q446" s="24" t="n">
        <v>46310.6410416667</v>
      </c>
      <c r="R446" s="22" t="s">
        <v>37</v>
      </c>
      <c r="S446" s="13" t="s">
        <v>107</v>
      </c>
      <c r="T446" s="13" t="str">
        <f aca="false">IF(S446="Oui",IF(R446=L446,"Identique","Changé"),"")</f>
        <v>Identique</v>
      </c>
    </row>
    <row r="447" customFormat="false" ht="23.85" hidden="false" customHeight="false" outlineLevel="0" collapsed="false">
      <c r="A447" s="13" t="s">
        <v>1570</v>
      </c>
      <c r="B447" s="13" t="s">
        <v>1571</v>
      </c>
      <c r="C447" s="13" t="n">
        <v>1</v>
      </c>
      <c r="D447" s="13" t="s">
        <v>135</v>
      </c>
      <c r="E447" s="13" t="s">
        <v>114</v>
      </c>
      <c r="F447" s="13" t="s">
        <v>1572</v>
      </c>
      <c r="G447" s="13" t="s">
        <v>116</v>
      </c>
      <c r="H447" s="13" t="s">
        <v>101</v>
      </c>
      <c r="I447" s="21" t="s">
        <v>1573</v>
      </c>
      <c r="J447" s="21" t="s">
        <v>138</v>
      </c>
      <c r="K447" s="21" t="s">
        <v>1574</v>
      </c>
      <c r="L447" s="22" t="s">
        <v>37</v>
      </c>
      <c r="M447" s="21" t="s">
        <v>163</v>
      </c>
      <c r="N447" s="13" t="s">
        <v>106</v>
      </c>
      <c r="O447" s="23" t="n">
        <v>26.67</v>
      </c>
      <c r="P447" s="13" t="n">
        <v>1</v>
      </c>
      <c r="Q447" s="24" t="n">
        <v>46310.6415046296</v>
      </c>
      <c r="R447" s="22" t="s">
        <v>36</v>
      </c>
      <c r="S447" s="13" t="s">
        <v>107</v>
      </c>
      <c r="T447" s="13" t="str">
        <f aca="false">IF(S447="Oui",IF(R447=L447,"Identique","Changé"),"")</f>
        <v>Changé</v>
      </c>
    </row>
    <row r="448" customFormat="false" ht="46.25" hidden="false" customHeight="false" outlineLevel="0" collapsed="false">
      <c r="A448" s="13" t="s">
        <v>1575</v>
      </c>
      <c r="B448" s="13" t="s">
        <v>1571</v>
      </c>
      <c r="C448" s="13" t="n">
        <v>2</v>
      </c>
      <c r="D448" s="13" t="s">
        <v>135</v>
      </c>
      <c r="E448" s="13" t="s">
        <v>114</v>
      </c>
      <c r="F448" s="13" t="s">
        <v>1572</v>
      </c>
      <c r="G448" s="13" t="s">
        <v>141</v>
      </c>
      <c r="H448" s="13" t="s">
        <v>101</v>
      </c>
      <c r="I448" s="21" t="s">
        <v>1576</v>
      </c>
      <c r="J448" s="21" t="s">
        <v>143</v>
      </c>
      <c r="K448" s="21" t="s">
        <v>1577</v>
      </c>
      <c r="L448" s="22" t="s">
        <v>36</v>
      </c>
      <c r="M448" s="21" t="s">
        <v>120</v>
      </c>
      <c r="N448" s="13" t="s">
        <v>106</v>
      </c>
      <c r="O448" s="23" t="n">
        <v>23.03</v>
      </c>
      <c r="P448" s="13" t="n">
        <v>1</v>
      </c>
      <c r="Q448" s="24" t="n">
        <v>46310.6418865741</v>
      </c>
      <c r="R448" s="22" t="s">
        <v>36</v>
      </c>
      <c r="S448" s="13" t="s">
        <v>107</v>
      </c>
      <c r="T448" s="13" t="str">
        <f aca="false">IF(S448="Oui",IF(R448=L448,"Identique","Changé"),"")</f>
        <v>Identique</v>
      </c>
    </row>
    <row r="449" customFormat="false" ht="35.05" hidden="false" customHeight="false" outlineLevel="0" collapsed="false">
      <c r="A449" s="13" t="s">
        <v>1578</v>
      </c>
      <c r="B449" s="13" t="s">
        <v>1571</v>
      </c>
      <c r="C449" s="13" t="n">
        <v>3</v>
      </c>
      <c r="D449" s="13" t="s">
        <v>135</v>
      </c>
      <c r="E449" s="13" t="s">
        <v>128</v>
      </c>
      <c r="F449" s="13" t="s">
        <v>1572</v>
      </c>
      <c r="G449" s="13" t="s">
        <v>129</v>
      </c>
      <c r="H449" s="13" t="s">
        <v>101</v>
      </c>
      <c r="I449" s="21" t="s">
        <v>686</v>
      </c>
      <c r="J449" s="21" t="s">
        <v>131</v>
      </c>
      <c r="K449" s="21" t="s">
        <v>1579</v>
      </c>
      <c r="L449" s="22" t="s">
        <v>36</v>
      </c>
      <c r="M449" s="21" t="s">
        <v>120</v>
      </c>
      <c r="N449" s="13" t="s">
        <v>106</v>
      </c>
      <c r="O449" s="23" t="n">
        <v>15.5</v>
      </c>
      <c r="P449" s="13" t="n">
        <v>1</v>
      </c>
      <c r="Q449" s="24" t="n">
        <v>46310.6421875</v>
      </c>
      <c r="R449" s="22" t="s">
        <v>36</v>
      </c>
      <c r="S449" s="13" t="s">
        <v>107</v>
      </c>
      <c r="T449" s="13" t="str">
        <f aca="false">IF(S449="Oui",IF(R449=L449,"Identique","Changé"),"")</f>
        <v>Identique</v>
      </c>
    </row>
    <row r="450" customFormat="false" ht="35.05" hidden="false" customHeight="false" outlineLevel="0" collapsed="false">
      <c r="A450" s="13" t="s">
        <v>1580</v>
      </c>
      <c r="B450" s="13" t="s">
        <v>1571</v>
      </c>
      <c r="C450" s="13" t="n">
        <v>4</v>
      </c>
      <c r="D450" s="13" t="s">
        <v>135</v>
      </c>
      <c r="E450" s="13" t="s">
        <v>158</v>
      </c>
      <c r="F450" s="13" t="s">
        <v>1572</v>
      </c>
      <c r="G450" s="13" t="s">
        <v>159</v>
      </c>
      <c r="H450" s="13" t="s">
        <v>101</v>
      </c>
      <c r="I450" s="21" t="s">
        <v>310</v>
      </c>
      <c r="J450" s="21" t="s">
        <v>161</v>
      </c>
      <c r="K450" s="21" t="s">
        <v>1581</v>
      </c>
      <c r="L450" s="22" t="s">
        <v>37</v>
      </c>
      <c r="M450" s="21" t="s">
        <v>163</v>
      </c>
      <c r="N450" s="13" t="s">
        <v>106</v>
      </c>
      <c r="O450" s="23" t="n">
        <v>11.94</v>
      </c>
      <c r="P450" s="13" t="n">
        <v>1</v>
      </c>
      <c r="Q450" s="24" t="n">
        <v>46310.6424421296</v>
      </c>
      <c r="R450" s="22" t="s">
        <v>37</v>
      </c>
      <c r="S450" s="13" t="s">
        <v>107</v>
      </c>
      <c r="T450" s="13" t="str">
        <f aca="false">IF(S450="Oui",IF(R450=L450,"Identique","Changé"),"")</f>
        <v>Identique</v>
      </c>
    </row>
    <row r="451" customFormat="false" ht="35.05" hidden="false" customHeight="false" outlineLevel="0" collapsed="false">
      <c r="A451" s="13" t="s">
        <v>1582</v>
      </c>
      <c r="B451" s="13" t="s">
        <v>1571</v>
      </c>
      <c r="C451" s="13" t="n">
        <v>5</v>
      </c>
      <c r="D451" s="13" t="s">
        <v>135</v>
      </c>
      <c r="E451" s="13" t="s">
        <v>122</v>
      </c>
      <c r="F451" s="13" t="s">
        <v>1572</v>
      </c>
      <c r="G451" s="13" t="s">
        <v>123</v>
      </c>
      <c r="H451" s="13" t="s">
        <v>101</v>
      </c>
      <c r="I451" s="21" t="s">
        <v>124</v>
      </c>
      <c r="J451" s="21" t="s">
        <v>125</v>
      </c>
      <c r="K451" s="21" t="s">
        <v>1583</v>
      </c>
      <c r="L451" s="22" t="s">
        <v>36</v>
      </c>
      <c r="M451" s="21" t="s">
        <v>120</v>
      </c>
      <c r="N451" s="13" t="s">
        <v>106</v>
      </c>
      <c r="O451" s="23" t="n">
        <v>13.94</v>
      </c>
      <c r="P451" s="13" t="n">
        <v>1</v>
      </c>
      <c r="Q451" s="24" t="n">
        <v>46310.6427314815</v>
      </c>
      <c r="R451" s="22" t="s">
        <v>36</v>
      </c>
      <c r="S451" s="13" t="s">
        <v>107</v>
      </c>
      <c r="T451" s="13" t="str">
        <f aca="false">IF(S451="Oui",IF(R451=L451,"Identique","Changé"),"")</f>
        <v>Identique</v>
      </c>
    </row>
    <row r="452" customFormat="false" ht="35.05" hidden="false" customHeight="false" outlineLevel="0" collapsed="false">
      <c r="A452" s="13" t="s">
        <v>1584</v>
      </c>
      <c r="B452" s="13" t="s">
        <v>1585</v>
      </c>
      <c r="C452" s="13" t="n">
        <v>1</v>
      </c>
      <c r="D452" s="13" t="s">
        <v>97</v>
      </c>
      <c r="E452" s="13" t="s">
        <v>114</v>
      </c>
      <c r="F452" s="13" t="s">
        <v>1416</v>
      </c>
      <c r="G452" s="13" t="s">
        <v>116</v>
      </c>
      <c r="H452" s="13" t="s">
        <v>101</v>
      </c>
      <c r="I452" s="21" t="s">
        <v>1586</v>
      </c>
      <c r="J452" s="21" t="s">
        <v>118</v>
      </c>
      <c r="K452" s="21" t="s">
        <v>1587</v>
      </c>
      <c r="L452" s="22" t="s">
        <v>36</v>
      </c>
      <c r="M452" s="21" t="s">
        <v>120</v>
      </c>
      <c r="N452" s="13" t="s">
        <v>106</v>
      </c>
      <c r="O452" s="23" t="n">
        <v>36.3</v>
      </c>
      <c r="P452" s="13" t="n">
        <v>1</v>
      </c>
      <c r="Q452" s="24" t="n">
        <v>46310.6433101852</v>
      </c>
      <c r="R452" s="22" t="s">
        <v>36</v>
      </c>
      <c r="S452" s="13" t="s">
        <v>107</v>
      </c>
      <c r="T452" s="13" t="str">
        <f aca="false">IF(S452="Oui",IF(R452=L452,"Identique","Changé"),"")</f>
        <v>Identique</v>
      </c>
    </row>
    <row r="453" customFormat="false" ht="35.05" hidden="false" customHeight="false" outlineLevel="0" collapsed="false">
      <c r="A453" s="13" t="s">
        <v>1588</v>
      </c>
      <c r="B453" s="13" t="s">
        <v>1585</v>
      </c>
      <c r="C453" s="13" t="n">
        <v>2</v>
      </c>
      <c r="D453" s="13" t="s">
        <v>97</v>
      </c>
      <c r="E453" s="13" t="s">
        <v>260</v>
      </c>
      <c r="F453" s="13" t="s">
        <v>1416</v>
      </c>
      <c r="G453" s="13" t="s">
        <v>261</v>
      </c>
      <c r="H453" s="13" t="s">
        <v>101</v>
      </c>
      <c r="I453" s="21" t="s">
        <v>698</v>
      </c>
      <c r="J453" s="21" t="s">
        <v>263</v>
      </c>
      <c r="K453" s="21" t="s">
        <v>1589</v>
      </c>
      <c r="L453" s="22" t="s">
        <v>36</v>
      </c>
      <c r="M453" s="21" t="s">
        <v>120</v>
      </c>
      <c r="N453" s="13" t="s">
        <v>106</v>
      </c>
      <c r="O453" s="23" t="n">
        <v>12.43</v>
      </c>
      <c r="P453" s="13" t="n">
        <v>1</v>
      </c>
      <c r="Q453" s="24" t="n">
        <v>46310.6435648148</v>
      </c>
      <c r="R453" s="22" t="s">
        <v>36</v>
      </c>
      <c r="S453" s="13" t="s">
        <v>107</v>
      </c>
      <c r="T453" s="13" t="str">
        <f aca="false">IF(S453="Oui",IF(R453=L453,"Identique","Changé"),"")</f>
        <v>Identique</v>
      </c>
    </row>
    <row r="454" customFormat="false" ht="46.25" hidden="false" customHeight="false" outlineLevel="0" collapsed="false">
      <c r="A454" s="13" t="s">
        <v>1590</v>
      </c>
      <c r="B454" s="13" t="s">
        <v>1585</v>
      </c>
      <c r="C454" s="13" t="n">
        <v>3</v>
      </c>
      <c r="D454" s="13" t="s">
        <v>97</v>
      </c>
      <c r="E454" s="13" t="s">
        <v>158</v>
      </c>
      <c r="F454" s="13" t="s">
        <v>524</v>
      </c>
      <c r="G454" s="13" t="s">
        <v>159</v>
      </c>
      <c r="H454" s="13" t="s">
        <v>101</v>
      </c>
      <c r="I454" s="21" t="s">
        <v>1591</v>
      </c>
      <c r="J454" s="21" t="s">
        <v>161</v>
      </c>
      <c r="K454" s="21" t="s">
        <v>1592</v>
      </c>
      <c r="L454" s="22" t="s">
        <v>37</v>
      </c>
      <c r="M454" s="21" t="s">
        <v>163</v>
      </c>
      <c r="N454" s="13" t="s">
        <v>106</v>
      </c>
      <c r="O454" s="23" t="n">
        <v>10.14</v>
      </c>
      <c r="P454" s="13" t="n">
        <v>1</v>
      </c>
      <c r="Q454" s="24" t="n">
        <v>46310.6438078704</v>
      </c>
      <c r="R454" s="22" t="s">
        <v>37</v>
      </c>
      <c r="S454" s="13" t="s">
        <v>107</v>
      </c>
      <c r="T454" s="13" t="str">
        <f aca="false">IF(S454="Oui",IF(R454=L454,"Identique","Changé"),"")</f>
        <v>Identique</v>
      </c>
    </row>
    <row r="455" customFormat="false" ht="35.05" hidden="false" customHeight="false" outlineLevel="0" collapsed="false">
      <c r="A455" s="13" t="s">
        <v>1593</v>
      </c>
      <c r="B455" s="13" t="s">
        <v>1585</v>
      </c>
      <c r="C455" s="13" t="n">
        <v>4</v>
      </c>
      <c r="D455" s="13" t="s">
        <v>97</v>
      </c>
      <c r="E455" s="13" t="s">
        <v>114</v>
      </c>
      <c r="F455" s="13" t="s">
        <v>524</v>
      </c>
      <c r="G455" s="13" t="s">
        <v>141</v>
      </c>
      <c r="H455" s="13" t="s">
        <v>101</v>
      </c>
      <c r="I455" s="21" t="s">
        <v>705</v>
      </c>
      <c r="J455" s="21" t="s">
        <v>143</v>
      </c>
      <c r="K455" s="21" t="s">
        <v>1594</v>
      </c>
      <c r="L455" s="22" t="s">
        <v>36</v>
      </c>
      <c r="M455" s="21" t="s">
        <v>120</v>
      </c>
      <c r="N455" s="13" t="s">
        <v>106</v>
      </c>
      <c r="O455" s="23" t="n">
        <v>11.9</v>
      </c>
      <c r="P455" s="13" t="n">
        <v>1</v>
      </c>
      <c r="Q455" s="24" t="n">
        <v>46310.6440509259</v>
      </c>
      <c r="R455" s="22" t="s">
        <v>36</v>
      </c>
      <c r="S455" s="13" t="s">
        <v>107</v>
      </c>
      <c r="T455" s="13" t="str">
        <f aca="false">IF(S455="Oui",IF(R455=L455,"Identique","Changé"),"")</f>
        <v>Identique</v>
      </c>
    </row>
    <row r="456" customFormat="false" ht="35.05" hidden="false" customHeight="false" outlineLevel="0" collapsed="false">
      <c r="A456" s="13" t="s">
        <v>1595</v>
      </c>
      <c r="B456" s="13" t="s">
        <v>1585</v>
      </c>
      <c r="C456" s="13" t="n">
        <v>5</v>
      </c>
      <c r="D456" s="13" t="s">
        <v>97</v>
      </c>
      <c r="E456" s="13" t="s">
        <v>122</v>
      </c>
      <c r="F456" s="13" t="s">
        <v>1416</v>
      </c>
      <c r="G456" s="13" t="s">
        <v>123</v>
      </c>
      <c r="H456" s="13" t="s">
        <v>101</v>
      </c>
      <c r="I456" s="21" t="s">
        <v>1596</v>
      </c>
      <c r="J456" s="21" t="s">
        <v>125</v>
      </c>
      <c r="K456" s="21" t="s">
        <v>1597</v>
      </c>
      <c r="L456" s="22" t="s">
        <v>36</v>
      </c>
      <c r="M456" s="21" t="s">
        <v>120</v>
      </c>
      <c r="N456" s="13" t="s">
        <v>106</v>
      </c>
      <c r="O456" s="23" t="n">
        <v>11.93</v>
      </c>
      <c r="P456" s="13" t="n">
        <v>1</v>
      </c>
      <c r="Q456" s="24" t="n">
        <v>46310.6443055556</v>
      </c>
      <c r="R456" s="22" t="s">
        <v>36</v>
      </c>
      <c r="S456" s="13" t="s">
        <v>107</v>
      </c>
      <c r="T456" s="13" t="str">
        <f aca="false">IF(S456="Oui",IF(R456=L456,"Identique","Changé"),"")</f>
        <v>Identique</v>
      </c>
    </row>
    <row r="457" customFormat="false" ht="35.05" hidden="false" customHeight="false" outlineLevel="0" collapsed="false">
      <c r="A457" s="13" t="s">
        <v>1598</v>
      </c>
      <c r="B457" s="13" t="s">
        <v>1599</v>
      </c>
      <c r="C457" s="13" t="n">
        <v>1</v>
      </c>
      <c r="D457" s="13" t="s">
        <v>135</v>
      </c>
      <c r="E457" s="13" t="s">
        <v>122</v>
      </c>
      <c r="F457" s="13" t="s">
        <v>1600</v>
      </c>
      <c r="G457" s="13" t="s">
        <v>123</v>
      </c>
      <c r="H457" s="13" t="s">
        <v>101</v>
      </c>
      <c r="I457" s="21" t="s">
        <v>1601</v>
      </c>
      <c r="J457" s="21" t="s">
        <v>277</v>
      </c>
      <c r="K457" s="21" t="s">
        <v>1602</v>
      </c>
      <c r="L457" s="22" t="s">
        <v>36</v>
      </c>
      <c r="M457" s="21" t="s">
        <v>120</v>
      </c>
      <c r="N457" s="13" t="s">
        <v>106</v>
      </c>
      <c r="O457" s="23" t="n">
        <v>35.11</v>
      </c>
      <c r="P457" s="13" t="n">
        <v>1</v>
      </c>
      <c r="Q457" s="24" t="n">
        <v>46310.6448958333</v>
      </c>
      <c r="R457" s="22" t="s">
        <v>36</v>
      </c>
      <c r="S457" s="13" t="s">
        <v>107</v>
      </c>
      <c r="T457" s="13" t="str">
        <f aca="false">IF(S457="Oui",IF(R457=L457,"Identique","Changé"),"")</f>
        <v>Identique</v>
      </c>
    </row>
    <row r="458" customFormat="false" ht="46.25" hidden="false" customHeight="false" outlineLevel="0" collapsed="false">
      <c r="A458" s="13" t="s">
        <v>1603</v>
      </c>
      <c r="B458" s="13" t="s">
        <v>1599</v>
      </c>
      <c r="C458" s="13" t="n">
        <v>2</v>
      </c>
      <c r="D458" s="13" t="s">
        <v>135</v>
      </c>
      <c r="E458" s="13" t="s">
        <v>158</v>
      </c>
      <c r="F458" s="13" t="s">
        <v>1600</v>
      </c>
      <c r="G458" s="13" t="s">
        <v>159</v>
      </c>
      <c r="H458" s="13" t="s">
        <v>101</v>
      </c>
      <c r="I458" s="21" t="s">
        <v>310</v>
      </c>
      <c r="J458" s="21" t="s">
        <v>161</v>
      </c>
      <c r="K458" s="21" t="s">
        <v>1604</v>
      </c>
      <c r="L458" s="22" t="s">
        <v>37</v>
      </c>
      <c r="M458" s="21" t="s">
        <v>163</v>
      </c>
      <c r="N458" s="13" t="s">
        <v>106</v>
      </c>
      <c r="O458" s="23" t="n">
        <v>9.74</v>
      </c>
      <c r="P458" s="13" t="n">
        <v>1</v>
      </c>
      <c r="Q458" s="24" t="n">
        <v>46310.6451273148</v>
      </c>
      <c r="R458" s="22" t="s">
        <v>37</v>
      </c>
      <c r="S458" s="13" t="s">
        <v>107</v>
      </c>
      <c r="T458" s="13" t="str">
        <f aca="false">IF(S458="Oui",IF(R458=L458,"Identique","Changé"),"")</f>
        <v>Identique</v>
      </c>
    </row>
    <row r="459" customFormat="false" ht="46.25" hidden="false" customHeight="false" outlineLevel="0" collapsed="false">
      <c r="A459" s="13" t="s">
        <v>1605</v>
      </c>
      <c r="B459" s="13" t="s">
        <v>1599</v>
      </c>
      <c r="C459" s="13" t="n">
        <v>3</v>
      </c>
      <c r="D459" s="13" t="s">
        <v>135</v>
      </c>
      <c r="E459" s="13" t="s">
        <v>122</v>
      </c>
      <c r="F459" s="13" t="s">
        <v>1600</v>
      </c>
      <c r="G459" s="13" t="s">
        <v>282</v>
      </c>
      <c r="H459" s="13" t="s">
        <v>101</v>
      </c>
      <c r="I459" s="21" t="s">
        <v>718</v>
      </c>
      <c r="J459" s="21" t="s">
        <v>284</v>
      </c>
      <c r="K459" s="21" t="s">
        <v>1606</v>
      </c>
      <c r="L459" s="22" t="s">
        <v>37</v>
      </c>
      <c r="M459" s="21" t="s">
        <v>163</v>
      </c>
      <c r="N459" s="13" t="s">
        <v>106</v>
      </c>
      <c r="O459" s="23" t="n">
        <v>12.4</v>
      </c>
      <c r="P459" s="13" t="n">
        <v>1</v>
      </c>
      <c r="Q459" s="24" t="n">
        <v>46310.6453935185</v>
      </c>
      <c r="R459" s="22" t="s">
        <v>37</v>
      </c>
      <c r="S459" s="13" t="s">
        <v>107</v>
      </c>
      <c r="T459" s="13" t="str">
        <f aca="false">IF(S459="Oui",IF(R459=L459,"Identique","Changé"),"")</f>
        <v>Identique</v>
      </c>
    </row>
    <row r="460" customFormat="false" ht="46.25" hidden="false" customHeight="false" outlineLevel="0" collapsed="false">
      <c r="A460" s="13" t="s">
        <v>1607</v>
      </c>
      <c r="B460" s="13" t="s">
        <v>1599</v>
      </c>
      <c r="C460" s="13" t="n">
        <v>4</v>
      </c>
      <c r="D460" s="13" t="s">
        <v>135</v>
      </c>
      <c r="E460" s="13" t="s">
        <v>185</v>
      </c>
      <c r="F460" s="13" t="s">
        <v>1600</v>
      </c>
      <c r="G460" s="13" t="s">
        <v>380</v>
      </c>
      <c r="H460" s="13" t="s">
        <v>152</v>
      </c>
      <c r="I460" s="21" t="s">
        <v>1608</v>
      </c>
      <c r="J460" s="21" t="s">
        <v>154</v>
      </c>
      <c r="K460" s="21" t="s">
        <v>1609</v>
      </c>
      <c r="L460" s="22" t="s">
        <v>40</v>
      </c>
      <c r="M460" s="21" t="s">
        <v>156</v>
      </c>
      <c r="N460" s="13" t="s">
        <v>106</v>
      </c>
      <c r="O460" s="23" t="n">
        <v>11.27</v>
      </c>
      <c r="P460" s="13" t="n">
        <v>1</v>
      </c>
      <c r="Q460" s="24" t="n">
        <v>46310.6456365741</v>
      </c>
      <c r="R460" s="22" t="s">
        <v>40</v>
      </c>
      <c r="S460" s="13" t="s">
        <v>107</v>
      </c>
      <c r="T460" s="13" t="str">
        <f aca="false">IF(S460="Oui",IF(R460=L460,"Identique","Changé"),"")</f>
        <v>Identique</v>
      </c>
    </row>
    <row r="461" customFormat="false" ht="23.85" hidden="false" customHeight="false" outlineLevel="0" collapsed="false">
      <c r="A461" s="13" t="s">
        <v>1610</v>
      </c>
      <c r="B461" s="13" t="s">
        <v>1599</v>
      </c>
      <c r="C461" s="13" t="n">
        <v>5</v>
      </c>
      <c r="D461" s="13" t="s">
        <v>135</v>
      </c>
      <c r="E461" s="13" t="s">
        <v>128</v>
      </c>
      <c r="F461" s="13" t="s">
        <v>1600</v>
      </c>
      <c r="G461" s="13" t="s">
        <v>193</v>
      </c>
      <c r="H461" s="13" t="s">
        <v>101</v>
      </c>
      <c r="I461" s="21" t="s">
        <v>1611</v>
      </c>
      <c r="J461" s="21" t="s">
        <v>1196</v>
      </c>
      <c r="K461" s="21" t="s">
        <v>1612</v>
      </c>
      <c r="L461" s="22" t="s">
        <v>36</v>
      </c>
      <c r="M461" s="21" t="s">
        <v>120</v>
      </c>
      <c r="N461" s="13" t="s">
        <v>106</v>
      </c>
      <c r="O461" s="23" t="n">
        <v>13.43</v>
      </c>
      <c r="P461" s="13" t="n">
        <v>1</v>
      </c>
      <c r="Q461" s="24" t="n">
        <v>46310.6459143519</v>
      </c>
      <c r="R461" s="22" t="s">
        <v>36</v>
      </c>
      <c r="S461" s="13" t="s">
        <v>107</v>
      </c>
      <c r="T461" s="13" t="str">
        <f aca="false">IF(S461="Oui",IF(R461=L461,"Identique","Changé"),"")</f>
        <v>Identique</v>
      </c>
    </row>
    <row r="462" customFormat="false" ht="79.85" hidden="false" customHeight="false" outlineLevel="0" collapsed="false">
      <c r="A462" s="13" t="s">
        <v>1613</v>
      </c>
      <c r="B462" s="13" t="s">
        <v>1614</v>
      </c>
      <c r="C462" s="13" t="n">
        <v>1</v>
      </c>
      <c r="D462" s="13" t="s">
        <v>97</v>
      </c>
      <c r="E462" s="13" t="s">
        <v>158</v>
      </c>
      <c r="F462" s="13" t="s">
        <v>1615</v>
      </c>
      <c r="G462" s="13" t="s">
        <v>159</v>
      </c>
      <c r="H462" s="13" t="s">
        <v>101</v>
      </c>
      <c r="I462" s="21" t="s">
        <v>1616</v>
      </c>
      <c r="J462" s="21" t="s">
        <v>233</v>
      </c>
      <c r="K462" s="21" t="s">
        <v>1617</v>
      </c>
      <c r="L462" s="22" t="s">
        <v>37</v>
      </c>
      <c r="M462" s="21" t="s">
        <v>163</v>
      </c>
      <c r="N462" s="13" t="s">
        <v>106</v>
      </c>
      <c r="O462" s="23" t="n">
        <v>73.45</v>
      </c>
      <c r="P462" s="13" t="n">
        <v>1</v>
      </c>
      <c r="Q462" s="24" t="n">
        <v>46310.6469444444</v>
      </c>
      <c r="R462" s="22" t="s">
        <v>37</v>
      </c>
      <c r="S462" s="13" t="s">
        <v>107</v>
      </c>
      <c r="T462" s="13" t="str">
        <f aca="false">IF(S462="Oui",IF(R462=L462,"Identique","Changé"),"")</f>
        <v>Identique</v>
      </c>
    </row>
    <row r="463" customFormat="false" ht="35.05" hidden="false" customHeight="false" outlineLevel="0" collapsed="false">
      <c r="A463" s="13" t="s">
        <v>1618</v>
      </c>
      <c r="B463" s="13" t="s">
        <v>1614</v>
      </c>
      <c r="C463" s="13" t="n">
        <v>2</v>
      </c>
      <c r="D463" s="13" t="s">
        <v>97</v>
      </c>
      <c r="E463" s="13" t="s">
        <v>98</v>
      </c>
      <c r="F463" s="13" t="s">
        <v>1615</v>
      </c>
      <c r="G463" s="13" t="s">
        <v>109</v>
      </c>
      <c r="H463" s="13" t="s">
        <v>101</v>
      </c>
      <c r="I463" s="21" t="s">
        <v>732</v>
      </c>
      <c r="J463" s="21" t="s">
        <v>111</v>
      </c>
      <c r="K463" s="21" t="s">
        <v>1619</v>
      </c>
      <c r="L463" s="22" t="s">
        <v>38</v>
      </c>
      <c r="M463" s="21" t="s">
        <v>1620</v>
      </c>
      <c r="N463" s="13" t="s">
        <v>1085</v>
      </c>
      <c r="O463" s="23" t="n">
        <v>17.14</v>
      </c>
      <c r="P463" s="13" t="n">
        <v>1</v>
      </c>
      <c r="Q463" s="24" t="n">
        <v>46310.6472569444</v>
      </c>
      <c r="R463" s="22" t="s">
        <v>36</v>
      </c>
      <c r="S463" s="13" t="s">
        <v>107</v>
      </c>
      <c r="T463" s="13" t="str">
        <f aca="false">IF(S463="Oui",IF(R463=L463,"Identique","Changé"),"")</f>
        <v>Changé</v>
      </c>
    </row>
    <row r="464" customFormat="false" ht="46.25" hidden="false" customHeight="false" outlineLevel="0" collapsed="false">
      <c r="A464" s="13" t="s">
        <v>1621</v>
      </c>
      <c r="B464" s="13" t="s">
        <v>1614</v>
      </c>
      <c r="C464" s="13" t="n">
        <v>3</v>
      </c>
      <c r="D464" s="13" t="s">
        <v>97</v>
      </c>
      <c r="E464" s="13" t="s">
        <v>171</v>
      </c>
      <c r="F464" s="13" t="s">
        <v>1615</v>
      </c>
      <c r="G464" s="13" t="s">
        <v>222</v>
      </c>
      <c r="H464" s="13" t="s">
        <v>101</v>
      </c>
      <c r="I464" s="21" t="s">
        <v>736</v>
      </c>
      <c r="J464" s="21" t="s">
        <v>334</v>
      </c>
      <c r="K464" s="21" t="s">
        <v>1622</v>
      </c>
      <c r="L464" s="22" t="s">
        <v>38</v>
      </c>
      <c r="M464" s="21" t="s">
        <v>1620</v>
      </c>
      <c r="N464" s="13" t="s">
        <v>1085</v>
      </c>
      <c r="O464" s="23" t="n">
        <v>23.81</v>
      </c>
      <c r="P464" s="13" t="n">
        <v>1</v>
      </c>
      <c r="Q464" s="24" t="n">
        <v>46310.647650463</v>
      </c>
      <c r="R464" s="22" t="s">
        <v>36</v>
      </c>
      <c r="S464" s="13" t="s">
        <v>107</v>
      </c>
      <c r="T464" s="13" t="str">
        <f aca="false">IF(S464="Oui",IF(R464=L464,"Identique","Changé"),"")</f>
        <v>Changé</v>
      </c>
    </row>
    <row r="465" customFormat="false" ht="35.05" hidden="false" customHeight="false" outlineLevel="0" collapsed="false">
      <c r="A465" s="13" t="s">
        <v>1623</v>
      </c>
      <c r="B465" s="13" t="s">
        <v>1614</v>
      </c>
      <c r="C465" s="13" t="n">
        <v>4</v>
      </c>
      <c r="D465" s="13" t="s">
        <v>97</v>
      </c>
      <c r="E465" s="13" t="s">
        <v>128</v>
      </c>
      <c r="F465" s="13" t="s">
        <v>1615</v>
      </c>
      <c r="G465" s="13" t="s">
        <v>968</v>
      </c>
      <c r="H465" s="13" t="s">
        <v>152</v>
      </c>
      <c r="I465" s="21" t="s">
        <v>1624</v>
      </c>
      <c r="J465" s="21" t="s">
        <v>154</v>
      </c>
      <c r="K465" s="21" t="s">
        <v>1625</v>
      </c>
      <c r="L465" s="22" t="s">
        <v>41</v>
      </c>
      <c r="M465" s="21" t="s">
        <v>1626</v>
      </c>
      <c r="N465" s="13" t="s">
        <v>1085</v>
      </c>
      <c r="O465" s="23" t="n">
        <v>16.29</v>
      </c>
      <c r="P465" s="13" t="n">
        <v>1</v>
      </c>
      <c r="Q465" s="24" t="n">
        <v>46310.6479513889</v>
      </c>
      <c r="R465" s="22" t="s">
        <v>40</v>
      </c>
      <c r="S465" s="13" t="s">
        <v>107</v>
      </c>
      <c r="T465" s="13" t="str">
        <f aca="false">IF(S465="Oui",IF(R465=L465,"Identique","Changé"),"")</f>
        <v>Changé</v>
      </c>
    </row>
    <row r="466" customFormat="false" ht="57.45" hidden="false" customHeight="false" outlineLevel="0" collapsed="false">
      <c r="A466" s="13" t="s">
        <v>1627</v>
      </c>
      <c r="B466" s="13" t="s">
        <v>1614</v>
      </c>
      <c r="C466" s="13" t="n">
        <v>5</v>
      </c>
      <c r="D466" s="13" t="s">
        <v>97</v>
      </c>
      <c r="E466" s="13" t="s">
        <v>122</v>
      </c>
      <c r="F466" s="13" t="s">
        <v>1615</v>
      </c>
      <c r="G466" s="13" t="s">
        <v>231</v>
      </c>
      <c r="H466" s="13" t="s">
        <v>101</v>
      </c>
      <c r="I466" s="21" t="s">
        <v>1628</v>
      </c>
      <c r="J466" s="21" t="s">
        <v>233</v>
      </c>
      <c r="K466" s="21" t="s">
        <v>1629</v>
      </c>
      <c r="L466" s="22" t="s">
        <v>38</v>
      </c>
      <c r="M466" s="21" t="s">
        <v>1620</v>
      </c>
      <c r="N466" s="13" t="s">
        <v>1085</v>
      </c>
      <c r="O466" s="23" t="n">
        <v>13.02</v>
      </c>
      <c r="P466" s="13" t="n">
        <v>1</v>
      </c>
      <c r="Q466" s="24" t="n">
        <v>46310.6482175926</v>
      </c>
      <c r="R466" s="22" t="s">
        <v>36</v>
      </c>
      <c r="S466" s="13" t="s">
        <v>107</v>
      </c>
      <c r="T466" s="13" t="str">
        <f aca="false">IF(S466="Oui",IF(R466=L466,"Identique","Changé"),"")</f>
        <v>Changé</v>
      </c>
    </row>
    <row r="467" customFormat="false" ht="35.05" hidden="false" customHeight="false" outlineLevel="0" collapsed="false">
      <c r="A467" s="13" t="s">
        <v>1630</v>
      </c>
      <c r="B467" s="13" t="s">
        <v>1631</v>
      </c>
      <c r="C467" s="13" t="n">
        <v>1</v>
      </c>
      <c r="D467" s="13" t="s">
        <v>135</v>
      </c>
      <c r="E467" s="13" t="s">
        <v>128</v>
      </c>
      <c r="F467" s="13" t="s">
        <v>1632</v>
      </c>
      <c r="G467" s="13" t="s">
        <v>193</v>
      </c>
      <c r="H467" s="13" t="s">
        <v>101</v>
      </c>
      <c r="I467" s="21" t="s">
        <v>1633</v>
      </c>
      <c r="J467" s="21" t="s">
        <v>195</v>
      </c>
      <c r="K467" s="21" t="s">
        <v>1634</v>
      </c>
      <c r="L467" s="22" t="s">
        <v>36</v>
      </c>
      <c r="M467" s="21" t="s">
        <v>120</v>
      </c>
      <c r="N467" s="13" t="s">
        <v>106</v>
      </c>
      <c r="O467" s="23" t="n">
        <v>38.2</v>
      </c>
      <c r="P467" s="13" t="n">
        <v>1</v>
      </c>
      <c r="Q467" s="24" t="n">
        <v>46310.6488194445</v>
      </c>
      <c r="R467" s="22" t="s">
        <v>36</v>
      </c>
      <c r="S467" s="13" t="s">
        <v>107</v>
      </c>
      <c r="T467" s="13" t="str">
        <f aca="false">IF(S467="Oui",IF(R467=L467,"Identique","Changé"),"")</f>
        <v>Identique</v>
      </c>
    </row>
    <row r="468" customFormat="false" ht="35.05" hidden="false" customHeight="false" outlineLevel="0" collapsed="false">
      <c r="A468" s="13" t="s">
        <v>1635</v>
      </c>
      <c r="B468" s="13" t="s">
        <v>1631</v>
      </c>
      <c r="C468" s="13" t="n">
        <v>2</v>
      </c>
      <c r="D468" s="13" t="s">
        <v>135</v>
      </c>
      <c r="E468" s="13" t="s">
        <v>128</v>
      </c>
      <c r="F468" s="13" t="s">
        <v>1632</v>
      </c>
      <c r="G468" s="13" t="s">
        <v>129</v>
      </c>
      <c r="H468" s="13" t="s">
        <v>101</v>
      </c>
      <c r="I468" s="21" t="s">
        <v>198</v>
      </c>
      <c r="J468" s="21" t="s">
        <v>199</v>
      </c>
      <c r="K468" s="21" t="s">
        <v>1636</v>
      </c>
      <c r="L468" s="22" t="s">
        <v>36</v>
      </c>
      <c r="M468" s="21" t="s">
        <v>120</v>
      </c>
      <c r="N468" s="13" t="s">
        <v>106</v>
      </c>
      <c r="O468" s="23" t="n">
        <v>15.3</v>
      </c>
      <c r="P468" s="13" t="n">
        <v>1</v>
      </c>
      <c r="Q468" s="24" t="n">
        <v>46310.6491087963</v>
      </c>
      <c r="R468" s="22" t="s">
        <v>36</v>
      </c>
      <c r="S468" s="13" t="s">
        <v>107</v>
      </c>
      <c r="T468" s="13" t="str">
        <f aca="false">IF(S468="Oui",IF(R468=L468,"Identique","Changé"),"")</f>
        <v>Identique</v>
      </c>
    </row>
    <row r="469" customFormat="false" ht="35.05" hidden="false" customHeight="false" outlineLevel="0" collapsed="false">
      <c r="A469" s="13" t="s">
        <v>1637</v>
      </c>
      <c r="B469" s="13" t="s">
        <v>1631</v>
      </c>
      <c r="C469" s="13" t="n">
        <v>3</v>
      </c>
      <c r="D469" s="13" t="s">
        <v>135</v>
      </c>
      <c r="E469" s="13" t="s">
        <v>122</v>
      </c>
      <c r="F469" s="13" t="s">
        <v>1632</v>
      </c>
      <c r="G469" s="13" t="s">
        <v>231</v>
      </c>
      <c r="H469" s="13" t="s">
        <v>101</v>
      </c>
      <c r="I469" s="21" t="s">
        <v>1638</v>
      </c>
      <c r="J469" s="21" t="s">
        <v>161</v>
      </c>
      <c r="K469" s="21" t="s">
        <v>1639</v>
      </c>
      <c r="L469" s="22" t="s">
        <v>36</v>
      </c>
      <c r="M469" s="21" t="s">
        <v>235</v>
      </c>
      <c r="N469" s="13" t="s">
        <v>106</v>
      </c>
      <c r="O469" s="23" t="n">
        <v>10.3</v>
      </c>
      <c r="P469" s="13" t="n">
        <v>1</v>
      </c>
      <c r="Q469" s="24" t="n">
        <v>46310.6493402778</v>
      </c>
      <c r="R469" s="22" t="s">
        <v>36</v>
      </c>
      <c r="S469" s="13" t="s">
        <v>107</v>
      </c>
      <c r="T469" s="13" t="str">
        <f aca="false">IF(S469="Oui",IF(R469=L469,"Identique","Changé"),"")</f>
        <v>Identique</v>
      </c>
    </row>
    <row r="470" customFormat="false" ht="23.85" hidden="false" customHeight="false" outlineLevel="0" collapsed="false">
      <c r="A470" s="13" t="s">
        <v>1640</v>
      </c>
      <c r="B470" s="13" t="s">
        <v>1631</v>
      </c>
      <c r="C470" s="13" t="n">
        <v>4</v>
      </c>
      <c r="D470" s="13" t="s">
        <v>135</v>
      </c>
      <c r="E470" s="13" t="s">
        <v>260</v>
      </c>
      <c r="F470" s="13" t="s">
        <v>1632</v>
      </c>
      <c r="G470" s="13" t="s">
        <v>261</v>
      </c>
      <c r="H470" s="13" t="s">
        <v>101</v>
      </c>
      <c r="I470" s="21" t="s">
        <v>753</v>
      </c>
      <c r="J470" s="21" t="s">
        <v>263</v>
      </c>
      <c r="K470" s="21" t="s">
        <v>1641</v>
      </c>
      <c r="L470" s="22" t="s">
        <v>36</v>
      </c>
      <c r="M470" s="21" t="s">
        <v>120</v>
      </c>
      <c r="N470" s="13" t="s">
        <v>106</v>
      </c>
      <c r="O470" s="23" t="n">
        <v>14.98</v>
      </c>
      <c r="P470" s="13" t="n">
        <v>1</v>
      </c>
      <c r="Q470" s="24" t="n">
        <v>46310.6496296296</v>
      </c>
      <c r="R470" s="22" t="s">
        <v>36</v>
      </c>
      <c r="S470" s="13" t="s">
        <v>107</v>
      </c>
      <c r="T470" s="13" t="str">
        <f aca="false">IF(S470="Oui",IF(R470=L470,"Identique","Changé"),"")</f>
        <v>Identique</v>
      </c>
    </row>
    <row r="471" customFormat="false" ht="35.05" hidden="false" customHeight="false" outlineLevel="0" collapsed="false">
      <c r="A471" s="13" t="s">
        <v>1642</v>
      </c>
      <c r="B471" s="13" t="s">
        <v>1631</v>
      </c>
      <c r="C471" s="13" t="n">
        <v>5</v>
      </c>
      <c r="D471" s="13" t="s">
        <v>135</v>
      </c>
      <c r="E471" s="13" t="s">
        <v>114</v>
      </c>
      <c r="F471" s="13" t="s">
        <v>1632</v>
      </c>
      <c r="G471" s="13" t="s">
        <v>116</v>
      </c>
      <c r="H471" s="13" t="s">
        <v>101</v>
      </c>
      <c r="I471" s="21" t="s">
        <v>756</v>
      </c>
      <c r="J471" s="21" t="s">
        <v>138</v>
      </c>
      <c r="K471" s="21" t="s">
        <v>1643</v>
      </c>
      <c r="L471" s="22" t="s">
        <v>36</v>
      </c>
      <c r="M471" s="21" t="s">
        <v>120</v>
      </c>
      <c r="N471" s="13" t="s">
        <v>106</v>
      </c>
      <c r="O471" s="23" t="n">
        <v>10.7</v>
      </c>
      <c r="P471" s="13" t="n">
        <v>1</v>
      </c>
      <c r="Q471" s="24" t="n">
        <v>46310.6498611111</v>
      </c>
      <c r="R471" s="22" t="s">
        <v>36</v>
      </c>
      <c r="S471" s="13" t="s">
        <v>107</v>
      </c>
      <c r="T471" s="13" t="str">
        <f aca="false">IF(S471="Oui",IF(R471=L471,"Identique","Changé"),"")</f>
        <v>Identique</v>
      </c>
    </row>
    <row r="472" customFormat="false" ht="57.45" hidden="false" customHeight="false" outlineLevel="0" collapsed="false">
      <c r="A472" s="13" t="s">
        <v>1644</v>
      </c>
      <c r="B472" s="13" t="s">
        <v>1645</v>
      </c>
      <c r="C472" s="13" t="n">
        <v>1</v>
      </c>
      <c r="D472" s="13" t="s">
        <v>97</v>
      </c>
      <c r="E472" s="13" t="s">
        <v>171</v>
      </c>
      <c r="F472" s="13" t="s">
        <v>1298</v>
      </c>
      <c r="G472" s="13" t="s">
        <v>222</v>
      </c>
      <c r="H472" s="13" t="s">
        <v>101</v>
      </c>
      <c r="I472" s="21" t="s">
        <v>1646</v>
      </c>
      <c r="J472" s="21" t="s">
        <v>334</v>
      </c>
      <c r="K472" s="21" t="s">
        <v>1647</v>
      </c>
      <c r="L472" s="22" t="s">
        <v>36</v>
      </c>
      <c r="M472" s="21" t="s">
        <v>120</v>
      </c>
      <c r="N472" s="13" t="s">
        <v>106</v>
      </c>
      <c r="O472" s="23" t="n">
        <v>37.86</v>
      </c>
      <c r="P472" s="13" t="n">
        <v>1</v>
      </c>
      <c r="Q472" s="24" t="n">
        <v>46310.650462963</v>
      </c>
      <c r="R472" s="22" t="s">
        <v>36</v>
      </c>
      <c r="S472" s="13" t="s">
        <v>107</v>
      </c>
      <c r="T472" s="13" t="str">
        <f aca="false">IF(S472="Oui",IF(R472=L472,"Identique","Changé"),"")</f>
        <v>Identique</v>
      </c>
    </row>
    <row r="473" customFormat="false" ht="35.05" hidden="false" customHeight="false" outlineLevel="0" collapsed="false">
      <c r="A473" s="13" t="s">
        <v>1648</v>
      </c>
      <c r="B473" s="13" t="s">
        <v>1645</v>
      </c>
      <c r="C473" s="13" t="n">
        <v>2</v>
      </c>
      <c r="D473" s="13" t="s">
        <v>97</v>
      </c>
      <c r="E473" s="13" t="s">
        <v>122</v>
      </c>
      <c r="F473" s="13" t="s">
        <v>1298</v>
      </c>
      <c r="G473" s="13" t="s">
        <v>231</v>
      </c>
      <c r="H473" s="13" t="s">
        <v>101</v>
      </c>
      <c r="I473" s="21" t="s">
        <v>1638</v>
      </c>
      <c r="J473" s="21" t="s">
        <v>1649</v>
      </c>
      <c r="K473" s="21" t="s">
        <v>1650</v>
      </c>
      <c r="L473" s="22" t="s">
        <v>36</v>
      </c>
      <c r="M473" s="21" t="s">
        <v>235</v>
      </c>
      <c r="N473" s="13" t="s">
        <v>106</v>
      </c>
      <c r="O473" s="23" t="n">
        <v>11.28</v>
      </c>
      <c r="P473" s="13" t="n">
        <v>1</v>
      </c>
      <c r="Q473" s="24" t="n">
        <v>46310.6507175926</v>
      </c>
      <c r="R473" s="22" t="s">
        <v>36</v>
      </c>
      <c r="S473" s="13" t="s">
        <v>107</v>
      </c>
      <c r="T473" s="13" t="str">
        <f aca="false">IF(S473="Oui",IF(R473=L473,"Identique","Changé"),"")</f>
        <v>Identique</v>
      </c>
    </row>
    <row r="474" customFormat="false" ht="35.05" hidden="false" customHeight="false" outlineLevel="0" collapsed="false">
      <c r="A474" s="13" t="s">
        <v>1651</v>
      </c>
      <c r="B474" s="13" t="s">
        <v>1645</v>
      </c>
      <c r="C474" s="13" t="n">
        <v>3</v>
      </c>
      <c r="D474" s="13" t="s">
        <v>97</v>
      </c>
      <c r="E474" s="13" t="s">
        <v>122</v>
      </c>
      <c r="F474" s="13" t="s">
        <v>1298</v>
      </c>
      <c r="G474" s="13" t="s">
        <v>123</v>
      </c>
      <c r="H474" s="13" t="s">
        <v>101</v>
      </c>
      <c r="I474" s="21" t="s">
        <v>384</v>
      </c>
      <c r="J474" s="21" t="s">
        <v>1300</v>
      </c>
      <c r="K474" s="21" t="s">
        <v>1652</v>
      </c>
      <c r="L474" s="22" t="s">
        <v>36</v>
      </c>
      <c r="M474" s="21" t="s">
        <v>120</v>
      </c>
      <c r="N474" s="13" t="s">
        <v>106</v>
      </c>
      <c r="O474" s="23" t="n">
        <v>11.34</v>
      </c>
      <c r="P474" s="13" t="n">
        <v>1</v>
      </c>
      <c r="Q474" s="24" t="n">
        <v>46310.6509490741</v>
      </c>
      <c r="R474" s="22" t="s">
        <v>36</v>
      </c>
      <c r="S474" s="13" t="s">
        <v>107</v>
      </c>
      <c r="T474" s="13" t="str">
        <f aca="false">IF(S474="Oui",IF(R474=L474,"Identique","Changé"),"")</f>
        <v>Identique</v>
      </c>
    </row>
    <row r="475" customFormat="false" ht="68.65" hidden="false" customHeight="false" outlineLevel="0" collapsed="false">
      <c r="A475" s="13" t="s">
        <v>1653</v>
      </c>
      <c r="B475" s="13" t="s">
        <v>1645</v>
      </c>
      <c r="C475" s="13" t="n">
        <v>4</v>
      </c>
      <c r="D475" s="13" t="s">
        <v>97</v>
      </c>
      <c r="E475" s="13" t="s">
        <v>158</v>
      </c>
      <c r="F475" s="13" t="s">
        <v>1298</v>
      </c>
      <c r="G475" s="13" t="s">
        <v>343</v>
      </c>
      <c r="H475" s="13" t="s">
        <v>101</v>
      </c>
      <c r="I475" s="21" t="s">
        <v>1654</v>
      </c>
      <c r="J475" s="21" t="s">
        <v>233</v>
      </c>
      <c r="K475" s="21" t="s">
        <v>1655</v>
      </c>
      <c r="L475" s="22" t="s">
        <v>36</v>
      </c>
      <c r="M475" s="21" t="s">
        <v>235</v>
      </c>
      <c r="N475" s="13" t="s">
        <v>106</v>
      </c>
      <c r="O475" s="23" t="n">
        <v>15.56</v>
      </c>
      <c r="P475" s="13" t="n">
        <v>1</v>
      </c>
      <c r="Q475" s="24" t="n">
        <v>46310.65125</v>
      </c>
      <c r="R475" s="22" t="s">
        <v>36</v>
      </c>
      <c r="S475" s="13" t="s">
        <v>107</v>
      </c>
      <c r="T475" s="13" t="str">
        <f aca="false">IF(S475="Oui",IF(R475=L475,"Identique","Changé"),"")</f>
        <v>Identique</v>
      </c>
    </row>
    <row r="476" customFormat="false" ht="35.05" hidden="false" customHeight="false" outlineLevel="0" collapsed="false">
      <c r="A476" s="13" t="s">
        <v>1656</v>
      </c>
      <c r="B476" s="13" t="s">
        <v>1645</v>
      </c>
      <c r="C476" s="13" t="n">
        <v>5</v>
      </c>
      <c r="D476" s="13" t="s">
        <v>97</v>
      </c>
      <c r="E476" s="13" t="s">
        <v>128</v>
      </c>
      <c r="F476" s="13" t="s">
        <v>1298</v>
      </c>
      <c r="G476" s="13" t="s">
        <v>290</v>
      </c>
      <c r="H476" s="13" t="s">
        <v>101</v>
      </c>
      <c r="I476" s="21" t="s">
        <v>1220</v>
      </c>
      <c r="J476" s="21" t="s">
        <v>131</v>
      </c>
      <c r="K476" s="21" t="s">
        <v>1657</v>
      </c>
      <c r="L476" s="22" t="s">
        <v>36</v>
      </c>
      <c r="M476" s="21" t="s">
        <v>120</v>
      </c>
      <c r="N476" s="13" t="s">
        <v>106</v>
      </c>
      <c r="O476" s="23" t="n">
        <v>10.44</v>
      </c>
      <c r="P476" s="13" t="n">
        <v>1</v>
      </c>
      <c r="Q476" s="24" t="n">
        <v>46310.6514814815</v>
      </c>
      <c r="R476" s="22" t="s">
        <v>36</v>
      </c>
      <c r="S476" s="13" t="s">
        <v>107</v>
      </c>
      <c r="T476" s="13" t="str">
        <f aca="false">IF(S476="Oui",IF(R476=L476,"Identique","Changé"),"")</f>
        <v>Identique</v>
      </c>
    </row>
    <row r="477" customFormat="false" ht="23.85" hidden="false" customHeight="false" outlineLevel="0" collapsed="false">
      <c r="A477" s="13" t="s">
        <v>1658</v>
      </c>
      <c r="B477" s="13" t="s">
        <v>1659</v>
      </c>
      <c r="C477" s="13" t="n">
        <v>1</v>
      </c>
      <c r="D477" s="13" t="s">
        <v>135</v>
      </c>
      <c r="E477" s="13" t="s">
        <v>122</v>
      </c>
      <c r="F477" s="13" t="s">
        <v>1660</v>
      </c>
      <c r="G477" s="13" t="s">
        <v>231</v>
      </c>
      <c r="H477" s="13" t="s">
        <v>101</v>
      </c>
      <c r="I477" s="21" t="s">
        <v>1661</v>
      </c>
      <c r="J477" s="21" t="s">
        <v>1662</v>
      </c>
      <c r="K477" s="21" t="s">
        <v>1663</v>
      </c>
      <c r="L477" s="22" t="s">
        <v>36</v>
      </c>
      <c r="M477" s="21" t="s">
        <v>120</v>
      </c>
      <c r="N477" s="13" t="s">
        <v>106</v>
      </c>
      <c r="O477" s="23" t="n">
        <v>41.14</v>
      </c>
      <c r="P477" s="13" t="n">
        <v>1</v>
      </c>
      <c r="Q477" s="24" t="n">
        <v>46310.6521180556</v>
      </c>
      <c r="R477" s="22" t="s">
        <v>36</v>
      </c>
      <c r="S477" s="13" t="s">
        <v>107</v>
      </c>
      <c r="T477" s="13" t="str">
        <f aca="false">IF(S477="Oui",IF(R477=L477,"Identique","Changé"),"")</f>
        <v>Identique</v>
      </c>
    </row>
    <row r="478" customFormat="false" ht="35.05" hidden="false" customHeight="false" outlineLevel="0" collapsed="false">
      <c r="A478" s="13" t="s">
        <v>1664</v>
      </c>
      <c r="B478" s="13" t="s">
        <v>1659</v>
      </c>
      <c r="C478" s="13" t="n">
        <v>2</v>
      </c>
      <c r="D478" s="13" t="s">
        <v>135</v>
      </c>
      <c r="E478" s="13" t="s">
        <v>122</v>
      </c>
      <c r="F478" s="13" t="s">
        <v>1660</v>
      </c>
      <c r="G478" s="13" t="s">
        <v>123</v>
      </c>
      <c r="H478" s="13" t="s">
        <v>101</v>
      </c>
      <c r="I478" s="21" t="s">
        <v>384</v>
      </c>
      <c r="J478" s="21" t="s">
        <v>277</v>
      </c>
      <c r="K478" s="21" t="s">
        <v>1665</v>
      </c>
      <c r="L478" s="22" t="s">
        <v>36</v>
      </c>
      <c r="M478" s="21" t="s">
        <v>120</v>
      </c>
      <c r="N478" s="13" t="s">
        <v>106</v>
      </c>
      <c r="O478" s="23" t="n">
        <v>10.58</v>
      </c>
      <c r="P478" s="13" t="n">
        <v>1</v>
      </c>
      <c r="Q478" s="24" t="n">
        <v>46310.652349537</v>
      </c>
      <c r="R478" s="22" t="s">
        <v>36</v>
      </c>
      <c r="S478" s="13" t="s">
        <v>107</v>
      </c>
      <c r="T478" s="13" t="str">
        <f aca="false">IF(S478="Oui",IF(R478=L478,"Identique","Changé"),"")</f>
        <v>Identique</v>
      </c>
    </row>
    <row r="479" customFormat="false" ht="46.25" hidden="false" customHeight="false" outlineLevel="0" collapsed="false">
      <c r="A479" s="13" t="s">
        <v>1666</v>
      </c>
      <c r="B479" s="13" t="s">
        <v>1659</v>
      </c>
      <c r="C479" s="13" t="n">
        <v>3</v>
      </c>
      <c r="D479" s="13" t="s">
        <v>135</v>
      </c>
      <c r="E479" s="13" t="s">
        <v>171</v>
      </c>
      <c r="F479" s="13" t="s">
        <v>1667</v>
      </c>
      <c r="G479" s="13" t="s">
        <v>172</v>
      </c>
      <c r="H479" s="13" t="s">
        <v>101</v>
      </c>
      <c r="I479" s="21" t="s">
        <v>1668</v>
      </c>
      <c r="J479" s="21" t="s">
        <v>174</v>
      </c>
      <c r="K479" s="21" t="s">
        <v>1669</v>
      </c>
      <c r="L479" s="22" t="s">
        <v>37</v>
      </c>
      <c r="M479" s="21" t="s">
        <v>163</v>
      </c>
      <c r="N479" s="13" t="s">
        <v>106</v>
      </c>
      <c r="O479" s="23" t="n">
        <v>30.74</v>
      </c>
      <c r="P479" s="13" t="n">
        <v>1</v>
      </c>
      <c r="Q479" s="24" t="n">
        <v>46310.6528356482</v>
      </c>
      <c r="R479" s="22" t="s">
        <v>37</v>
      </c>
      <c r="S479" s="13" t="s">
        <v>107</v>
      </c>
      <c r="T479" s="13" t="str">
        <f aca="false">IF(S479="Oui",IF(R479=L479,"Identique","Changé"),"")</f>
        <v>Identique</v>
      </c>
    </row>
    <row r="480" customFormat="false" ht="35.05" hidden="false" customHeight="false" outlineLevel="0" collapsed="false">
      <c r="A480" s="13" t="s">
        <v>1670</v>
      </c>
      <c r="B480" s="13" t="s">
        <v>1659</v>
      </c>
      <c r="C480" s="13" t="n">
        <v>4</v>
      </c>
      <c r="D480" s="13" t="s">
        <v>135</v>
      </c>
      <c r="E480" s="13" t="s">
        <v>128</v>
      </c>
      <c r="F480" s="13" t="s">
        <v>1667</v>
      </c>
      <c r="G480" s="13" t="s">
        <v>290</v>
      </c>
      <c r="H480" s="13" t="s">
        <v>101</v>
      </c>
      <c r="I480" s="21" t="s">
        <v>1220</v>
      </c>
      <c r="J480" s="21" t="s">
        <v>131</v>
      </c>
      <c r="K480" s="21" t="s">
        <v>1671</v>
      </c>
      <c r="L480" s="22" t="s">
        <v>36</v>
      </c>
      <c r="M480" s="21" t="s">
        <v>120</v>
      </c>
      <c r="N480" s="13" t="s">
        <v>106</v>
      </c>
      <c r="O480" s="23" t="n">
        <v>15.91</v>
      </c>
      <c r="P480" s="13" t="n">
        <v>1</v>
      </c>
      <c r="Q480" s="24" t="n">
        <v>46310.6531365741</v>
      </c>
      <c r="R480" s="22" t="s">
        <v>36</v>
      </c>
      <c r="S480" s="13" t="s">
        <v>107</v>
      </c>
      <c r="T480" s="13" t="str">
        <f aca="false">IF(S480="Oui",IF(R480=L480,"Identique","Changé"),"")</f>
        <v>Identique</v>
      </c>
    </row>
    <row r="481" customFormat="false" ht="46.25" hidden="false" customHeight="false" outlineLevel="0" collapsed="false">
      <c r="A481" s="13" t="s">
        <v>1672</v>
      </c>
      <c r="B481" s="13" t="s">
        <v>1659</v>
      </c>
      <c r="C481" s="13" t="n">
        <v>5</v>
      </c>
      <c r="D481" s="13" t="s">
        <v>135</v>
      </c>
      <c r="E481" s="13" t="s">
        <v>128</v>
      </c>
      <c r="F481" s="13" t="s">
        <v>1660</v>
      </c>
      <c r="G481" s="13" t="s">
        <v>204</v>
      </c>
      <c r="H481" s="13" t="s">
        <v>101</v>
      </c>
      <c r="I481" s="21" t="s">
        <v>1673</v>
      </c>
      <c r="J481" s="21" t="s">
        <v>206</v>
      </c>
      <c r="K481" s="21" t="s">
        <v>1674</v>
      </c>
      <c r="L481" s="22" t="s">
        <v>36</v>
      </c>
      <c r="M481" s="21" t="s">
        <v>120</v>
      </c>
      <c r="N481" s="13" t="s">
        <v>106</v>
      </c>
      <c r="O481" s="23" t="n">
        <v>19.33</v>
      </c>
      <c r="P481" s="13" t="n">
        <v>1</v>
      </c>
      <c r="Q481" s="24" t="n">
        <v>46310.6534837963</v>
      </c>
      <c r="R481" s="22" t="s">
        <v>36</v>
      </c>
      <c r="S481" s="13" t="s">
        <v>107</v>
      </c>
      <c r="T481" s="13" t="str">
        <f aca="false">IF(S481="Oui",IF(R481=L481,"Identique","Changé"),"")</f>
        <v>Identique</v>
      </c>
    </row>
    <row r="482" customFormat="false" ht="35.05" hidden="false" customHeight="false" outlineLevel="0" collapsed="false">
      <c r="A482" s="13" t="s">
        <v>1675</v>
      </c>
      <c r="B482" s="13" t="s">
        <v>1676</v>
      </c>
      <c r="C482" s="13" t="n">
        <v>1</v>
      </c>
      <c r="D482" s="13" t="s">
        <v>97</v>
      </c>
      <c r="E482" s="13" t="s">
        <v>98</v>
      </c>
      <c r="F482" s="13" t="s">
        <v>167</v>
      </c>
      <c r="G482" s="13" t="s">
        <v>100</v>
      </c>
      <c r="H482" s="13" t="s">
        <v>101</v>
      </c>
      <c r="I482" s="21" t="s">
        <v>1677</v>
      </c>
      <c r="J482" s="21" t="s">
        <v>1019</v>
      </c>
      <c r="K482" s="21" t="s">
        <v>1678</v>
      </c>
      <c r="L482" s="22" t="s">
        <v>36</v>
      </c>
      <c r="M482" s="21" t="s">
        <v>105</v>
      </c>
      <c r="N482" s="13" t="s">
        <v>106</v>
      </c>
      <c r="O482" s="23" t="n">
        <v>40.96</v>
      </c>
      <c r="P482" s="13" t="n">
        <v>1</v>
      </c>
      <c r="Q482" s="24" t="n">
        <v>46310.6541435185</v>
      </c>
      <c r="R482" s="22" t="s">
        <v>36</v>
      </c>
      <c r="S482" s="13" t="s">
        <v>107</v>
      </c>
      <c r="T482" s="13" t="str">
        <f aca="false">IF(S482="Oui",IF(R482=L482,"Identique","Changé"),"")</f>
        <v>Identique</v>
      </c>
    </row>
    <row r="483" customFormat="false" ht="35.05" hidden="false" customHeight="false" outlineLevel="0" collapsed="false">
      <c r="A483" s="13" t="s">
        <v>1679</v>
      </c>
      <c r="B483" s="13" t="s">
        <v>1676</v>
      </c>
      <c r="C483" s="13" t="n">
        <v>2</v>
      </c>
      <c r="D483" s="13" t="s">
        <v>97</v>
      </c>
      <c r="E483" s="13" t="s">
        <v>98</v>
      </c>
      <c r="F483" s="13" t="s">
        <v>167</v>
      </c>
      <c r="G483" s="13" t="s">
        <v>109</v>
      </c>
      <c r="H483" s="13" t="s">
        <v>101</v>
      </c>
      <c r="I483" s="21" t="s">
        <v>791</v>
      </c>
      <c r="J483" s="21" t="s">
        <v>1439</v>
      </c>
      <c r="K483" s="21" t="s">
        <v>1680</v>
      </c>
      <c r="L483" s="22" t="s">
        <v>36</v>
      </c>
      <c r="M483" s="21" t="s">
        <v>105</v>
      </c>
      <c r="N483" s="13" t="s">
        <v>106</v>
      </c>
      <c r="O483" s="23" t="n">
        <v>15.34</v>
      </c>
      <c r="P483" s="13" t="n">
        <v>1</v>
      </c>
      <c r="Q483" s="24" t="n">
        <v>46310.6544328704</v>
      </c>
      <c r="R483" s="22" t="s">
        <v>36</v>
      </c>
      <c r="S483" s="13" t="s">
        <v>107</v>
      </c>
      <c r="T483" s="13" t="str">
        <f aca="false">IF(S483="Oui",IF(R483=L483,"Identique","Changé"),"")</f>
        <v>Identique</v>
      </c>
    </row>
    <row r="484" customFormat="false" ht="35.05" hidden="false" customHeight="false" outlineLevel="0" collapsed="false">
      <c r="A484" s="13" t="s">
        <v>1681</v>
      </c>
      <c r="B484" s="13" t="s">
        <v>1676</v>
      </c>
      <c r="C484" s="13" t="n">
        <v>3</v>
      </c>
      <c r="D484" s="13" t="s">
        <v>97</v>
      </c>
      <c r="E484" s="13" t="s">
        <v>128</v>
      </c>
      <c r="F484" s="13" t="s">
        <v>167</v>
      </c>
      <c r="G484" s="13" t="s">
        <v>290</v>
      </c>
      <c r="H484" s="13" t="s">
        <v>101</v>
      </c>
      <c r="I484" s="21" t="s">
        <v>1220</v>
      </c>
      <c r="J484" s="21" t="s">
        <v>131</v>
      </c>
      <c r="K484" s="21" t="s">
        <v>1682</v>
      </c>
      <c r="L484" s="22" t="s">
        <v>36</v>
      </c>
      <c r="M484" s="21" t="s">
        <v>120</v>
      </c>
      <c r="N484" s="13" t="s">
        <v>106</v>
      </c>
      <c r="O484" s="23" t="n">
        <v>13.23</v>
      </c>
      <c r="P484" s="13" t="n">
        <v>1</v>
      </c>
      <c r="Q484" s="24" t="n">
        <v>46310.6547106481</v>
      </c>
      <c r="R484" s="22" t="s">
        <v>36</v>
      </c>
      <c r="S484" s="13" t="s">
        <v>107</v>
      </c>
      <c r="T484" s="13" t="str">
        <f aca="false">IF(S484="Oui",IF(R484=L484,"Identique","Changé"),"")</f>
        <v>Identique</v>
      </c>
    </row>
    <row r="485" customFormat="false" ht="57.45" hidden="false" customHeight="false" outlineLevel="0" collapsed="false">
      <c r="A485" s="13" t="s">
        <v>1683</v>
      </c>
      <c r="B485" s="13" t="s">
        <v>1676</v>
      </c>
      <c r="C485" s="13" t="n">
        <v>4</v>
      </c>
      <c r="D485" s="13" t="s">
        <v>97</v>
      </c>
      <c r="E485" s="13" t="s">
        <v>185</v>
      </c>
      <c r="F485" s="13" t="s">
        <v>167</v>
      </c>
      <c r="G485" s="13" t="s">
        <v>380</v>
      </c>
      <c r="H485" s="13" t="s">
        <v>152</v>
      </c>
      <c r="I485" s="21" t="s">
        <v>1684</v>
      </c>
      <c r="J485" s="21" t="s">
        <v>154</v>
      </c>
      <c r="K485" s="21" t="s">
        <v>1685</v>
      </c>
      <c r="L485" s="22" t="s">
        <v>40</v>
      </c>
      <c r="M485" s="21" t="s">
        <v>156</v>
      </c>
      <c r="N485" s="13" t="s">
        <v>106</v>
      </c>
      <c r="O485" s="23" t="n">
        <v>11.91</v>
      </c>
      <c r="P485" s="13" t="n">
        <v>1</v>
      </c>
      <c r="Q485" s="24" t="n">
        <v>46310.6549768519</v>
      </c>
      <c r="R485" s="22" t="s">
        <v>40</v>
      </c>
      <c r="S485" s="13" t="s">
        <v>107</v>
      </c>
      <c r="T485" s="13" t="str">
        <f aca="false">IF(S485="Oui",IF(R485=L485,"Identique","Changé"),"")</f>
        <v>Identique</v>
      </c>
    </row>
    <row r="486" customFormat="false" ht="35.05" hidden="false" customHeight="false" outlineLevel="0" collapsed="false">
      <c r="A486" s="13" t="s">
        <v>1686</v>
      </c>
      <c r="B486" s="13" t="s">
        <v>1676</v>
      </c>
      <c r="C486" s="13" t="n">
        <v>5</v>
      </c>
      <c r="D486" s="13" t="s">
        <v>97</v>
      </c>
      <c r="E486" s="13" t="s">
        <v>122</v>
      </c>
      <c r="F486" s="13" t="s">
        <v>167</v>
      </c>
      <c r="G486" s="13" t="s">
        <v>123</v>
      </c>
      <c r="H486" s="13" t="s">
        <v>101</v>
      </c>
      <c r="I486" s="21" t="s">
        <v>271</v>
      </c>
      <c r="J486" s="21" t="s">
        <v>1300</v>
      </c>
      <c r="K486" s="21" t="s">
        <v>1687</v>
      </c>
      <c r="L486" s="22" t="s">
        <v>36</v>
      </c>
      <c r="M486" s="21" t="s">
        <v>120</v>
      </c>
      <c r="N486" s="13" t="s">
        <v>106</v>
      </c>
      <c r="O486" s="23" t="n">
        <v>11.48</v>
      </c>
      <c r="P486" s="13" t="n">
        <v>1</v>
      </c>
      <c r="Q486" s="24" t="n">
        <v>46310.6552314815</v>
      </c>
      <c r="R486" s="22" t="s">
        <v>36</v>
      </c>
      <c r="S486" s="13" t="s">
        <v>107</v>
      </c>
      <c r="T486" s="13" t="str">
        <f aca="false">IF(S486="Oui",IF(R486=L486,"Identique","Changé"),"")</f>
        <v>Identique</v>
      </c>
    </row>
    <row r="487" customFormat="false" ht="35.05" hidden="false" customHeight="false" outlineLevel="0" collapsed="false">
      <c r="A487" s="13" t="s">
        <v>1688</v>
      </c>
      <c r="B487" s="13" t="s">
        <v>1689</v>
      </c>
      <c r="C487" s="13" t="n">
        <v>1</v>
      </c>
      <c r="D487" s="13" t="s">
        <v>135</v>
      </c>
      <c r="E487" s="13" t="s">
        <v>114</v>
      </c>
      <c r="F487" s="13" t="s">
        <v>1690</v>
      </c>
      <c r="G487" s="13" t="s">
        <v>116</v>
      </c>
      <c r="H487" s="13" t="s">
        <v>101</v>
      </c>
      <c r="I487" s="21" t="s">
        <v>1691</v>
      </c>
      <c r="J487" s="21" t="s">
        <v>138</v>
      </c>
      <c r="K487" s="21" t="s">
        <v>1692</v>
      </c>
      <c r="L487" s="22" t="s">
        <v>42</v>
      </c>
      <c r="M487" s="21" t="s">
        <v>1693</v>
      </c>
      <c r="N487" s="13" t="s">
        <v>106</v>
      </c>
      <c r="O487" s="23" t="n">
        <v>272.1</v>
      </c>
      <c r="P487" s="13" t="n">
        <v>1</v>
      </c>
      <c r="Q487" s="24" t="n">
        <v>46310.6585763889</v>
      </c>
      <c r="R487" s="22" t="s">
        <v>36</v>
      </c>
      <c r="S487" s="13" t="s">
        <v>107</v>
      </c>
      <c r="T487" s="13" t="str">
        <f aca="false">IF(S487="Oui",IF(R487=L487,"Identique","Changé"),"")</f>
        <v>Changé</v>
      </c>
    </row>
    <row r="488" customFormat="false" ht="35.05" hidden="false" customHeight="false" outlineLevel="0" collapsed="false">
      <c r="A488" s="13" t="s">
        <v>1694</v>
      </c>
      <c r="B488" s="13" t="s">
        <v>1689</v>
      </c>
      <c r="C488" s="13" t="n">
        <v>2</v>
      </c>
      <c r="D488" s="13" t="s">
        <v>135</v>
      </c>
      <c r="E488" s="13" t="s">
        <v>128</v>
      </c>
      <c r="F488" s="13" t="s">
        <v>1690</v>
      </c>
      <c r="G488" s="13" t="s">
        <v>290</v>
      </c>
      <c r="H488" s="13" t="s">
        <v>101</v>
      </c>
      <c r="I488" s="21" t="s">
        <v>1220</v>
      </c>
      <c r="J488" s="21" t="s">
        <v>131</v>
      </c>
      <c r="K488" s="21" t="s">
        <v>1695</v>
      </c>
      <c r="L488" s="22" t="s">
        <v>36</v>
      </c>
      <c r="M488" s="21" t="s">
        <v>1696</v>
      </c>
      <c r="N488" s="13" t="s">
        <v>1085</v>
      </c>
      <c r="O488" s="23" t="n">
        <v>28.84</v>
      </c>
      <c r="P488" s="13" t="n">
        <v>1</v>
      </c>
      <c r="Q488" s="24" t="n">
        <v>46310.6590277778</v>
      </c>
      <c r="R488" s="22" t="s">
        <v>36</v>
      </c>
      <c r="S488" s="13" t="s">
        <v>107</v>
      </c>
      <c r="T488" s="13" t="str">
        <f aca="false">IF(S488="Oui",IF(R488=L488,"Identique","Changé"),"")</f>
        <v>Identique</v>
      </c>
    </row>
    <row r="489" customFormat="false" ht="23.85" hidden="false" customHeight="false" outlineLevel="0" collapsed="false">
      <c r="A489" s="13" t="s">
        <v>1697</v>
      </c>
      <c r="B489" s="13" t="s">
        <v>1689</v>
      </c>
      <c r="C489" s="13" t="n">
        <v>3</v>
      </c>
      <c r="D489" s="13" t="s">
        <v>135</v>
      </c>
      <c r="E489" s="13" t="s">
        <v>114</v>
      </c>
      <c r="F489" s="13" t="s">
        <v>1690</v>
      </c>
      <c r="G489" s="13" t="s">
        <v>146</v>
      </c>
      <c r="H489" s="13" t="s">
        <v>101</v>
      </c>
      <c r="I489" s="21" t="s">
        <v>653</v>
      </c>
      <c r="J489" s="21" t="s">
        <v>148</v>
      </c>
      <c r="K489" s="21" t="s">
        <v>1698</v>
      </c>
      <c r="L489" s="22" t="s">
        <v>36</v>
      </c>
      <c r="M489" s="21" t="s">
        <v>120</v>
      </c>
      <c r="N489" s="13" t="s">
        <v>106</v>
      </c>
      <c r="O489" s="23" t="n">
        <v>12.21</v>
      </c>
      <c r="P489" s="13" t="n">
        <v>1</v>
      </c>
      <c r="Q489" s="24" t="n">
        <v>46310.6592939815</v>
      </c>
      <c r="R489" s="22" t="s">
        <v>36</v>
      </c>
      <c r="S489" s="13" t="s">
        <v>107</v>
      </c>
      <c r="T489" s="13" t="str">
        <f aca="false">IF(S489="Oui",IF(R489=L489,"Identique","Changé"),"")</f>
        <v>Identique</v>
      </c>
    </row>
    <row r="490" customFormat="false" ht="35.05" hidden="false" customHeight="false" outlineLevel="0" collapsed="false">
      <c r="A490" s="13" t="s">
        <v>1699</v>
      </c>
      <c r="B490" s="13" t="s">
        <v>1689</v>
      </c>
      <c r="C490" s="13" t="n">
        <v>4</v>
      </c>
      <c r="D490" s="13" t="s">
        <v>135</v>
      </c>
      <c r="E490" s="13" t="s">
        <v>401</v>
      </c>
      <c r="F490" s="13" t="s">
        <v>1690</v>
      </c>
      <c r="G490" s="13" t="s">
        <v>402</v>
      </c>
      <c r="H490" s="13" t="s">
        <v>152</v>
      </c>
      <c r="I490" s="21" t="s">
        <v>1700</v>
      </c>
      <c r="J490" s="21" t="s">
        <v>154</v>
      </c>
      <c r="K490" s="21" t="s">
        <v>1701</v>
      </c>
      <c r="L490" s="22" t="s">
        <v>40</v>
      </c>
      <c r="M490" s="21" t="s">
        <v>156</v>
      </c>
      <c r="N490" s="13" t="s">
        <v>106</v>
      </c>
      <c r="O490" s="23" t="n">
        <v>9.75</v>
      </c>
      <c r="P490" s="13" t="n">
        <v>1</v>
      </c>
      <c r="Q490" s="24" t="n">
        <v>46310.659525463</v>
      </c>
      <c r="R490" s="22" t="s">
        <v>40</v>
      </c>
      <c r="S490" s="13" t="s">
        <v>107</v>
      </c>
      <c r="T490" s="13" t="str">
        <f aca="false">IF(S490="Oui",IF(R490=L490,"Identique","Changé"),"")</f>
        <v>Identique</v>
      </c>
    </row>
    <row r="491" customFormat="false" ht="35.05" hidden="false" customHeight="false" outlineLevel="0" collapsed="false">
      <c r="A491" s="13" t="s">
        <v>1702</v>
      </c>
      <c r="B491" s="13" t="s">
        <v>1689</v>
      </c>
      <c r="C491" s="13" t="n">
        <v>5</v>
      </c>
      <c r="D491" s="13" t="s">
        <v>135</v>
      </c>
      <c r="E491" s="13" t="s">
        <v>128</v>
      </c>
      <c r="F491" s="13" t="s">
        <v>1690</v>
      </c>
      <c r="G491" s="13" t="s">
        <v>348</v>
      </c>
      <c r="H491" s="13" t="s">
        <v>101</v>
      </c>
      <c r="I491" s="21" t="s">
        <v>1264</v>
      </c>
      <c r="J491" s="21" t="s">
        <v>131</v>
      </c>
      <c r="K491" s="21" t="s">
        <v>1703</v>
      </c>
      <c r="L491" s="22" t="s">
        <v>36</v>
      </c>
      <c r="M491" s="21" t="s">
        <v>120</v>
      </c>
      <c r="N491" s="13" t="s">
        <v>106</v>
      </c>
      <c r="O491" s="23" t="n">
        <v>18.11</v>
      </c>
      <c r="P491" s="13" t="n">
        <v>1</v>
      </c>
      <c r="Q491" s="24" t="n">
        <v>46310.659849537</v>
      </c>
      <c r="R491" s="22" t="s">
        <v>38</v>
      </c>
      <c r="S491" s="13" t="s">
        <v>107</v>
      </c>
      <c r="T491" s="13" t="str">
        <f aca="false">IF(S491="Oui",IF(R491=L491,"Identique","Changé"),"")</f>
        <v>Changé</v>
      </c>
    </row>
    <row r="492" customFormat="false" ht="35.05" hidden="false" customHeight="false" outlineLevel="0" collapsed="false">
      <c r="A492" s="13" t="s">
        <v>1704</v>
      </c>
      <c r="B492" s="13" t="s">
        <v>1705</v>
      </c>
      <c r="C492" s="13" t="n">
        <v>1</v>
      </c>
      <c r="D492" s="13" t="s">
        <v>97</v>
      </c>
      <c r="E492" s="13" t="s">
        <v>128</v>
      </c>
      <c r="F492" s="13" t="s">
        <v>1210</v>
      </c>
      <c r="G492" s="13" t="s">
        <v>290</v>
      </c>
      <c r="H492" s="13" t="s">
        <v>101</v>
      </c>
      <c r="I492" s="21" t="s">
        <v>1706</v>
      </c>
      <c r="J492" s="21" t="s">
        <v>131</v>
      </c>
      <c r="K492" s="21" t="s">
        <v>1707</v>
      </c>
      <c r="L492" s="22" t="s">
        <v>36</v>
      </c>
      <c r="M492" s="21" t="s">
        <v>120</v>
      </c>
      <c r="N492" s="13" t="s">
        <v>106</v>
      </c>
      <c r="O492" s="23" t="n">
        <v>68.44</v>
      </c>
      <c r="P492" s="13" t="n">
        <v>1</v>
      </c>
      <c r="Q492" s="24" t="n">
        <v>46310.6608449074</v>
      </c>
      <c r="R492" s="22" t="s">
        <v>36</v>
      </c>
      <c r="S492" s="13" t="s">
        <v>107</v>
      </c>
      <c r="T492" s="13" t="str">
        <f aca="false">IF(S492="Oui",IF(R492=L492,"Identique","Changé"),"")</f>
        <v>Identique</v>
      </c>
    </row>
    <row r="493" customFormat="false" ht="35.05" hidden="false" customHeight="false" outlineLevel="0" collapsed="false">
      <c r="A493" s="13" t="s">
        <v>1708</v>
      </c>
      <c r="B493" s="13" t="s">
        <v>1705</v>
      </c>
      <c r="C493" s="13" t="n">
        <v>2</v>
      </c>
      <c r="D493" s="13" t="s">
        <v>97</v>
      </c>
      <c r="E493" s="13" t="s">
        <v>171</v>
      </c>
      <c r="F493" s="13" t="s">
        <v>1210</v>
      </c>
      <c r="G493" s="13" t="s">
        <v>172</v>
      </c>
      <c r="H493" s="13" t="s">
        <v>101</v>
      </c>
      <c r="I493" s="21" t="s">
        <v>820</v>
      </c>
      <c r="J493" s="21" t="s">
        <v>228</v>
      </c>
      <c r="K493" s="21" t="s">
        <v>1709</v>
      </c>
      <c r="L493" s="22" t="s">
        <v>36</v>
      </c>
      <c r="M493" s="21" t="s">
        <v>120</v>
      </c>
      <c r="N493" s="13" t="s">
        <v>106</v>
      </c>
      <c r="O493" s="23" t="n">
        <v>22.8</v>
      </c>
      <c r="P493" s="13" t="n">
        <v>1</v>
      </c>
      <c r="Q493" s="24" t="n">
        <v>46310.6612152778</v>
      </c>
      <c r="R493" s="22" t="s">
        <v>37</v>
      </c>
      <c r="S493" s="13" t="s">
        <v>107</v>
      </c>
      <c r="T493" s="13" t="str">
        <f aca="false">IF(S493="Oui",IF(R493=L493,"Identique","Changé"),"")</f>
        <v>Changé</v>
      </c>
    </row>
    <row r="494" customFormat="false" ht="57.45" hidden="false" customHeight="false" outlineLevel="0" collapsed="false">
      <c r="A494" s="13" t="s">
        <v>1710</v>
      </c>
      <c r="B494" s="13" t="s">
        <v>1705</v>
      </c>
      <c r="C494" s="13" t="n">
        <v>3</v>
      </c>
      <c r="D494" s="13" t="s">
        <v>97</v>
      </c>
      <c r="E494" s="13" t="s">
        <v>158</v>
      </c>
      <c r="F494" s="13" t="s">
        <v>1210</v>
      </c>
      <c r="G494" s="13" t="s">
        <v>159</v>
      </c>
      <c r="H494" s="13" t="s">
        <v>101</v>
      </c>
      <c r="I494" s="21" t="s">
        <v>824</v>
      </c>
      <c r="J494" s="21" t="s">
        <v>233</v>
      </c>
      <c r="K494" s="21" t="s">
        <v>1711</v>
      </c>
      <c r="L494" s="22" t="s">
        <v>37</v>
      </c>
      <c r="M494" s="21" t="s">
        <v>163</v>
      </c>
      <c r="N494" s="13" t="s">
        <v>106</v>
      </c>
      <c r="O494" s="23" t="n">
        <v>20.26</v>
      </c>
      <c r="P494" s="13" t="n">
        <v>1</v>
      </c>
      <c r="Q494" s="24" t="n">
        <v>46310.6615740741</v>
      </c>
      <c r="R494" s="22" t="s">
        <v>37</v>
      </c>
      <c r="S494" s="13" t="s">
        <v>107</v>
      </c>
      <c r="T494" s="13" t="str">
        <f aca="false">IF(S494="Oui",IF(R494=L494,"Identique","Changé"),"")</f>
        <v>Identique</v>
      </c>
    </row>
    <row r="495" customFormat="false" ht="35.05" hidden="false" customHeight="false" outlineLevel="0" collapsed="false">
      <c r="A495" s="13" t="s">
        <v>1712</v>
      </c>
      <c r="B495" s="13" t="s">
        <v>1705</v>
      </c>
      <c r="C495" s="13" t="n">
        <v>4</v>
      </c>
      <c r="D495" s="13" t="s">
        <v>97</v>
      </c>
      <c r="E495" s="13" t="s">
        <v>128</v>
      </c>
      <c r="F495" s="13" t="s">
        <v>1210</v>
      </c>
      <c r="G495" s="13" t="s">
        <v>348</v>
      </c>
      <c r="H495" s="13" t="s">
        <v>101</v>
      </c>
      <c r="I495" s="21" t="s">
        <v>1264</v>
      </c>
      <c r="J495" s="21" t="s">
        <v>131</v>
      </c>
      <c r="K495" s="21" t="s">
        <v>1713</v>
      </c>
      <c r="L495" s="22" t="s">
        <v>36</v>
      </c>
      <c r="M495" s="21" t="s">
        <v>120</v>
      </c>
      <c r="N495" s="13" t="s">
        <v>106</v>
      </c>
      <c r="O495" s="23" t="n">
        <v>15.49</v>
      </c>
      <c r="P495" s="13" t="n">
        <v>1</v>
      </c>
      <c r="Q495" s="24" t="n">
        <v>46310.661875</v>
      </c>
      <c r="R495" s="22" t="s">
        <v>37</v>
      </c>
      <c r="S495" s="13" t="s">
        <v>107</v>
      </c>
      <c r="T495" s="13" t="str">
        <f aca="false">IF(S495="Oui",IF(R495=L495,"Identique","Changé"),"")</f>
        <v>Changé</v>
      </c>
    </row>
    <row r="496" customFormat="false" ht="23.85" hidden="false" customHeight="false" outlineLevel="0" collapsed="false">
      <c r="A496" s="13" t="s">
        <v>1714</v>
      </c>
      <c r="B496" s="13" t="s">
        <v>1705</v>
      </c>
      <c r="C496" s="13" t="n">
        <v>5</v>
      </c>
      <c r="D496" s="13" t="s">
        <v>97</v>
      </c>
      <c r="E496" s="13" t="s">
        <v>185</v>
      </c>
      <c r="F496" s="13" t="s">
        <v>1210</v>
      </c>
      <c r="G496" s="13" t="s">
        <v>186</v>
      </c>
      <c r="H496" s="13" t="s">
        <v>101</v>
      </c>
      <c r="I496" s="21" t="s">
        <v>1715</v>
      </c>
      <c r="J496" s="21" t="s">
        <v>1362</v>
      </c>
      <c r="K496" s="21" t="s">
        <v>1716</v>
      </c>
      <c r="L496" s="22" t="s">
        <v>36</v>
      </c>
      <c r="M496" s="21" t="s">
        <v>120</v>
      </c>
      <c r="N496" s="13" t="s">
        <v>106</v>
      </c>
      <c r="O496" s="23" t="n">
        <v>10.06</v>
      </c>
      <c r="P496" s="13" t="n">
        <v>1</v>
      </c>
      <c r="Q496" s="24" t="n">
        <v>46310.6621180556</v>
      </c>
      <c r="R496" s="22" t="s">
        <v>36</v>
      </c>
      <c r="S496" s="13" t="s">
        <v>107</v>
      </c>
      <c r="T496" s="13" t="str">
        <f aca="false">IF(S496="Oui",IF(R496=L496,"Identique","Changé"),"")</f>
        <v>Identique</v>
      </c>
    </row>
    <row r="497" customFormat="false" ht="46.25" hidden="false" customHeight="false" outlineLevel="0" collapsed="false">
      <c r="A497" s="13" t="s">
        <v>1717</v>
      </c>
      <c r="B497" s="13" t="s">
        <v>1718</v>
      </c>
      <c r="C497" s="13" t="n">
        <v>1</v>
      </c>
      <c r="D497" s="13" t="s">
        <v>135</v>
      </c>
      <c r="E497" s="13" t="s">
        <v>128</v>
      </c>
      <c r="F497" s="13" t="s">
        <v>1719</v>
      </c>
      <c r="G497" s="13" t="s">
        <v>193</v>
      </c>
      <c r="H497" s="13" t="s">
        <v>101</v>
      </c>
      <c r="I497" s="21" t="s">
        <v>1720</v>
      </c>
      <c r="J497" s="21" t="s">
        <v>195</v>
      </c>
      <c r="K497" s="21" t="s">
        <v>1721</v>
      </c>
      <c r="L497" s="22" t="s">
        <v>36</v>
      </c>
      <c r="M497" s="21" t="s">
        <v>120</v>
      </c>
      <c r="N497" s="13" t="s">
        <v>106</v>
      </c>
      <c r="O497" s="23" t="n">
        <v>40.44</v>
      </c>
      <c r="P497" s="13" t="n">
        <v>1</v>
      </c>
      <c r="Q497" s="24" t="n">
        <v>46310.6627430556</v>
      </c>
      <c r="R497" s="22" t="s">
        <v>36</v>
      </c>
      <c r="S497" s="13" t="s">
        <v>107</v>
      </c>
      <c r="T497" s="13" t="str">
        <f aca="false">IF(S497="Oui",IF(R497=L497,"Identique","Changé"),"")</f>
        <v>Identique</v>
      </c>
    </row>
    <row r="498" customFormat="false" ht="35.05" hidden="false" customHeight="false" outlineLevel="0" collapsed="false">
      <c r="A498" s="13" t="s">
        <v>1722</v>
      </c>
      <c r="B498" s="13" t="s">
        <v>1718</v>
      </c>
      <c r="C498" s="13" t="n">
        <v>2</v>
      </c>
      <c r="D498" s="13" t="s">
        <v>135</v>
      </c>
      <c r="E498" s="13" t="s">
        <v>128</v>
      </c>
      <c r="F498" s="13" t="s">
        <v>1719</v>
      </c>
      <c r="G498" s="13" t="s">
        <v>129</v>
      </c>
      <c r="H498" s="13" t="s">
        <v>101</v>
      </c>
      <c r="I498" s="21" t="s">
        <v>319</v>
      </c>
      <c r="J498" s="21" t="s">
        <v>131</v>
      </c>
      <c r="K498" s="21" t="s">
        <v>1723</v>
      </c>
      <c r="L498" s="22" t="s">
        <v>36</v>
      </c>
      <c r="M498" s="21" t="s">
        <v>120</v>
      </c>
      <c r="N498" s="13" t="s">
        <v>106</v>
      </c>
      <c r="O498" s="23" t="n">
        <v>15.46</v>
      </c>
      <c r="P498" s="13" t="n">
        <v>1</v>
      </c>
      <c r="Q498" s="24" t="n">
        <v>46310.6630324074</v>
      </c>
      <c r="R498" s="22" t="s">
        <v>36</v>
      </c>
      <c r="S498" s="13" t="s">
        <v>107</v>
      </c>
      <c r="T498" s="13" t="str">
        <f aca="false">IF(S498="Oui",IF(R498=L498,"Identique","Changé"),"")</f>
        <v>Identique</v>
      </c>
    </row>
    <row r="499" customFormat="false" ht="46.25" hidden="false" customHeight="false" outlineLevel="0" collapsed="false">
      <c r="A499" s="13" t="s">
        <v>1724</v>
      </c>
      <c r="B499" s="13" t="s">
        <v>1718</v>
      </c>
      <c r="C499" s="13" t="n">
        <v>3</v>
      </c>
      <c r="D499" s="13" t="s">
        <v>135</v>
      </c>
      <c r="E499" s="13" t="s">
        <v>128</v>
      </c>
      <c r="F499" s="13" t="s">
        <v>1719</v>
      </c>
      <c r="G499" s="13" t="s">
        <v>348</v>
      </c>
      <c r="H499" s="13" t="s">
        <v>101</v>
      </c>
      <c r="I499" s="21" t="s">
        <v>1264</v>
      </c>
      <c r="J499" s="21" t="s">
        <v>131</v>
      </c>
      <c r="K499" s="21" t="s">
        <v>1725</v>
      </c>
      <c r="L499" s="22" t="s">
        <v>36</v>
      </c>
      <c r="M499" s="21" t="s">
        <v>120</v>
      </c>
      <c r="N499" s="13" t="s">
        <v>106</v>
      </c>
      <c r="O499" s="23" t="n">
        <v>12.73</v>
      </c>
      <c r="P499" s="13" t="n">
        <v>1</v>
      </c>
      <c r="Q499" s="24" t="n">
        <v>46310.663287037</v>
      </c>
      <c r="R499" s="22" t="s">
        <v>37</v>
      </c>
      <c r="S499" s="13" t="s">
        <v>107</v>
      </c>
      <c r="T499" s="13" t="str">
        <f aca="false">IF(S499="Oui",IF(R499=L499,"Identique","Changé"),"")</f>
        <v>Changé</v>
      </c>
    </row>
    <row r="500" customFormat="false" ht="46.25" hidden="false" customHeight="false" outlineLevel="0" collapsed="false">
      <c r="A500" s="13" t="s">
        <v>1726</v>
      </c>
      <c r="B500" s="13" t="s">
        <v>1718</v>
      </c>
      <c r="C500" s="13" t="n">
        <v>4</v>
      </c>
      <c r="D500" s="13" t="s">
        <v>135</v>
      </c>
      <c r="E500" s="13" t="s">
        <v>128</v>
      </c>
      <c r="F500" s="13" t="s">
        <v>1719</v>
      </c>
      <c r="G500" s="13" t="s">
        <v>204</v>
      </c>
      <c r="H500" s="13" t="s">
        <v>101</v>
      </c>
      <c r="I500" s="21" t="s">
        <v>1727</v>
      </c>
      <c r="J500" s="21" t="s">
        <v>206</v>
      </c>
      <c r="K500" s="21" t="s">
        <v>1728</v>
      </c>
      <c r="L500" s="22" t="s">
        <v>36</v>
      </c>
      <c r="M500" s="21" t="s">
        <v>120</v>
      </c>
      <c r="N500" s="13" t="s">
        <v>106</v>
      </c>
      <c r="O500" s="23" t="n">
        <v>15.99</v>
      </c>
      <c r="P500" s="13" t="n">
        <v>1</v>
      </c>
      <c r="Q500" s="24" t="n">
        <v>46310.663599537</v>
      </c>
      <c r="R500" s="22" t="s">
        <v>36</v>
      </c>
      <c r="S500" s="13" t="s">
        <v>107</v>
      </c>
      <c r="T500" s="13" t="str">
        <f aca="false">IF(S500="Oui",IF(R500=L500,"Identique","Changé"),"")</f>
        <v>Identique</v>
      </c>
    </row>
    <row r="501" customFormat="false" ht="158.2" hidden="false" customHeight="false" outlineLevel="0" collapsed="false">
      <c r="A501" s="13" t="s">
        <v>1729</v>
      </c>
      <c r="B501" s="13" t="s">
        <v>1718</v>
      </c>
      <c r="C501" s="13" t="n">
        <v>5</v>
      </c>
      <c r="D501" s="13" t="s">
        <v>135</v>
      </c>
      <c r="E501" s="13" t="s">
        <v>1730</v>
      </c>
      <c r="F501" s="13" t="s">
        <v>1731</v>
      </c>
      <c r="G501" s="13" t="s">
        <v>1732</v>
      </c>
      <c r="H501" s="13" t="s">
        <v>101</v>
      </c>
      <c r="I501" s="21" t="s">
        <v>1733</v>
      </c>
      <c r="J501" s="21" t="s">
        <v>1734</v>
      </c>
      <c r="K501" s="21" t="s">
        <v>1735</v>
      </c>
      <c r="L501" s="22" t="s">
        <v>36</v>
      </c>
      <c r="M501" s="21" t="s">
        <v>1736</v>
      </c>
      <c r="N501" s="13" t="s">
        <v>106</v>
      </c>
      <c r="O501" s="23" t="n">
        <v>13.43</v>
      </c>
      <c r="P501" s="13" t="n">
        <v>1</v>
      </c>
      <c r="Q501" s="24" t="n">
        <v>46310.6638888889</v>
      </c>
      <c r="R501" s="22"/>
      <c r="S501" s="13" t="s">
        <v>164</v>
      </c>
      <c r="T501" s="13" t="str">
        <f aca="false">IF(S501="Oui",IF(R501=L501,"Identique","Changé"),"")</f>
        <v/>
      </c>
    </row>
    <row r="502" customFormat="false" ht="68.65" hidden="false" customHeight="false" outlineLevel="0" collapsed="false">
      <c r="A502" s="13" t="s">
        <v>1737</v>
      </c>
      <c r="B502" s="13" t="s">
        <v>1738</v>
      </c>
      <c r="C502" s="13" t="n">
        <v>1</v>
      </c>
      <c r="D502" s="13" t="s">
        <v>97</v>
      </c>
      <c r="E502" s="13" t="s">
        <v>570</v>
      </c>
      <c r="F502" s="13" t="s">
        <v>627</v>
      </c>
      <c r="G502" s="13" t="s">
        <v>1739</v>
      </c>
      <c r="H502" s="13" t="s">
        <v>101</v>
      </c>
      <c r="I502" s="21" t="s">
        <v>1740</v>
      </c>
      <c r="J502" s="21" t="s">
        <v>1741</v>
      </c>
      <c r="K502" s="21" t="s">
        <v>1742</v>
      </c>
      <c r="L502" s="22" t="s">
        <v>37</v>
      </c>
      <c r="M502" s="21" t="s">
        <v>163</v>
      </c>
      <c r="N502" s="13" t="s">
        <v>106</v>
      </c>
      <c r="O502" s="23" t="n">
        <v>24.91</v>
      </c>
      <c r="P502" s="13" t="n">
        <v>1</v>
      </c>
      <c r="Q502" s="24" t="n">
        <v>46310.6643865741</v>
      </c>
      <c r="R502" s="22"/>
      <c r="S502" s="13" t="s">
        <v>164</v>
      </c>
      <c r="T502" s="13" t="str">
        <f aca="false">IF(S502="Oui",IF(R502=L502,"Identique","Changé"),"")</f>
        <v/>
      </c>
    </row>
    <row r="503" customFormat="false" ht="57.45" hidden="false" customHeight="false" outlineLevel="0" collapsed="false">
      <c r="A503" s="13" t="s">
        <v>1743</v>
      </c>
      <c r="B503" s="13" t="s">
        <v>1738</v>
      </c>
      <c r="C503" s="13" t="n">
        <v>2</v>
      </c>
      <c r="D503" s="13" t="s">
        <v>97</v>
      </c>
      <c r="E503" s="13" t="s">
        <v>122</v>
      </c>
      <c r="F503" s="13" t="s">
        <v>627</v>
      </c>
      <c r="G503" s="13" t="s">
        <v>1744</v>
      </c>
      <c r="H503" s="13" t="s">
        <v>101</v>
      </c>
      <c r="I503" s="21" t="s">
        <v>1745</v>
      </c>
      <c r="J503" s="21" t="s">
        <v>1746</v>
      </c>
      <c r="K503" s="21" t="s">
        <v>1747</v>
      </c>
      <c r="L503" s="22" t="s">
        <v>37</v>
      </c>
      <c r="M503" s="21" t="s">
        <v>163</v>
      </c>
      <c r="N503" s="13" t="s">
        <v>106</v>
      </c>
      <c r="O503" s="23" t="n">
        <v>12.1</v>
      </c>
      <c r="P503" s="13" t="n">
        <v>1</v>
      </c>
      <c r="Q503" s="24" t="n">
        <v>46310.6646412037</v>
      </c>
      <c r="R503" s="22"/>
      <c r="S503" s="13" t="s">
        <v>164</v>
      </c>
      <c r="T503" s="13" t="str">
        <f aca="false">IF(S503="Oui",IF(R503=L503,"Identique","Changé"),"")</f>
        <v/>
      </c>
    </row>
    <row r="504" customFormat="false" ht="169.4" hidden="false" customHeight="false" outlineLevel="0" collapsed="false">
      <c r="A504" s="13" t="s">
        <v>1748</v>
      </c>
      <c r="B504" s="13" t="s">
        <v>1738</v>
      </c>
      <c r="C504" s="13" t="n">
        <v>3</v>
      </c>
      <c r="D504" s="13" t="s">
        <v>97</v>
      </c>
      <c r="E504" s="13" t="s">
        <v>1730</v>
      </c>
      <c r="F504" s="13" t="s">
        <v>627</v>
      </c>
      <c r="G504" s="13" t="s">
        <v>1732</v>
      </c>
      <c r="H504" s="13" t="s">
        <v>101</v>
      </c>
      <c r="I504" s="21" t="s">
        <v>1749</v>
      </c>
      <c r="J504" s="21" t="s">
        <v>1750</v>
      </c>
      <c r="K504" s="21" t="s">
        <v>1751</v>
      </c>
      <c r="L504" s="22" t="s">
        <v>37</v>
      </c>
      <c r="M504" s="21" t="s">
        <v>163</v>
      </c>
      <c r="N504" s="13" t="s">
        <v>106</v>
      </c>
      <c r="O504" s="23" t="n">
        <v>12.37</v>
      </c>
      <c r="P504" s="13" t="n">
        <v>1</v>
      </c>
      <c r="Q504" s="24" t="n">
        <v>46310.6648958333</v>
      </c>
      <c r="R504" s="22"/>
      <c r="S504" s="13" t="s">
        <v>164</v>
      </c>
      <c r="T504" s="13" t="str">
        <f aca="false">IF(S504="Oui",IF(R504=L504,"Identique","Changé"),"")</f>
        <v/>
      </c>
    </row>
    <row r="505" customFormat="false" ht="281.3" hidden="false" customHeight="false" outlineLevel="0" collapsed="false">
      <c r="A505" s="13" t="s">
        <v>1752</v>
      </c>
      <c r="B505" s="13" t="s">
        <v>1738</v>
      </c>
      <c r="C505" s="13" t="n">
        <v>4</v>
      </c>
      <c r="D505" s="13" t="s">
        <v>97</v>
      </c>
      <c r="E505" s="13" t="s">
        <v>1730</v>
      </c>
      <c r="F505" s="13" t="s">
        <v>627</v>
      </c>
      <c r="G505" s="13" t="s">
        <v>1753</v>
      </c>
      <c r="H505" s="13" t="s">
        <v>101</v>
      </c>
      <c r="I505" s="21" t="s">
        <v>1754</v>
      </c>
      <c r="J505" s="21" t="s">
        <v>1755</v>
      </c>
      <c r="K505" s="21" t="s">
        <v>1756</v>
      </c>
      <c r="L505" s="22" t="s">
        <v>37</v>
      </c>
      <c r="M505" s="21" t="s">
        <v>163</v>
      </c>
      <c r="N505" s="13" t="s">
        <v>106</v>
      </c>
      <c r="O505" s="23" t="n">
        <v>9.95</v>
      </c>
      <c r="P505" s="13" t="n">
        <v>1</v>
      </c>
      <c r="Q505" s="24" t="n">
        <v>46310.6651273148</v>
      </c>
      <c r="R505" s="22"/>
      <c r="S505" s="13" t="s">
        <v>164</v>
      </c>
      <c r="T505" s="13" t="str">
        <f aca="false">IF(S505="Oui",IF(R505=L505,"Identique","Changé"),"")</f>
        <v/>
      </c>
    </row>
    <row r="506" customFormat="false" ht="46.25" hidden="false" customHeight="false" outlineLevel="0" collapsed="false">
      <c r="A506" s="13" t="s">
        <v>1757</v>
      </c>
      <c r="B506" s="13" t="s">
        <v>1738</v>
      </c>
      <c r="C506" s="13" t="n">
        <v>5</v>
      </c>
      <c r="D506" s="13" t="s">
        <v>97</v>
      </c>
      <c r="E506" s="13" t="s">
        <v>570</v>
      </c>
      <c r="F506" s="13" t="s">
        <v>627</v>
      </c>
      <c r="G506" s="13" t="s">
        <v>1758</v>
      </c>
      <c r="H506" s="13" t="s">
        <v>101</v>
      </c>
      <c r="I506" s="21" t="s">
        <v>1759</v>
      </c>
      <c r="J506" s="21" t="s">
        <v>1741</v>
      </c>
      <c r="K506" s="21" t="s">
        <v>1760</v>
      </c>
      <c r="L506" s="22" t="s">
        <v>37</v>
      </c>
      <c r="M506" s="21" t="s">
        <v>163</v>
      </c>
      <c r="N506" s="13" t="s">
        <v>106</v>
      </c>
      <c r="O506" s="23" t="n">
        <v>12.45</v>
      </c>
      <c r="P506" s="13" t="n">
        <v>1</v>
      </c>
      <c r="Q506" s="24" t="n">
        <v>46310.6653935185</v>
      </c>
      <c r="R506" s="22"/>
      <c r="S506" s="13" t="s">
        <v>164</v>
      </c>
      <c r="T506" s="13" t="str">
        <f aca="false">IF(S506="Oui",IF(R506=L506,"Identique","Changé"),"")</f>
        <v/>
      </c>
    </row>
    <row r="507" customFormat="false" ht="46.25" hidden="false" customHeight="false" outlineLevel="0" collapsed="false">
      <c r="A507" s="13" t="s">
        <v>1761</v>
      </c>
      <c r="B507" s="13" t="s">
        <v>1762</v>
      </c>
      <c r="C507" s="13" t="n">
        <v>1</v>
      </c>
      <c r="D507" s="13" t="s">
        <v>135</v>
      </c>
      <c r="E507" s="13" t="s">
        <v>570</v>
      </c>
      <c r="F507" s="13" t="s">
        <v>1763</v>
      </c>
      <c r="G507" s="13" t="s">
        <v>1739</v>
      </c>
      <c r="H507" s="13" t="s">
        <v>101</v>
      </c>
      <c r="I507" s="21" t="s">
        <v>1764</v>
      </c>
      <c r="J507" s="21" t="s">
        <v>1765</v>
      </c>
      <c r="K507" s="21" t="s">
        <v>1766</v>
      </c>
      <c r="L507" s="22" t="s">
        <v>36</v>
      </c>
      <c r="M507" s="21" t="s">
        <v>235</v>
      </c>
      <c r="N507" s="13" t="s">
        <v>106</v>
      </c>
      <c r="O507" s="23" t="n">
        <v>57.91</v>
      </c>
      <c r="P507" s="13" t="n">
        <v>1</v>
      </c>
      <c r="Q507" s="24" t="n">
        <v>46310.6662615741</v>
      </c>
      <c r="R507" s="22"/>
      <c r="S507" s="13" t="s">
        <v>164</v>
      </c>
      <c r="T507" s="13" t="str">
        <f aca="false">IF(S507="Oui",IF(R507=L507,"Identique","Changé"),"")</f>
        <v/>
      </c>
    </row>
    <row r="508" customFormat="false" ht="46.25" hidden="false" customHeight="false" outlineLevel="0" collapsed="false">
      <c r="A508" s="13" t="s">
        <v>1767</v>
      </c>
      <c r="B508" s="13" t="s">
        <v>1762</v>
      </c>
      <c r="C508" s="13" t="n">
        <v>2</v>
      </c>
      <c r="D508" s="13" t="s">
        <v>135</v>
      </c>
      <c r="E508" s="13" t="s">
        <v>122</v>
      </c>
      <c r="F508" s="13" t="s">
        <v>1763</v>
      </c>
      <c r="G508" s="13" t="s">
        <v>1744</v>
      </c>
      <c r="H508" s="13" t="s">
        <v>101</v>
      </c>
      <c r="I508" s="21" t="s">
        <v>1768</v>
      </c>
      <c r="J508" s="21" t="s">
        <v>311</v>
      </c>
      <c r="K508" s="21" t="s">
        <v>1769</v>
      </c>
      <c r="L508" s="22" t="s">
        <v>36</v>
      </c>
      <c r="M508" s="21" t="s">
        <v>235</v>
      </c>
      <c r="N508" s="13" t="s">
        <v>106</v>
      </c>
      <c r="O508" s="23" t="n">
        <v>7.67</v>
      </c>
      <c r="P508" s="13" t="n">
        <v>1</v>
      </c>
      <c r="Q508" s="24" t="n">
        <v>46310.6664699074</v>
      </c>
      <c r="R508" s="22"/>
      <c r="S508" s="13" t="s">
        <v>164</v>
      </c>
      <c r="T508" s="13" t="str">
        <f aca="false">IF(S508="Oui",IF(R508=L508,"Identique","Changé"),"")</f>
        <v/>
      </c>
    </row>
    <row r="509" customFormat="false" ht="135.8" hidden="false" customHeight="false" outlineLevel="0" collapsed="false">
      <c r="A509" s="13" t="s">
        <v>1770</v>
      </c>
      <c r="B509" s="13" t="s">
        <v>1762</v>
      </c>
      <c r="C509" s="13" t="n">
        <v>3</v>
      </c>
      <c r="D509" s="13" t="s">
        <v>135</v>
      </c>
      <c r="E509" s="13" t="s">
        <v>1730</v>
      </c>
      <c r="F509" s="13" t="s">
        <v>1771</v>
      </c>
      <c r="G509" s="13" t="s">
        <v>1753</v>
      </c>
      <c r="H509" s="13" t="s">
        <v>152</v>
      </c>
      <c r="I509" s="21" t="s">
        <v>1772</v>
      </c>
      <c r="J509" s="21" t="s">
        <v>154</v>
      </c>
      <c r="K509" s="21" t="s">
        <v>1773</v>
      </c>
      <c r="L509" s="22" t="s">
        <v>40</v>
      </c>
      <c r="M509" s="21" t="s">
        <v>156</v>
      </c>
      <c r="N509" s="13" t="s">
        <v>106</v>
      </c>
      <c r="O509" s="23" t="n">
        <v>38.35</v>
      </c>
      <c r="P509" s="13" t="n">
        <v>1</v>
      </c>
      <c r="Q509" s="24" t="n">
        <v>46310.667025463</v>
      </c>
      <c r="R509" s="22"/>
      <c r="S509" s="13" t="s">
        <v>164</v>
      </c>
      <c r="T509" s="13" t="str">
        <f aca="false">IF(S509="Oui",IF(R509=L509,"Identique","Changé"),"")</f>
        <v/>
      </c>
    </row>
    <row r="510" customFormat="false" ht="46.25" hidden="false" customHeight="false" outlineLevel="0" collapsed="false">
      <c r="A510" s="13" t="s">
        <v>1774</v>
      </c>
      <c r="B510" s="13" t="s">
        <v>1762</v>
      </c>
      <c r="C510" s="13" t="n">
        <v>4</v>
      </c>
      <c r="D510" s="13" t="s">
        <v>135</v>
      </c>
      <c r="E510" s="13" t="s">
        <v>570</v>
      </c>
      <c r="F510" s="13" t="s">
        <v>1771</v>
      </c>
      <c r="G510" s="13" t="s">
        <v>1775</v>
      </c>
      <c r="H510" s="13" t="s">
        <v>101</v>
      </c>
      <c r="I510" s="21" t="s">
        <v>1776</v>
      </c>
      <c r="J510" s="21" t="s">
        <v>1777</v>
      </c>
      <c r="K510" s="21" t="s">
        <v>1778</v>
      </c>
      <c r="L510" s="22" t="s">
        <v>36</v>
      </c>
      <c r="M510" s="21" t="s">
        <v>120</v>
      </c>
      <c r="N510" s="13" t="s">
        <v>106</v>
      </c>
      <c r="O510" s="23" t="n">
        <v>7.81</v>
      </c>
      <c r="P510" s="13" t="n">
        <v>1</v>
      </c>
      <c r="Q510" s="24" t="n">
        <v>46310.6672453704</v>
      </c>
      <c r="R510" s="22"/>
      <c r="S510" s="13" t="s">
        <v>164</v>
      </c>
      <c r="T510" s="13" t="str">
        <f aca="false">IF(S510="Oui",IF(R510=L510,"Identique","Changé"),"")</f>
        <v/>
      </c>
    </row>
    <row r="511" customFormat="false" ht="35.05" hidden="false" customHeight="false" outlineLevel="0" collapsed="false">
      <c r="A511" s="13" t="s">
        <v>1779</v>
      </c>
      <c r="B511" s="13" t="s">
        <v>1762</v>
      </c>
      <c r="C511" s="13" t="n">
        <v>5</v>
      </c>
      <c r="D511" s="13" t="s">
        <v>135</v>
      </c>
      <c r="E511" s="13" t="s">
        <v>570</v>
      </c>
      <c r="F511" s="13" t="s">
        <v>1763</v>
      </c>
      <c r="G511" s="13" t="s">
        <v>1780</v>
      </c>
      <c r="H511" s="13" t="s">
        <v>101</v>
      </c>
      <c r="I511" s="21" t="s">
        <v>1781</v>
      </c>
      <c r="J511" s="21" t="s">
        <v>512</v>
      </c>
      <c r="K511" s="21" t="s">
        <v>1782</v>
      </c>
      <c r="L511" s="22" t="s">
        <v>36</v>
      </c>
      <c r="M511" s="21" t="s">
        <v>120</v>
      </c>
      <c r="N511" s="13" t="s">
        <v>106</v>
      </c>
      <c r="O511" s="23" t="n">
        <v>10.03</v>
      </c>
      <c r="P511" s="13" t="n">
        <v>1</v>
      </c>
      <c r="Q511" s="24" t="n">
        <v>46310.6674768519</v>
      </c>
      <c r="R511" s="22"/>
      <c r="S511" s="13" t="s">
        <v>164</v>
      </c>
      <c r="T511" s="13" t="str">
        <f aca="false">IF(S511="Oui",IF(R511=L511,"Identique","Changé"),"")</f>
        <v/>
      </c>
    </row>
    <row r="512" customFormat="false" ht="57.45" hidden="false" customHeight="false" outlineLevel="0" collapsed="false">
      <c r="A512" s="13" t="s">
        <v>1783</v>
      </c>
      <c r="B512" s="13" t="s">
        <v>1784</v>
      </c>
      <c r="C512" s="13" t="n">
        <v>1</v>
      </c>
      <c r="D512" s="13" t="s">
        <v>97</v>
      </c>
      <c r="E512" s="13" t="s">
        <v>570</v>
      </c>
      <c r="F512" s="13" t="s">
        <v>524</v>
      </c>
      <c r="G512" s="13" t="s">
        <v>1785</v>
      </c>
      <c r="H512" s="13" t="s">
        <v>101</v>
      </c>
      <c r="I512" s="21" t="s">
        <v>1786</v>
      </c>
      <c r="J512" s="21" t="s">
        <v>1787</v>
      </c>
      <c r="K512" s="21" t="s">
        <v>1788</v>
      </c>
      <c r="L512" s="22" t="s">
        <v>36</v>
      </c>
      <c r="M512" s="21" t="s">
        <v>235</v>
      </c>
      <c r="N512" s="13" t="s">
        <v>106</v>
      </c>
      <c r="O512" s="23" t="n">
        <v>33.3</v>
      </c>
      <c r="P512" s="13" t="n">
        <v>1</v>
      </c>
      <c r="Q512" s="24" t="n">
        <v>46310.6681018519</v>
      </c>
      <c r="R512" s="22"/>
      <c r="S512" s="13" t="s">
        <v>164</v>
      </c>
      <c r="T512" s="13" t="str">
        <f aca="false">IF(S512="Oui",IF(R512=L512,"Identique","Changé"),"")</f>
        <v/>
      </c>
    </row>
    <row r="513" customFormat="false" ht="35.05" hidden="false" customHeight="false" outlineLevel="0" collapsed="false">
      <c r="A513" s="13" t="s">
        <v>1789</v>
      </c>
      <c r="B513" s="13" t="s">
        <v>1784</v>
      </c>
      <c r="C513" s="13" t="n">
        <v>2</v>
      </c>
      <c r="D513" s="13" t="s">
        <v>97</v>
      </c>
      <c r="E513" s="13" t="s">
        <v>570</v>
      </c>
      <c r="F513" s="13" t="s">
        <v>524</v>
      </c>
      <c r="G513" s="13" t="s">
        <v>1790</v>
      </c>
      <c r="H513" s="13" t="s">
        <v>101</v>
      </c>
      <c r="I513" s="21" t="s">
        <v>1791</v>
      </c>
      <c r="J513" s="21" t="s">
        <v>512</v>
      </c>
      <c r="K513" s="21" t="s">
        <v>1792</v>
      </c>
      <c r="L513" s="22" t="s">
        <v>36</v>
      </c>
      <c r="M513" s="21" t="s">
        <v>120</v>
      </c>
      <c r="N513" s="13" t="s">
        <v>106</v>
      </c>
      <c r="O513" s="23" t="n">
        <v>16.91</v>
      </c>
      <c r="P513" s="13" t="n">
        <v>1</v>
      </c>
      <c r="Q513" s="24" t="n">
        <v>46310.6684027778</v>
      </c>
      <c r="R513" s="22"/>
      <c r="S513" s="13" t="s">
        <v>164</v>
      </c>
      <c r="T513" s="13" t="str">
        <f aca="false">IF(S513="Oui",IF(R513=L513,"Identique","Changé"),"")</f>
        <v/>
      </c>
    </row>
    <row r="514" customFormat="false" ht="68.65" hidden="false" customHeight="false" outlineLevel="0" collapsed="false">
      <c r="A514" s="13" t="s">
        <v>1793</v>
      </c>
      <c r="B514" s="13" t="s">
        <v>1784</v>
      </c>
      <c r="C514" s="13" t="n">
        <v>3</v>
      </c>
      <c r="D514" s="13" t="s">
        <v>97</v>
      </c>
      <c r="E514" s="13" t="s">
        <v>570</v>
      </c>
      <c r="F514" s="13" t="s">
        <v>524</v>
      </c>
      <c r="G514" s="13" t="s">
        <v>1794</v>
      </c>
      <c r="H514" s="13" t="s">
        <v>101</v>
      </c>
      <c r="I514" s="21" t="s">
        <v>1795</v>
      </c>
      <c r="J514" s="21" t="s">
        <v>1796</v>
      </c>
      <c r="K514" s="21" t="s">
        <v>1797</v>
      </c>
      <c r="L514" s="22" t="s">
        <v>36</v>
      </c>
      <c r="M514" s="21" t="s">
        <v>1798</v>
      </c>
      <c r="N514" s="13" t="s">
        <v>106</v>
      </c>
      <c r="O514" s="23" t="n">
        <v>12.53</v>
      </c>
      <c r="P514" s="13" t="n">
        <v>1</v>
      </c>
      <c r="Q514" s="24" t="n">
        <v>46310.6686689815</v>
      </c>
      <c r="R514" s="22"/>
      <c r="S514" s="13" t="s">
        <v>164</v>
      </c>
      <c r="T514" s="13" t="str">
        <f aca="false">IF(S514="Oui",IF(R514=L514,"Identique","Changé"),"")</f>
        <v/>
      </c>
    </row>
    <row r="515" customFormat="false" ht="57.45" hidden="false" customHeight="false" outlineLevel="0" collapsed="false">
      <c r="A515" s="13" t="s">
        <v>1799</v>
      </c>
      <c r="B515" s="13" t="s">
        <v>1784</v>
      </c>
      <c r="C515" s="13" t="n">
        <v>4</v>
      </c>
      <c r="D515" s="13" t="s">
        <v>97</v>
      </c>
      <c r="E515" s="13" t="s">
        <v>570</v>
      </c>
      <c r="F515" s="13" t="s">
        <v>524</v>
      </c>
      <c r="G515" s="13" t="s">
        <v>1800</v>
      </c>
      <c r="H515" s="13" t="s">
        <v>101</v>
      </c>
      <c r="I515" s="21" t="s">
        <v>1801</v>
      </c>
      <c r="J515" s="21" t="s">
        <v>1802</v>
      </c>
      <c r="K515" s="21" t="s">
        <v>1803</v>
      </c>
      <c r="L515" s="22" t="s">
        <v>36</v>
      </c>
      <c r="M515" s="21" t="s">
        <v>235</v>
      </c>
      <c r="N515" s="13" t="s">
        <v>106</v>
      </c>
      <c r="O515" s="23" t="n">
        <v>31.12</v>
      </c>
      <c r="P515" s="13" t="n">
        <v>1</v>
      </c>
      <c r="Q515" s="24" t="n">
        <v>46310.6691550926</v>
      </c>
      <c r="R515" s="22"/>
      <c r="S515" s="13" t="s">
        <v>164</v>
      </c>
      <c r="T515" s="13" t="str">
        <f aca="false">IF(S515="Oui",IF(R515=L515,"Identique","Changé"),"")</f>
        <v/>
      </c>
    </row>
    <row r="516" customFormat="false" ht="46.25" hidden="false" customHeight="false" outlineLevel="0" collapsed="false">
      <c r="A516" s="13" t="s">
        <v>1804</v>
      </c>
      <c r="B516" s="13" t="s">
        <v>1784</v>
      </c>
      <c r="C516" s="13" t="n">
        <v>5</v>
      </c>
      <c r="D516" s="13" t="s">
        <v>97</v>
      </c>
      <c r="E516" s="13" t="s">
        <v>570</v>
      </c>
      <c r="F516" s="13" t="s">
        <v>524</v>
      </c>
      <c r="G516" s="13" t="s">
        <v>1805</v>
      </c>
      <c r="H516" s="13" t="s">
        <v>101</v>
      </c>
      <c r="I516" s="21" t="s">
        <v>1806</v>
      </c>
      <c r="J516" s="21" t="s">
        <v>284</v>
      </c>
      <c r="K516" s="21" t="s">
        <v>1807</v>
      </c>
      <c r="L516" s="22" t="s">
        <v>36</v>
      </c>
      <c r="M516" s="21" t="s">
        <v>120</v>
      </c>
      <c r="N516" s="13" t="s">
        <v>106</v>
      </c>
      <c r="O516" s="23" t="n">
        <v>12.95</v>
      </c>
      <c r="P516" s="13" t="n">
        <v>1</v>
      </c>
      <c r="Q516" s="24" t="n">
        <v>46310.6694328704</v>
      </c>
      <c r="R516" s="22"/>
      <c r="S516" s="13" t="s">
        <v>164</v>
      </c>
      <c r="T516" s="13" t="str">
        <f aca="false">IF(S516="Oui",IF(R516=L516,"Identique","Changé"),"")</f>
        <v/>
      </c>
    </row>
    <row r="517" customFormat="false" ht="46.25" hidden="false" customHeight="false" outlineLevel="0" collapsed="false">
      <c r="A517" s="13" t="s">
        <v>1808</v>
      </c>
      <c r="B517" s="13" t="s">
        <v>1809</v>
      </c>
      <c r="C517" s="13" t="n">
        <v>1</v>
      </c>
      <c r="D517" s="13" t="s">
        <v>135</v>
      </c>
      <c r="E517" s="13" t="s">
        <v>570</v>
      </c>
      <c r="F517" s="13" t="s">
        <v>1810</v>
      </c>
      <c r="G517" s="13" t="s">
        <v>1811</v>
      </c>
      <c r="H517" s="13" t="s">
        <v>101</v>
      </c>
      <c r="I517" s="21" t="s">
        <v>1812</v>
      </c>
      <c r="J517" s="21" t="s">
        <v>1765</v>
      </c>
      <c r="K517" s="21" t="s">
        <v>1813</v>
      </c>
      <c r="L517" s="22" t="s">
        <v>36</v>
      </c>
      <c r="M517" s="21" t="s">
        <v>235</v>
      </c>
      <c r="N517" s="13" t="s">
        <v>106</v>
      </c>
      <c r="O517" s="23" t="n">
        <v>36.58</v>
      </c>
      <c r="P517" s="13" t="n">
        <v>1</v>
      </c>
      <c r="Q517" s="24" t="n">
        <v>46310.6700462963</v>
      </c>
      <c r="R517" s="22"/>
      <c r="S517" s="13" t="s">
        <v>164</v>
      </c>
      <c r="T517" s="13" t="str">
        <f aca="false">IF(S517="Oui",IF(R517=L517,"Identique","Changé"),"")</f>
        <v/>
      </c>
    </row>
    <row r="518" customFormat="false" ht="35.05" hidden="false" customHeight="false" outlineLevel="0" collapsed="false">
      <c r="A518" s="13" t="s">
        <v>1814</v>
      </c>
      <c r="B518" s="13" t="s">
        <v>1809</v>
      </c>
      <c r="C518" s="13" t="n">
        <v>2</v>
      </c>
      <c r="D518" s="13" t="s">
        <v>135</v>
      </c>
      <c r="E518" s="13" t="s">
        <v>570</v>
      </c>
      <c r="F518" s="13" t="s">
        <v>1810</v>
      </c>
      <c r="G518" s="13" t="s">
        <v>1758</v>
      </c>
      <c r="H518" s="13" t="s">
        <v>101</v>
      </c>
      <c r="I518" s="21" t="s">
        <v>1815</v>
      </c>
      <c r="J518" s="21" t="s">
        <v>1741</v>
      </c>
      <c r="K518" s="21" t="s">
        <v>1816</v>
      </c>
      <c r="L518" s="22" t="s">
        <v>36</v>
      </c>
      <c r="M518" s="21" t="s">
        <v>235</v>
      </c>
      <c r="N518" s="13" t="s">
        <v>106</v>
      </c>
      <c r="O518" s="23" t="n">
        <v>9.91</v>
      </c>
      <c r="P518" s="13" t="n">
        <v>1</v>
      </c>
      <c r="Q518" s="24" t="n">
        <v>46310.6702662037</v>
      </c>
      <c r="R518" s="22"/>
      <c r="S518" s="13" t="s">
        <v>164</v>
      </c>
      <c r="T518" s="13" t="str">
        <f aca="false">IF(S518="Oui",IF(R518=L518,"Identique","Changé"),"")</f>
        <v/>
      </c>
    </row>
    <row r="519" customFormat="false" ht="46.25" hidden="false" customHeight="false" outlineLevel="0" collapsed="false">
      <c r="A519" s="13" t="s">
        <v>1817</v>
      </c>
      <c r="B519" s="13" t="s">
        <v>1809</v>
      </c>
      <c r="C519" s="13" t="n">
        <v>3</v>
      </c>
      <c r="D519" s="13" t="s">
        <v>135</v>
      </c>
      <c r="E519" s="13" t="s">
        <v>122</v>
      </c>
      <c r="F519" s="13" t="s">
        <v>1818</v>
      </c>
      <c r="G519" s="13" t="s">
        <v>1819</v>
      </c>
      <c r="H519" s="13" t="s">
        <v>101</v>
      </c>
      <c r="I519" s="21" t="s">
        <v>1820</v>
      </c>
      <c r="J519" s="21" t="s">
        <v>1741</v>
      </c>
      <c r="K519" s="21" t="s">
        <v>1821</v>
      </c>
      <c r="L519" s="22" t="s">
        <v>38</v>
      </c>
      <c r="M519" s="21" t="s">
        <v>1822</v>
      </c>
      <c r="N519" s="13" t="s">
        <v>106</v>
      </c>
      <c r="O519" s="23" t="n">
        <v>11.53</v>
      </c>
      <c r="P519" s="13" t="n">
        <v>1</v>
      </c>
      <c r="Q519" s="24" t="n">
        <v>46310.6705208333</v>
      </c>
      <c r="R519" s="22"/>
      <c r="S519" s="13" t="s">
        <v>164</v>
      </c>
      <c r="T519" s="13" t="str">
        <f aca="false">IF(S519="Oui",IF(R519=L519,"Identique","Changé"),"")</f>
        <v/>
      </c>
    </row>
    <row r="520" customFormat="false" ht="57.45" hidden="false" customHeight="false" outlineLevel="0" collapsed="false">
      <c r="A520" s="13" t="s">
        <v>1823</v>
      </c>
      <c r="B520" s="13" t="s">
        <v>1809</v>
      </c>
      <c r="C520" s="13" t="n">
        <v>4</v>
      </c>
      <c r="D520" s="13" t="s">
        <v>135</v>
      </c>
      <c r="E520" s="13" t="s">
        <v>570</v>
      </c>
      <c r="F520" s="13" t="s">
        <v>1818</v>
      </c>
      <c r="G520" s="13" t="s">
        <v>1824</v>
      </c>
      <c r="H520" s="13" t="s">
        <v>152</v>
      </c>
      <c r="I520" s="21" t="s">
        <v>1825</v>
      </c>
      <c r="J520" s="21" t="s">
        <v>154</v>
      </c>
      <c r="K520" s="21" t="s">
        <v>1826</v>
      </c>
      <c r="L520" s="22" t="s">
        <v>40</v>
      </c>
      <c r="M520" s="21" t="s">
        <v>156</v>
      </c>
      <c r="N520" s="13" t="s">
        <v>106</v>
      </c>
      <c r="O520" s="23" t="n">
        <v>9.46</v>
      </c>
      <c r="P520" s="13" t="n">
        <v>1</v>
      </c>
      <c r="Q520" s="24" t="n">
        <v>46310.6707523148</v>
      </c>
      <c r="R520" s="22"/>
      <c r="S520" s="13" t="s">
        <v>164</v>
      </c>
      <c r="T520" s="13" t="str">
        <f aca="false">IF(S520="Oui",IF(R520=L520,"Identique","Changé"),"")</f>
        <v/>
      </c>
    </row>
    <row r="521" customFormat="false" ht="35.05" hidden="false" customHeight="false" outlineLevel="0" collapsed="false">
      <c r="A521" s="13" t="s">
        <v>1827</v>
      </c>
      <c r="B521" s="13" t="s">
        <v>1809</v>
      </c>
      <c r="C521" s="13" t="n">
        <v>5</v>
      </c>
      <c r="D521" s="13" t="s">
        <v>135</v>
      </c>
      <c r="E521" s="13" t="s">
        <v>570</v>
      </c>
      <c r="F521" s="13" t="s">
        <v>1810</v>
      </c>
      <c r="G521" s="13" t="s">
        <v>1794</v>
      </c>
      <c r="H521" s="13" t="s">
        <v>101</v>
      </c>
      <c r="I521" s="21" t="s">
        <v>1828</v>
      </c>
      <c r="J521" s="21" t="s">
        <v>1829</v>
      </c>
      <c r="K521" s="21" t="s">
        <v>1830</v>
      </c>
      <c r="L521" s="22" t="s">
        <v>38</v>
      </c>
      <c r="M521" s="21" t="s">
        <v>1822</v>
      </c>
      <c r="N521" s="13" t="s">
        <v>106</v>
      </c>
      <c r="O521" s="23" t="n">
        <v>12.2</v>
      </c>
      <c r="P521" s="13" t="n">
        <v>1</v>
      </c>
      <c r="Q521" s="24" t="n">
        <v>46310.6710185185</v>
      </c>
      <c r="R521" s="22"/>
      <c r="S521" s="13" t="s">
        <v>164</v>
      </c>
      <c r="T521" s="13" t="str">
        <f aca="false">IF(S521="Oui",IF(R521=L521,"Identique","Changé"),"")</f>
        <v/>
      </c>
    </row>
    <row r="522" customFormat="false" ht="91" hidden="false" customHeight="false" outlineLevel="0" collapsed="false">
      <c r="A522" s="13" t="s">
        <v>1831</v>
      </c>
      <c r="B522" s="13" t="s">
        <v>1832</v>
      </c>
      <c r="C522" s="13" t="n">
        <v>1</v>
      </c>
      <c r="D522" s="13" t="s">
        <v>97</v>
      </c>
      <c r="E522" s="13" t="s">
        <v>122</v>
      </c>
      <c r="F522" s="13" t="s">
        <v>946</v>
      </c>
      <c r="G522" s="13" t="s">
        <v>1833</v>
      </c>
      <c r="H522" s="13" t="s">
        <v>101</v>
      </c>
      <c r="I522" s="21" t="s">
        <v>1834</v>
      </c>
      <c r="J522" s="21" t="s">
        <v>1741</v>
      </c>
      <c r="K522" s="21" t="s">
        <v>1835</v>
      </c>
      <c r="L522" s="22" t="s">
        <v>36</v>
      </c>
      <c r="M522" s="21" t="s">
        <v>235</v>
      </c>
      <c r="N522" s="13" t="s">
        <v>106</v>
      </c>
      <c r="O522" s="23" t="n">
        <v>38.62</v>
      </c>
      <c r="P522" s="13" t="n">
        <v>1</v>
      </c>
      <c r="Q522" s="24" t="n">
        <v>46310.6716782407</v>
      </c>
      <c r="R522" s="22"/>
      <c r="S522" s="13" t="s">
        <v>164</v>
      </c>
      <c r="T522" s="13" t="str">
        <f aca="false">IF(S522="Oui",IF(R522=L522,"Identique","Changé"),"")</f>
        <v/>
      </c>
    </row>
    <row r="523" customFormat="false" ht="113.4" hidden="false" customHeight="false" outlineLevel="0" collapsed="false">
      <c r="A523" s="13" t="s">
        <v>1836</v>
      </c>
      <c r="B523" s="13" t="s">
        <v>1832</v>
      </c>
      <c r="C523" s="13" t="n">
        <v>2</v>
      </c>
      <c r="D523" s="13" t="s">
        <v>97</v>
      </c>
      <c r="E523" s="13" t="s">
        <v>570</v>
      </c>
      <c r="F523" s="13" t="s">
        <v>946</v>
      </c>
      <c r="G523" s="13" t="s">
        <v>1775</v>
      </c>
      <c r="H523" s="13" t="s">
        <v>101</v>
      </c>
      <c r="I523" s="21" t="s">
        <v>1837</v>
      </c>
      <c r="J523" s="21" t="s">
        <v>1777</v>
      </c>
      <c r="K523" s="21" t="s">
        <v>1838</v>
      </c>
      <c r="L523" s="22" t="s">
        <v>36</v>
      </c>
      <c r="M523" s="21" t="s">
        <v>120</v>
      </c>
      <c r="N523" s="13" t="s">
        <v>106</v>
      </c>
      <c r="O523" s="23" t="n">
        <v>15.79</v>
      </c>
      <c r="P523" s="13" t="n">
        <v>1</v>
      </c>
      <c r="Q523" s="24" t="n">
        <v>46310.6719791667</v>
      </c>
      <c r="R523" s="22"/>
      <c r="S523" s="13" t="s">
        <v>164</v>
      </c>
      <c r="T523" s="13" t="str">
        <f aca="false">IF(S523="Oui",IF(R523=L523,"Identique","Changé"),"")</f>
        <v/>
      </c>
    </row>
    <row r="524" customFormat="false" ht="79.85" hidden="false" customHeight="false" outlineLevel="0" collapsed="false">
      <c r="A524" s="13" t="s">
        <v>1839</v>
      </c>
      <c r="B524" s="13" t="s">
        <v>1832</v>
      </c>
      <c r="C524" s="13" t="n">
        <v>3</v>
      </c>
      <c r="D524" s="13" t="s">
        <v>97</v>
      </c>
      <c r="E524" s="13" t="s">
        <v>122</v>
      </c>
      <c r="F524" s="13" t="s">
        <v>664</v>
      </c>
      <c r="G524" s="13" t="s">
        <v>1840</v>
      </c>
      <c r="H524" s="13" t="s">
        <v>101</v>
      </c>
      <c r="I524" s="21" t="s">
        <v>1841</v>
      </c>
      <c r="J524" s="21" t="s">
        <v>284</v>
      </c>
      <c r="K524" s="21" t="s">
        <v>1842</v>
      </c>
      <c r="L524" s="22" t="s">
        <v>38</v>
      </c>
      <c r="M524" s="21" t="s">
        <v>1843</v>
      </c>
      <c r="N524" s="13" t="s">
        <v>106</v>
      </c>
      <c r="O524" s="23" t="n">
        <v>15.91</v>
      </c>
      <c r="P524" s="13" t="n">
        <v>1</v>
      </c>
      <c r="Q524" s="24" t="n">
        <v>46310.6722800926</v>
      </c>
      <c r="R524" s="22"/>
      <c r="S524" s="13" t="s">
        <v>164</v>
      </c>
      <c r="T524" s="13" t="str">
        <f aca="false">IF(S524="Oui",IF(R524=L524,"Identique","Changé"),"")</f>
        <v/>
      </c>
    </row>
    <row r="525" customFormat="false" ht="46.25" hidden="false" customHeight="false" outlineLevel="0" collapsed="false">
      <c r="A525" s="13" t="s">
        <v>1844</v>
      </c>
      <c r="B525" s="13" t="s">
        <v>1832</v>
      </c>
      <c r="C525" s="13" t="n">
        <v>4</v>
      </c>
      <c r="D525" s="13" t="s">
        <v>97</v>
      </c>
      <c r="E525" s="13" t="s">
        <v>570</v>
      </c>
      <c r="F525" s="13" t="s">
        <v>664</v>
      </c>
      <c r="G525" s="13" t="s">
        <v>1780</v>
      </c>
      <c r="H525" s="13" t="s">
        <v>101</v>
      </c>
      <c r="I525" s="21" t="s">
        <v>1845</v>
      </c>
      <c r="J525" s="21" t="s">
        <v>284</v>
      </c>
      <c r="K525" s="21" t="s">
        <v>1846</v>
      </c>
      <c r="L525" s="22" t="s">
        <v>36</v>
      </c>
      <c r="M525" s="21" t="s">
        <v>120</v>
      </c>
      <c r="N525" s="13" t="s">
        <v>106</v>
      </c>
      <c r="O525" s="23" t="n">
        <v>10.97</v>
      </c>
      <c r="P525" s="13" t="n">
        <v>1</v>
      </c>
      <c r="Q525" s="24" t="n">
        <v>46310.6725347222</v>
      </c>
      <c r="R525" s="22"/>
      <c r="S525" s="13" t="s">
        <v>164</v>
      </c>
      <c r="T525" s="13" t="str">
        <f aca="false">IF(S525="Oui",IF(R525=L525,"Identique","Changé"),"")</f>
        <v/>
      </c>
    </row>
    <row r="526" customFormat="false" ht="79.85" hidden="false" customHeight="false" outlineLevel="0" collapsed="false">
      <c r="A526" s="13" t="s">
        <v>1847</v>
      </c>
      <c r="B526" s="13" t="s">
        <v>1832</v>
      </c>
      <c r="C526" s="13" t="n">
        <v>5</v>
      </c>
      <c r="D526" s="13" t="s">
        <v>97</v>
      </c>
      <c r="E526" s="13" t="s">
        <v>122</v>
      </c>
      <c r="F526" s="13" t="s">
        <v>946</v>
      </c>
      <c r="G526" s="13" t="s">
        <v>1848</v>
      </c>
      <c r="H526" s="13" t="s">
        <v>101</v>
      </c>
      <c r="I526" s="21" t="s">
        <v>1849</v>
      </c>
      <c r="J526" s="21" t="s">
        <v>1850</v>
      </c>
      <c r="K526" s="21" t="s">
        <v>1851</v>
      </c>
      <c r="L526" s="22" t="s">
        <v>36</v>
      </c>
      <c r="M526" s="21" t="s">
        <v>235</v>
      </c>
      <c r="N526" s="13" t="s">
        <v>106</v>
      </c>
      <c r="O526" s="23" t="n">
        <v>13.64</v>
      </c>
      <c r="P526" s="13" t="n">
        <v>1</v>
      </c>
      <c r="Q526" s="24" t="n">
        <v>46310.6728125</v>
      </c>
      <c r="R526" s="22"/>
      <c r="S526" s="13" t="s">
        <v>164</v>
      </c>
      <c r="T526" s="13" t="str">
        <f aca="false">IF(S526="Oui",IF(R526=L526,"Identique","Changé"),"")</f>
        <v/>
      </c>
    </row>
    <row r="527" customFormat="false" ht="57.45" hidden="false" customHeight="false" outlineLevel="0" collapsed="false">
      <c r="A527" s="13" t="s">
        <v>1852</v>
      </c>
      <c r="B527" s="13" t="s">
        <v>1853</v>
      </c>
      <c r="C527" s="13" t="n">
        <v>1</v>
      </c>
      <c r="D527" s="13" t="s">
        <v>135</v>
      </c>
      <c r="E527" s="13" t="s">
        <v>570</v>
      </c>
      <c r="F527" s="13" t="s">
        <v>1854</v>
      </c>
      <c r="G527" s="13" t="s">
        <v>1785</v>
      </c>
      <c r="H527" s="13" t="s">
        <v>101</v>
      </c>
      <c r="I527" s="21" t="s">
        <v>1855</v>
      </c>
      <c r="J527" s="21" t="s">
        <v>1856</v>
      </c>
      <c r="K527" s="21" t="s">
        <v>1857</v>
      </c>
      <c r="L527" s="22" t="s">
        <v>38</v>
      </c>
      <c r="M527" s="21" t="s">
        <v>1822</v>
      </c>
      <c r="N527" s="13" t="s">
        <v>106</v>
      </c>
      <c r="O527" s="23" t="n">
        <v>65.1</v>
      </c>
      <c r="P527" s="13" t="n">
        <v>1</v>
      </c>
      <c r="Q527" s="24" t="n">
        <v>46310.67375</v>
      </c>
      <c r="R527" s="22"/>
      <c r="S527" s="13" t="s">
        <v>164</v>
      </c>
      <c r="T527" s="13" t="str">
        <f aca="false">IF(S527="Oui",IF(R527=L527,"Identique","Changé"),"")</f>
        <v/>
      </c>
    </row>
    <row r="528" customFormat="false" ht="46.25" hidden="false" customHeight="false" outlineLevel="0" collapsed="false">
      <c r="A528" s="13" t="s">
        <v>1858</v>
      </c>
      <c r="B528" s="13" t="s">
        <v>1853</v>
      </c>
      <c r="C528" s="13" t="n">
        <v>2</v>
      </c>
      <c r="D528" s="13" t="s">
        <v>135</v>
      </c>
      <c r="E528" s="13" t="s">
        <v>570</v>
      </c>
      <c r="F528" s="13" t="s">
        <v>1854</v>
      </c>
      <c r="G528" s="13" t="s">
        <v>1859</v>
      </c>
      <c r="H528" s="13" t="s">
        <v>101</v>
      </c>
      <c r="I528" s="21" t="s">
        <v>1860</v>
      </c>
      <c r="J528" s="21" t="s">
        <v>1649</v>
      </c>
      <c r="K528" s="21" t="s">
        <v>1861</v>
      </c>
      <c r="L528" s="22" t="s">
        <v>38</v>
      </c>
      <c r="M528" s="21" t="s">
        <v>1822</v>
      </c>
      <c r="N528" s="13" t="s">
        <v>106</v>
      </c>
      <c r="O528" s="23" t="n">
        <v>11.36</v>
      </c>
      <c r="P528" s="13" t="n">
        <v>1</v>
      </c>
      <c r="Q528" s="24" t="n">
        <v>46310.6740046296</v>
      </c>
      <c r="R528" s="22"/>
      <c r="S528" s="13" t="s">
        <v>164</v>
      </c>
      <c r="T528" s="13" t="str">
        <f aca="false">IF(S528="Oui",IF(R528=L528,"Identique","Changé"),"")</f>
        <v/>
      </c>
    </row>
    <row r="529" customFormat="false" ht="46.25" hidden="false" customHeight="false" outlineLevel="0" collapsed="false">
      <c r="A529" s="13" t="s">
        <v>1862</v>
      </c>
      <c r="B529" s="13" t="s">
        <v>1853</v>
      </c>
      <c r="C529" s="13" t="n">
        <v>3</v>
      </c>
      <c r="D529" s="13" t="s">
        <v>135</v>
      </c>
      <c r="E529" s="13" t="s">
        <v>570</v>
      </c>
      <c r="F529" s="13" t="s">
        <v>1854</v>
      </c>
      <c r="G529" s="13" t="s">
        <v>1800</v>
      </c>
      <c r="H529" s="13" t="s">
        <v>101</v>
      </c>
      <c r="I529" s="21" t="s">
        <v>1863</v>
      </c>
      <c r="J529" s="21" t="s">
        <v>1864</v>
      </c>
      <c r="K529" s="21" t="s">
        <v>1865</v>
      </c>
      <c r="L529" s="22" t="s">
        <v>36</v>
      </c>
      <c r="M529" s="21" t="s">
        <v>235</v>
      </c>
      <c r="N529" s="13" t="s">
        <v>106</v>
      </c>
      <c r="O529" s="23" t="n">
        <v>29.01</v>
      </c>
      <c r="P529" s="13" t="n">
        <v>1</v>
      </c>
      <c r="Q529" s="24" t="n">
        <v>46310.6744444444</v>
      </c>
      <c r="R529" s="22"/>
      <c r="S529" s="13" t="s">
        <v>164</v>
      </c>
      <c r="T529" s="13" t="str">
        <f aca="false">IF(S529="Oui",IF(R529=L529,"Identique","Changé"),"")</f>
        <v/>
      </c>
    </row>
    <row r="530" customFormat="false" ht="35.05" hidden="false" customHeight="false" outlineLevel="0" collapsed="false">
      <c r="A530" s="13" t="s">
        <v>1866</v>
      </c>
      <c r="B530" s="13" t="s">
        <v>1853</v>
      </c>
      <c r="C530" s="13" t="n">
        <v>4</v>
      </c>
      <c r="D530" s="13" t="s">
        <v>135</v>
      </c>
      <c r="E530" s="13" t="s">
        <v>570</v>
      </c>
      <c r="F530" s="13" t="s">
        <v>1854</v>
      </c>
      <c r="G530" s="13" t="s">
        <v>1790</v>
      </c>
      <c r="H530" s="13" t="s">
        <v>101</v>
      </c>
      <c r="I530" s="21" t="s">
        <v>1867</v>
      </c>
      <c r="J530" s="21" t="s">
        <v>512</v>
      </c>
      <c r="K530" s="21" t="s">
        <v>1868</v>
      </c>
      <c r="L530" s="22" t="s">
        <v>36</v>
      </c>
      <c r="M530" s="21" t="s">
        <v>120</v>
      </c>
      <c r="N530" s="13" t="s">
        <v>106</v>
      </c>
      <c r="O530" s="23" t="n">
        <v>13.4</v>
      </c>
      <c r="P530" s="13" t="n">
        <v>1</v>
      </c>
      <c r="Q530" s="24" t="n">
        <v>46310.6747222222</v>
      </c>
      <c r="R530" s="22"/>
      <c r="S530" s="13" t="s">
        <v>164</v>
      </c>
      <c r="T530" s="13" t="str">
        <f aca="false">IF(S530="Oui",IF(R530=L530,"Identique","Changé"),"")</f>
        <v/>
      </c>
    </row>
    <row r="531" customFormat="false" ht="35.05" hidden="false" customHeight="false" outlineLevel="0" collapsed="false">
      <c r="A531" s="13" t="s">
        <v>1869</v>
      </c>
      <c r="B531" s="13" t="s">
        <v>1853</v>
      </c>
      <c r="C531" s="13" t="n">
        <v>5</v>
      </c>
      <c r="D531" s="13" t="s">
        <v>135</v>
      </c>
      <c r="E531" s="13" t="s">
        <v>570</v>
      </c>
      <c r="F531" s="13" t="s">
        <v>1854</v>
      </c>
      <c r="G531" s="13" t="s">
        <v>1805</v>
      </c>
      <c r="H531" s="13" t="s">
        <v>101</v>
      </c>
      <c r="I531" s="21" t="s">
        <v>1870</v>
      </c>
      <c r="J531" s="21" t="s">
        <v>284</v>
      </c>
      <c r="K531" s="21" t="s">
        <v>1871</v>
      </c>
      <c r="L531" s="22" t="s">
        <v>36</v>
      </c>
      <c r="M531" s="21" t="s">
        <v>120</v>
      </c>
      <c r="N531" s="13" t="s">
        <v>106</v>
      </c>
      <c r="O531" s="23" t="n">
        <v>10.27</v>
      </c>
      <c r="P531" s="13" t="n">
        <v>1</v>
      </c>
      <c r="Q531" s="24" t="n">
        <v>46310.6749768519</v>
      </c>
      <c r="R531" s="22"/>
      <c r="S531" s="13" t="s">
        <v>164</v>
      </c>
      <c r="T531" s="13" t="str">
        <f aca="false">IF(S531="Oui",IF(R531=L531,"Identique","Changé"),"")</f>
        <v/>
      </c>
    </row>
    <row r="532" customFormat="false" ht="68.65" hidden="false" customHeight="false" outlineLevel="0" collapsed="false">
      <c r="A532" s="13" t="s">
        <v>1872</v>
      </c>
      <c r="B532" s="13" t="s">
        <v>1873</v>
      </c>
      <c r="C532" s="13" t="n">
        <v>1</v>
      </c>
      <c r="D532" s="13" t="s">
        <v>97</v>
      </c>
      <c r="E532" s="13" t="s">
        <v>122</v>
      </c>
      <c r="F532" s="13" t="s">
        <v>1094</v>
      </c>
      <c r="G532" s="13" t="s">
        <v>1874</v>
      </c>
      <c r="H532" s="13" t="s">
        <v>101</v>
      </c>
      <c r="I532" s="21" t="s">
        <v>1875</v>
      </c>
      <c r="J532" s="21" t="s">
        <v>1876</v>
      </c>
      <c r="K532" s="21" t="s">
        <v>1877</v>
      </c>
      <c r="L532" s="22" t="s">
        <v>36</v>
      </c>
      <c r="M532" s="21" t="s">
        <v>1878</v>
      </c>
      <c r="N532" s="13" t="s">
        <v>1085</v>
      </c>
      <c r="O532" s="23" t="n">
        <v>47.57</v>
      </c>
      <c r="P532" s="13" t="n">
        <v>1</v>
      </c>
      <c r="Q532" s="24" t="n">
        <v>46310.6757175926</v>
      </c>
      <c r="R532" s="22"/>
      <c r="S532" s="13" t="s">
        <v>164</v>
      </c>
      <c r="T532" s="13" t="str">
        <f aca="false">IF(S532="Oui",IF(R532=L532,"Identique","Changé"),"")</f>
        <v/>
      </c>
    </row>
    <row r="533" customFormat="false" ht="23.85" hidden="false" customHeight="false" outlineLevel="0" collapsed="false">
      <c r="A533" s="13" t="s">
        <v>1879</v>
      </c>
      <c r="B533" s="13" t="s">
        <v>1873</v>
      </c>
      <c r="C533" s="13" t="n">
        <v>2</v>
      </c>
      <c r="D533" s="13" t="s">
        <v>97</v>
      </c>
      <c r="E533" s="13" t="s">
        <v>570</v>
      </c>
      <c r="F533" s="13" t="s">
        <v>1094</v>
      </c>
      <c r="G533" s="13" t="s">
        <v>1811</v>
      </c>
      <c r="H533" s="13" t="s">
        <v>101</v>
      </c>
      <c r="I533" s="21" t="s">
        <v>1880</v>
      </c>
      <c r="J533" s="21" t="s">
        <v>1741</v>
      </c>
      <c r="K533" s="21" t="s">
        <v>1881</v>
      </c>
      <c r="L533" s="22" t="s">
        <v>39</v>
      </c>
      <c r="M533" s="21" t="s">
        <v>565</v>
      </c>
      <c r="N533" s="13" t="s">
        <v>106</v>
      </c>
      <c r="O533" s="23" t="n">
        <v>12.64</v>
      </c>
      <c r="P533" s="13" t="n">
        <v>1</v>
      </c>
      <c r="Q533" s="24" t="n">
        <v>46310.6759837963</v>
      </c>
      <c r="R533" s="22"/>
      <c r="S533" s="13" t="s">
        <v>164</v>
      </c>
      <c r="T533" s="13" t="str">
        <f aca="false">IF(S533="Oui",IF(R533=L533,"Identique","Changé"),"")</f>
        <v/>
      </c>
    </row>
    <row r="534" customFormat="false" ht="46.25" hidden="false" customHeight="false" outlineLevel="0" collapsed="false">
      <c r="A534" s="13" t="s">
        <v>1882</v>
      </c>
      <c r="B534" s="13" t="s">
        <v>1873</v>
      </c>
      <c r="C534" s="13" t="n">
        <v>3</v>
      </c>
      <c r="D534" s="13" t="s">
        <v>97</v>
      </c>
      <c r="E534" s="13" t="s">
        <v>570</v>
      </c>
      <c r="F534" s="13" t="s">
        <v>409</v>
      </c>
      <c r="G534" s="13" t="s">
        <v>1883</v>
      </c>
      <c r="H534" s="13" t="s">
        <v>152</v>
      </c>
      <c r="I534" s="21" t="s">
        <v>1884</v>
      </c>
      <c r="J534" s="21" t="s">
        <v>154</v>
      </c>
      <c r="K534" s="21" t="s">
        <v>1885</v>
      </c>
      <c r="L534" s="22" t="s">
        <v>40</v>
      </c>
      <c r="M534" s="21" t="s">
        <v>156</v>
      </c>
      <c r="N534" s="13" t="s">
        <v>106</v>
      </c>
      <c r="O534" s="23" t="n">
        <v>26.47</v>
      </c>
      <c r="P534" s="13" t="n">
        <v>1</v>
      </c>
      <c r="Q534" s="24" t="n">
        <v>46310.676412037</v>
      </c>
      <c r="R534" s="22"/>
      <c r="S534" s="13" t="s">
        <v>164</v>
      </c>
      <c r="T534" s="13" t="str">
        <f aca="false">IF(S534="Oui",IF(R534=L534,"Identique","Changé"),"")</f>
        <v/>
      </c>
    </row>
    <row r="535" customFormat="false" ht="23.85" hidden="false" customHeight="false" outlineLevel="0" collapsed="false">
      <c r="A535" s="13" t="s">
        <v>1886</v>
      </c>
      <c r="B535" s="13" t="s">
        <v>1873</v>
      </c>
      <c r="C535" s="13" t="n">
        <v>4</v>
      </c>
      <c r="D535" s="13" t="s">
        <v>97</v>
      </c>
      <c r="E535" s="13" t="s">
        <v>114</v>
      </c>
      <c r="F535" s="13" t="s">
        <v>409</v>
      </c>
      <c r="G535" s="13" t="s">
        <v>1887</v>
      </c>
      <c r="H535" s="13" t="s">
        <v>101</v>
      </c>
      <c r="I535" s="21" t="s">
        <v>1888</v>
      </c>
      <c r="J535" s="21" t="s">
        <v>512</v>
      </c>
      <c r="K535" s="21" t="s">
        <v>1889</v>
      </c>
      <c r="L535" s="22" t="s">
        <v>39</v>
      </c>
      <c r="M535" s="21" t="s">
        <v>565</v>
      </c>
      <c r="N535" s="13" t="s">
        <v>106</v>
      </c>
      <c r="O535" s="23" t="n">
        <v>7.45</v>
      </c>
      <c r="P535" s="13" t="n">
        <v>1</v>
      </c>
      <c r="Q535" s="24" t="n">
        <v>46310.6766319444</v>
      </c>
      <c r="R535" s="22"/>
      <c r="S535" s="13" t="s">
        <v>164</v>
      </c>
      <c r="T535" s="13" t="str">
        <f aca="false">IF(S535="Oui",IF(R535=L535,"Identique","Changé"),"")</f>
        <v/>
      </c>
    </row>
    <row r="536" customFormat="false" ht="35.05" hidden="false" customHeight="false" outlineLevel="0" collapsed="false">
      <c r="A536" s="13" t="s">
        <v>1890</v>
      </c>
      <c r="B536" s="13" t="s">
        <v>1873</v>
      </c>
      <c r="C536" s="13" t="n">
        <v>5</v>
      </c>
      <c r="D536" s="13" t="s">
        <v>97</v>
      </c>
      <c r="E536" s="13" t="s">
        <v>122</v>
      </c>
      <c r="F536" s="13" t="s">
        <v>1094</v>
      </c>
      <c r="G536" s="13" t="s">
        <v>1891</v>
      </c>
      <c r="H536" s="13" t="s">
        <v>101</v>
      </c>
      <c r="I536" s="21" t="s">
        <v>1892</v>
      </c>
      <c r="J536" s="21" t="s">
        <v>1741</v>
      </c>
      <c r="K536" s="21" t="s">
        <v>1893</v>
      </c>
      <c r="L536" s="22" t="s">
        <v>39</v>
      </c>
      <c r="M536" s="21" t="s">
        <v>565</v>
      </c>
      <c r="N536" s="13" t="s">
        <v>106</v>
      </c>
      <c r="O536" s="23" t="n">
        <v>7.32</v>
      </c>
      <c r="P536" s="13" t="n">
        <v>1</v>
      </c>
      <c r="Q536" s="24" t="n">
        <v>46310.6768402778</v>
      </c>
      <c r="R536" s="22"/>
      <c r="S536" s="13" t="s">
        <v>164</v>
      </c>
      <c r="T536" s="13" t="str">
        <f aca="false">IF(S536="Oui",IF(R536=L536,"Identique","Changé"),"")</f>
        <v/>
      </c>
    </row>
    <row r="537" customFormat="false" ht="46.25" hidden="false" customHeight="false" outlineLevel="0" collapsed="false">
      <c r="A537" s="13" t="s">
        <v>1894</v>
      </c>
      <c r="B537" s="13" t="s">
        <v>1895</v>
      </c>
      <c r="C537" s="13" t="n">
        <v>1</v>
      </c>
      <c r="D537" s="13" t="s">
        <v>135</v>
      </c>
      <c r="E537" s="13" t="s">
        <v>260</v>
      </c>
      <c r="F537" s="13" t="s">
        <v>1896</v>
      </c>
      <c r="G537" s="13" t="s">
        <v>1897</v>
      </c>
      <c r="H537" s="13" t="s">
        <v>101</v>
      </c>
      <c r="I537" s="21" t="s">
        <v>1898</v>
      </c>
      <c r="J537" s="21" t="s">
        <v>1899</v>
      </c>
      <c r="K537" s="21" t="s">
        <v>1900</v>
      </c>
      <c r="L537" s="22" t="s">
        <v>36</v>
      </c>
      <c r="M537" s="21" t="s">
        <v>120</v>
      </c>
      <c r="N537" s="13" t="s">
        <v>106</v>
      </c>
      <c r="O537" s="23" t="n">
        <v>36.25</v>
      </c>
      <c r="P537" s="13" t="n">
        <v>1</v>
      </c>
      <c r="Q537" s="24" t="n">
        <v>46310.6775</v>
      </c>
      <c r="R537" s="22"/>
      <c r="S537" s="13" t="s">
        <v>164</v>
      </c>
      <c r="T537" s="13" t="str">
        <f aca="false">IF(S537="Oui",IF(R537=L537,"Identique","Changé"),"")</f>
        <v/>
      </c>
    </row>
    <row r="538" customFormat="false" ht="57.45" hidden="false" customHeight="false" outlineLevel="0" collapsed="false">
      <c r="A538" s="13" t="s">
        <v>1901</v>
      </c>
      <c r="B538" s="13" t="s">
        <v>1895</v>
      </c>
      <c r="C538" s="13" t="n">
        <v>2</v>
      </c>
      <c r="D538" s="13" t="s">
        <v>135</v>
      </c>
      <c r="E538" s="13" t="s">
        <v>570</v>
      </c>
      <c r="F538" s="13" t="s">
        <v>1896</v>
      </c>
      <c r="G538" s="13" t="s">
        <v>1859</v>
      </c>
      <c r="H538" s="13" t="s">
        <v>101</v>
      </c>
      <c r="I538" s="21" t="s">
        <v>1902</v>
      </c>
      <c r="J538" s="21" t="s">
        <v>1649</v>
      </c>
      <c r="K538" s="21" t="s">
        <v>1903</v>
      </c>
      <c r="L538" s="22" t="s">
        <v>36</v>
      </c>
      <c r="M538" s="21" t="s">
        <v>235</v>
      </c>
      <c r="N538" s="13" t="s">
        <v>106</v>
      </c>
      <c r="O538" s="23" t="n">
        <v>13.21</v>
      </c>
      <c r="P538" s="13" t="n">
        <v>1</v>
      </c>
      <c r="Q538" s="24" t="n">
        <v>46310.6777777778</v>
      </c>
      <c r="R538" s="22"/>
      <c r="S538" s="13" t="s">
        <v>164</v>
      </c>
      <c r="T538" s="13" t="str">
        <f aca="false">IF(S538="Oui",IF(R538=L538,"Identique","Changé"),"")</f>
        <v/>
      </c>
    </row>
    <row r="539" customFormat="false" ht="57.45" hidden="false" customHeight="false" outlineLevel="0" collapsed="false">
      <c r="A539" s="13" t="s">
        <v>1904</v>
      </c>
      <c r="B539" s="13" t="s">
        <v>1895</v>
      </c>
      <c r="C539" s="13" t="n">
        <v>3</v>
      </c>
      <c r="D539" s="13" t="s">
        <v>135</v>
      </c>
      <c r="E539" s="13" t="s">
        <v>122</v>
      </c>
      <c r="F539" s="13" t="s">
        <v>1896</v>
      </c>
      <c r="G539" s="13" t="s">
        <v>1905</v>
      </c>
      <c r="H539" s="13" t="s">
        <v>101</v>
      </c>
      <c r="I539" s="21" t="s">
        <v>1906</v>
      </c>
      <c r="J539" s="21" t="s">
        <v>284</v>
      </c>
      <c r="K539" s="21" t="s">
        <v>1907</v>
      </c>
      <c r="L539" s="22" t="s">
        <v>37</v>
      </c>
      <c r="M539" s="21" t="s">
        <v>163</v>
      </c>
      <c r="N539" s="13" t="s">
        <v>106</v>
      </c>
      <c r="O539" s="23" t="n">
        <v>16.64</v>
      </c>
      <c r="P539" s="13" t="n">
        <v>1</v>
      </c>
      <c r="Q539" s="24" t="n">
        <v>46310.6780787037</v>
      </c>
      <c r="R539" s="22"/>
      <c r="S539" s="13" t="s">
        <v>164</v>
      </c>
      <c r="T539" s="13" t="str">
        <f aca="false">IF(S539="Oui",IF(R539=L539,"Identique","Changé"),"")</f>
        <v/>
      </c>
    </row>
    <row r="540" customFormat="false" ht="46.25" hidden="false" customHeight="false" outlineLevel="0" collapsed="false">
      <c r="A540" s="13" t="s">
        <v>1908</v>
      </c>
      <c r="B540" s="13" t="s">
        <v>1895</v>
      </c>
      <c r="C540" s="13" t="n">
        <v>4</v>
      </c>
      <c r="D540" s="13" t="s">
        <v>135</v>
      </c>
      <c r="E540" s="13" t="s">
        <v>158</v>
      </c>
      <c r="F540" s="13" t="s">
        <v>1896</v>
      </c>
      <c r="G540" s="13" t="s">
        <v>1909</v>
      </c>
      <c r="H540" s="13" t="s">
        <v>101</v>
      </c>
      <c r="I540" s="21" t="s">
        <v>1910</v>
      </c>
      <c r="J540" s="21" t="s">
        <v>512</v>
      </c>
      <c r="K540" s="21" t="s">
        <v>1911</v>
      </c>
      <c r="L540" s="22" t="s">
        <v>36</v>
      </c>
      <c r="M540" s="21" t="s">
        <v>120</v>
      </c>
      <c r="N540" s="13" t="s">
        <v>106</v>
      </c>
      <c r="O540" s="23" t="n">
        <v>11.62</v>
      </c>
      <c r="P540" s="13" t="n">
        <v>1</v>
      </c>
      <c r="Q540" s="24" t="n">
        <v>46310.6783333333</v>
      </c>
      <c r="R540" s="22"/>
      <c r="S540" s="13" t="s">
        <v>164</v>
      </c>
      <c r="T540" s="13" t="str">
        <f aca="false">IF(S540="Oui",IF(R540=L540,"Identique","Changé"),"")</f>
        <v/>
      </c>
    </row>
    <row r="541" customFormat="false" ht="35.05" hidden="false" customHeight="false" outlineLevel="0" collapsed="false">
      <c r="A541" s="13" t="s">
        <v>1912</v>
      </c>
      <c r="B541" s="13" t="s">
        <v>1895</v>
      </c>
      <c r="C541" s="13" t="n">
        <v>5</v>
      </c>
      <c r="D541" s="13" t="s">
        <v>135</v>
      </c>
      <c r="E541" s="13" t="s">
        <v>158</v>
      </c>
      <c r="F541" s="13" t="s">
        <v>1896</v>
      </c>
      <c r="G541" s="13" t="s">
        <v>1913</v>
      </c>
      <c r="H541" s="13" t="s">
        <v>101</v>
      </c>
      <c r="I541" s="21" t="s">
        <v>1914</v>
      </c>
      <c r="J541" s="21" t="s">
        <v>284</v>
      </c>
      <c r="K541" s="21" t="s">
        <v>1915</v>
      </c>
      <c r="L541" s="22" t="s">
        <v>36</v>
      </c>
      <c r="M541" s="21" t="s">
        <v>120</v>
      </c>
      <c r="N541" s="13" t="s">
        <v>106</v>
      </c>
      <c r="O541" s="23" t="n">
        <v>13.87</v>
      </c>
      <c r="P541" s="13" t="n">
        <v>1</v>
      </c>
      <c r="Q541" s="24" t="n">
        <v>46310.6786226852</v>
      </c>
      <c r="R541" s="22"/>
      <c r="S541" s="13" t="s">
        <v>164</v>
      </c>
      <c r="T541" s="13" t="str">
        <f aca="false">IF(S541="Oui",IF(R541=L541,"Identique","Changé"),"")</f>
        <v/>
      </c>
    </row>
    <row r="542" customFormat="false" ht="46.25" hidden="false" customHeight="false" outlineLevel="0" collapsed="false">
      <c r="A542" s="13" t="s">
        <v>1916</v>
      </c>
      <c r="B542" s="13" t="s">
        <v>1917</v>
      </c>
      <c r="C542" s="13" t="n">
        <v>1</v>
      </c>
      <c r="D542" s="13" t="s">
        <v>97</v>
      </c>
      <c r="E542" s="13" t="s">
        <v>158</v>
      </c>
      <c r="F542" s="13" t="s">
        <v>1416</v>
      </c>
      <c r="G542" s="13" t="s">
        <v>1918</v>
      </c>
      <c r="H542" s="13" t="s">
        <v>101</v>
      </c>
      <c r="I542" s="21" t="s">
        <v>1919</v>
      </c>
      <c r="J542" s="21" t="s">
        <v>284</v>
      </c>
      <c r="K542" s="21" t="s">
        <v>1920</v>
      </c>
      <c r="L542" s="22" t="s">
        <v>36</v>
      </c>
      <c r="M542" s="21" t="s">
        <v>120</v>
      </c>
      <c r="N542" s="13" t="s">
        <v>106</v>
      </c>
      <c r="O542" s="23" t="n">
        <v>32.45</v>
      </c>
      <c r="P542" s="13" t="n">
        <v>1</v>
      </c>
      <c r="Q542" s="24" t="n">
        <v>46310.6791782407</v>
      </c>
      <c r="R542" s="22"/>
      <c r="S542" s="13" t="s">
        <v>164</v>
      </c>
      <c r="T542" s="13" t="str">
        <f aca="false">IF(S542="Oui",IF(R542=L542,"Identique","Changé"),"")</f>
        <v/>
      </c>
    </row>
    <row r="543" customFormat="false" ht="35.05" hidden="false" customHeight="false" outlineLevel="0" collapsed="false">
      <c r="A543" s="13" t="s">
        <v>1921</v>
      </c>
      <c r="B543" s="13" t="s">
        <v>1917</v>
      </c>
      <c r="C543" s="13" t="n">
        <v>2</v>
      </c>
      <c r="D543" s="13" t="s">
        <v>97</v>
      </c>
      <c r="E543" s="13" t="s">
        <v>158</v>
      </c>
      <c r="F543" s="13" t="s">
        <v>1416</v>
      </c>
      <c r="G543" s="13" t="s">
        <v>1913</v>
      </c>
      <c r="H543" s="13" t="s">
        <v>101</v>
      </c>
      <c r="I543" s="21" t="s">
        <v>1922</v>
      </c>
      <c r="J543" s="21" t="s">
        <v>512</v>
      </c>
      <c r="K543" s="21" t="s">
        <v>1923</v>
      </c>
      <c r="L543" s="22" t="s">
        <v>36</v>
      </c>
      <c r="M543" s="21" t="s">
        <v>120</v>
      </c>
      <c r="N543" s="13" t="s">
        <v>106</v>
      </c>
      <c r="O543" s="23" t="n">
        <v>11.84</v>
      </c>
      <c r="P543" s="13" t="n">
        <v>1</v>
      </c>
      <c r="Q543" s="24" t="n">
        <v>46310.6794328704</v>
      </c>
      <c r="R543" s="22"/>
      <c r="S543" s="13" t="s">
        <v>164</v>
      </c>
      <c r="T543" s="13" t="str">
        <f aca="false">IF(S543="Oui",IF(R543=L543,"Identique","Changé"),"")</f>
        <v/>
      </c>
    </row>
    <row r="544" customFormat="false" ht="57.45" hidden="false" customHeight="false" outlineLevel="0" collapsed="false">
      <c r="A544" s="13" t="s">
        <v>1924</v>
      </c>
      <c r="B544" s="13" t="s">
        <v>1917</v>
      </c>
      <c r="C544" s="13" t="n">
        <v>3</v>
      </c>
      <c r="D544" s="13" t="s">
        <v>97</v>
      </c>
      <c r="E544" s="13" t="s">
        <v>122</v>
      </c>
      <c r="F544" s="13" t="s">
        <v>1925</v>
      </c>
      <c r="G544" s="13" t="s">
        <v>1819</v>
      </c>
      <c r="H544" s="13" t="s">
        <v>101</v>
      </c>
      <c r="I544" s="21" t="s">
        <v>1926</v>
      </c>
      <c r="J544" s="21" t="s">
        <v>1927</v>
      </c>
      <c r="K544" s="21" t="s">
        <v>1928</v>
      </c>
      <c r="L544" s="22" t="s">
        <v>36</v>
      </c>
      <c r="M544" s="21" t="s">
        <v>235</v>
      </c>
      <c r="N544" s="13" t="s">
        <v>106</v>
      </c>
      <c r="O544" s="23" t="n">
        <v>12.64</v>
      </c>
      <c r="P544" s="13" t="n">
        <v>1</v>
      </c>
      <c r="Q544" s="24" t="n">
        <v>46310.6796990741</v>
      </c>
      <c r="R544" s="22"/>
      <c r="S544" s="13" t="s">
        <v>164</v>
      </c>
      <c r="T544" s="13" t="str">
        <f aca="false">IF(S544="Oui",IF(R544=L544,"Identique","Changé"),"")</f>
        <v/>
      </c>
    </row>
    <row r="545" customFormat="false" ht="46.25" hidden="false" customHeight="false" outlineLevel="0" collapsed="false">
      <c r="A545" s="13" t="s">
        <v>1929</v>
      </c>
      <c r="B545" s="13" t="s">
        <v>1917</v>
      </c>
      <c r="C545" s="13" t="n">
        <v>4</v>
      </c>
      <c r="D545" s="13" t="s">
        <v>97</v>
      </c>
      <c r="E545" s="13" t="s">
        <v>570</v>
      </c>
      <c r="F545" s="13" t="s">
        <v>1925</v>
      </c>
      <c r="G545" s="13" t="s">
        <v>1930</v>
      </c>
      <c r="H545" s="13" t="s">
        <v>152</v>
      </c>
      <c r="I545" s="21" t="s">
        <v>1931</v>
      </c>
      <c r="J545" s="21" t="s">
        <v>154</v>
      </c>
      <c r="K545" s="21" t="s">
        <v>1932</v>
      </c>
      <c r="L545" s="22" t="s">
        <v>40</v>
      </c>
      <c r="M545" s="21" t="s">
        <v>156</v>
      </c>
      <c r="N545" s="13" t="s">
        <v>106</v>
      </c>
      <c r="O545" s="23" t="n">
        <v>11.35</v>
      </c>
      <c r="P545" s="13" t="n">
        <v>1</v>
      </c>
      <c r="Q545" s="24" t="n">
        <v>46310.6799421296</v>
      </c>
      <c r="R545" s="22"/>
      <c r="S545" s="13" t="s">
        <v>164</v>
      </c>
      <c r="T545" s="13" t="str">
        <f aca="false">IF(S545="Oui",IF(R545=L545,"Identique","Changé"),"")</f>
        <v/>
      </c>
    </row>
    <row r="546" customFormat="false" ht="57.45" hidden="false" customHeight="false" outlineLevel="0" collapsed="false">
      <c r="A546" s="13" t="s">
        <v>1933</v>
      </c>
      <c r="B546" s="13" t="s">
        <v>1917</v>
      </c>
      <c r="C546" s="13" t="n">
        <v>5</v>
      </c>
      <c r="D546" s="13" t="s">
        <v>97</v>
      </c>
      <c r="E546" s="13" t="s">
        <v>122</v>
      </c>
      <c r="F546" s="13" t="s">
        <v>1416</v>
      </c>
      <c r="G546" s="13" t="s">
        <v>1848</v>
      </c>
      <c r="H546" s="13" t="s">
        <v>101</v>
      </c>
      <c r="I546" s="21" t="s">
        <v>1934</v>
      </c>
      <c r="J546" s="21" t="s">
        <v>1850</v>
      </c>
      <c r="K546" s="21" t="s">
        <v>1935</v>
      </c>
      <c r="L546" s="22" t="s">
        <v>36</v>
      </c>
      <c r="M546" s="21" t="s">
        <v>235</v>
      </c>
      <c r="N546" s="13" t="s">
        <v>106</v>
      </c>
      <c r="O546" s="23" t="n">
        <v>11.63</v>
      </c>
      <c r="P546" s="13" t="n">
        <v>1</v>
      </c>
      <c r="Q546" s="24" t="n">
        <v>46310.6801967593</v>
      </c>
      <c r="R546" s="22"/>
      <c r="S546" s="13" t="s">
        <v>164</v>
      </c>
      <c r="T546" s="13" t="str">
        <f aca="false">IF(S546="Oui",IF(R546=L546,"Identique","Changé"),"")</f>
        <v/>
      </c>
    </row>
    <row r="547" customFormat="false" ht="46.25" hidden="false" customHeight="false" outlineLevel="0" collapsed="false">
      <c r="A547" s="13" t="s">
        <v>1936</v>
      </c>
      <c r="B547" s="13" t="s">
        <v>1937</v>
      </c>
      <c r="C547" s="13" t="n">
        <v>1</v>
      </c>
      <c r="D547" s="13" t="s">
        <v>135</v>
      </c>
      <c r="E547" s="13" t="s">
        <v>122</v>
      </c>
      <c r="F547" s="13" t="s">
        <v>1938</v>
      </c>
      <c r="G547" s="13" t="s">
        <v>1874</v>
      </c>
      <c r="H547" s="13" t="s">
        <v>101</v>
      </c>
      <c r="I547" s="21" t="s">
        <v>1939</v>
      </c>
      <c r="J547" s="21" t="s">
        <v>1940</v>
      </c>
      <c r="K547" s="21" t="s">
        <v>1941</v>
      </c>
      <c r="L547" s="22" t="s">
        <v>36</v>
      </c>
      <c r="M547" s="21" t="s">
        <v>1942</v>
      </c>
      <c r="N547" s="13" t="s">
        <v>1085</v>
      </c>
      <c r="O547" s="23" t="n">
        <v>27.41</v>
      </c>
      <c r="P547" s="13" t="n">
        <v>1</v>
      </c>
      <c r="Q547" s="24" t="n">
        <v>46310.6806944445</v>
      </c>
      <c r="R547" s="22"/>
      <c r="S547" s="13" t="s">
        <v>164</v>
      </c>
      <c r="T547" s="13" t="str">
        <f aca="false">IF(S547="Oui",IF(R547=L547,"Identique","Changé"),"")</f>
        <v/>
      </c>
    </row>
    <row r="548" customFormat="false" ht="35.05" hidden="false" customHeight="false" outlineLevel="0" collapsed="false">
      <c r="A548" s="13" t="s">
        <v>1943</v>
      </c>
      <c r="B548" s="13" t="s">
        <v>1937</v>
      </c>
      <c r="C548" s="13" t="n">
        <v>2</v>
      </c>
      <c r="D548" s="13" t="s">
        <v>135</v>
      </c>
      <c r="E548" s="13" t="s">
        <v>114</v>
      </c>
      <c r="F548" s="13" t="s">
        <v>1938</v>
      </c>
      <c r="G548" s="13" t="s">
        <v>1887</v>
      </c>
      <c r="H548" s="13" t="s">
        <v>101</v>
      </c>
      <c r="I548" s="21" t="s">
        <v>1944</v>
      </c>
      <c r="J548" s="21" t="s">
        <v>512</v>
      </c>
      <c r="K548" s="21" t="s">
        <v>1945</v>
      </c>
      <c r="L548" s="22" t="s">
        <v>36</v>
      </c>
      <c r="M548" s="21" t="s">
        <v>120</v>
      </c>
      <c r="N548" s="13" t="s">
        <v>106</v>
      </c>
      <c r="O548" s="23" t="n">
        <v>9.8</v>
      </c>
      <c r="P548" s="13" t="n">
        <v>1</v>
      </c>
      <c r="Q548" s="24" t="n">
        <v>46310.6809143519</v>
      </c>
      <c r="R548" s="22"/>
      <c r="S548" s="13" t="s">
        <v>164</v>
      </c>
      <c r="T548" s="13" t="str">
        <f aca="false">IF(S548="Oui",IF(R548=L548,"Identique","Changé"),"")</f>
        <v/>
      </c>
    </row>
    <row r="549" customFormat="false" ht="46.25" hidden="false" customHeight="false" outlineLevel="0" collapsed="false">
      <c r="A549" s="13" t="s">
        <v>1946</v>
      </c>
      <c r="B549" s="13" t="s">
        <v>1937</v>
      </c>
      <c r="C549" s="13" t="n">
        <v>3</v>
      </c>
      <c r="D549" s="13" t="s">
        <v>135</v>
      </c>
      <c r="E549" s="13" t="s">
        <v>122</v>
      </c>
      <c r="F549" s="13" t="s">
        <v>1947</v>
      </c>
      <c r="G549" s="13" t="s">
        <v>1891</v>
      </c>
      <c r="H549" s="13" t="s">
        <v>101</v>
      </c>
      <c r="I549" s="21" t="s">
        <v>1948</v>
      </c>
      <c r="J549" s="21" t="s">
        <v>1741</v>
      </c>
      <c r="K549" s="21" t="s">
        <v>1949</v>
      </c>
      <c r="L549" s="22" t="s">
        <v>36</v>
      </c>
      <c r="M549" s="21" t="s">
        <v>235</v>
      </c>
      <c r="N549" s="13" t="s">
        <v>106</v>
      </c>
      <c r="O549" s="23" t="n">
        <v>10.76</v>
      </c>
      <c r="P549" s="13" t="n">
        <v>1</v>
      </c>
      <c r="Q549" s="24" t="n">
        <v>46310.6811574074</v>
      </c>
      <c r="R549" s="22"/>
      <c r="S549" s="13" t="s">
        <v>164</v>
      </c>
      <c r="T549" s="13" t="str">
        <f aca="false">IF(S549="Oui",IF(R549=L549,"Identique","Changé"),"")</f>
        <v/>
      </c>
    </row>
    <row r="550" customFormat="false" ht="35.05" hidden="false" customHeight="false" outlineLevel="0" collapsed="false">
      <c r="A550" s="13" t="s">
        <v>1950</v>
      </c>
      <c r="B550" s="13" t="s">
        <v>1937</v>
      </c>
      <c r="C550" s="13" t="n">
        <v>4</v>
      </c>
      <c r="D550" s="13" t="s">
        <v>135</v>
      </c>
      <c r="E550" s="13" t="s">
        <v>158</v>
      </c>
      <c r="F550" s="13" t="s">
        <v>1947</v>
      </c>
      <c r="G550" s="13" t="s">
        <v>1951</v>
      </c>
      <c r="H550" s="13" t="s">
        <v>101</v>
      </c>
      <c r="I550" s="21" t="s">
        <v>1952</v>
      </c>
      <c r="J550" s="21" t="s">
        <v>284</v>
      </c>
      <c r="K550" s="21" t="s">
        <v>1953</v>
      </c>
      <c r="L550" s="22" t="s">
        <v>36</v>
      </c>
      <c r="M550" s="21" t="s">
        <v>120</v>
      </c>
      <c r="N550" s="13" t="s">
        <v>106</v>
      </c>
      <c r="O550" s="23" t="n">
        <v>11.9</v>
      </c>
      <c r="P550" s="13" t="n">
        <v>1</v>
      </c>
      <c r="Q550" s="24" t="n">
        <v>46310.6814236111</v>
      </c>
      <c r="R550" s="22"/>
      <c r="S550" s="13" t="s">
        <v>164</v>
      </c>
      <c r="T550" s="13" t="str">
        <f aca="false">IF(S550="Oui",IF(R550=L550,"Identique","Changé"),"")</f>
        <v/>
      </c>
    </row>
    <row r="551" customFormat="false" ht="46.25" hidden="false" customHeight="false" outlineLevel="0" collapsed="false">
      <c r="A551" s="13" t="s">
        <v>1954</v>
      </c>
      <c r="B551" s="13" t="s">
        <v>1937</v>
      </c>
      <c r="C551" s="13" t="n">
        <v>5</v>
      </c>
      <c r="D551" s="13" t="s">
        <v>135</v>
      </c>
      <c r="E551" s="13" t="s">
        <v>122</v>
      </c>
      <c r="F551" s="13" t="s">
        <v>1938</v>
      </c>
      <c r="G551" s="13" t="s">
        <v>1840</v>
      </c>
      <c r="H551" s="13" t="s">
        <v>101</v>
      </c>
      <c r="I551" s="21" t="s">
        <v>1955</v>
      </c>
      <c r="J551" s="21" t="s">
        <v>284</v>
      </c>
      <c r="K551" s="21" t="s">
        <v>1956</v>
      </c>
      <c r="L551" s="22" t="s">
        <v>36</v>
      </c>
      <c r="M551" s="21" t="s">
        <v>120</v>
      </c>
      <c r="N551" s="13" t="s">
        <v>106</v>
      </c>
      <c r="O551" s="23" t="n">
        <v>14.23</v>
      </c>
      <c r="P551" s="13" t="n">
        <v>1</v>
      </c>
      <c r="Q551" s="24" t="n">
        <v>46310.681712963</v>
      </c>
      <c r="R551" s="22"/>
      <c r="S551" s="13" t="s">
        <v>164</v>
      </c>
      <c r="T551" s="13" t="str">
        <f aca="false">IF(S551="Oui",IF(R551=L551,"Identique","Changé"),"")</f>
        <v/>
      </c>
    </row>
    <row r="552" customFormat="false" ht="46.25" hidden="false" customHeight="false" outlineLevel="0" collapsed="false">
      <c r="A552" s="13" t="s">
        <v>1957</v>
      </c>
      <c r="B552" s="13" t="s">
        <v>1958</v>
      </c>
      <c r="C552" s="13" t="n">
        <v>1</v>
      </c>
      <c r="D552" s="13" t="s">
        <v>97</v>
      </c>
      <c r="E552" s="13" t="s">
        <v>122</v>
      </c>
      <c r="F552" s="13" t="s">
        <v>559</v>
      </c>
      <c r="G552" s="13" t="s">
        <v>1395</v>
      </c>
      <c r="H552" s="13" t="s">
        <v>101</v>
      </c>
      <c r="I552" s="21" t="s">
        <v>1959</v>
      </c>
      <c r="J552" s="21" t="s">
        <v>512</v>
      </c>
      <c r="K552" s="21" t="s">
        <v>1960</v>
      </c>
      <c r="L552" s="22" t="s">
        <v>37</v>
      </c>
      <c r="M552" s="21" t="s">
        <v>163</v>
      </c>
      <c r="N552" s="13" t="s">
        <v>106</v>
      </c>
      <c r="O552" s="23" t="n">
        <v>23.39</v>
      </c>
      <c r="P552" s="13" t="n">
        <v>1</v>
      </c>
      <c r="Q552" s="24" t="n">
        <v>46310.6821643519</v>
      </c>
      <c r="R552" s="22"/>
      <c r="S552" s="13" t="s">
        <v>164</v>
      </c>
      <c r="T552" s="13" t="str">
        <f aca="false">IF(S552="Oui",IF(R552=L552,"Identique","Changé"),"")</f>
        <v/>
      </c>
    </row>
    <row r="553" customFormat="false" ht="23.85" hidden="false" customHeight="false" outlineLevel="0" collapsed="false">
      <c r="A553" s="13" t="s">
        <v>1961</v>
      </c>
      <c r="B553" s="13" t="s">
        <v>1958</v>
      </c>
      <c r="C553" s="13" t="n">
        <v>2</v>
      </c>
      <c r="D553" s="13" t="s">
        <v>97</v>
      </c>
      <c r="E553" s="13" t="s">
        <v>122</v>
      </c>
      <c r="F553" s="13" t="s">
        <v>559</v>
      </c>
      <c r="G553" s="13" t="s">
        <v>1905</v>
      </c>
      <c r="H553" s="13" t="s">
        <v>101</v>
      </c>
      <c r="I553" s="21" t="s">
        <v>1962</v>
      </c>
      <c r="J553" s="21" t="s">
        <v>284</v>
      </c>
      <c r="K553" s="21" t="s">
        <v>1105</v>
      </c>
      <c r="L553" s="22" t="s">
        <v>37</v>
      </c>
      <c r="M553" s="21" t="s">
        <v>163</v>
      </c>
      <c r="N553" s="13" t="s">
        <v>106</v>
      </c>
      <c r="O553" s="23" t="n">
        <v>9.89</v>
      </c>
      <c r="P553" s="13" t="n">
        <v>1</v>
      </c>
      <c r="Q553" s="24" t="n">
        <v>46310.6823958333</v>
      </c>
      <c r="R553" s="22"/>
      <c r="S553" s="13" t="s">
        <v>164</v>
      </c>
      <c r="T553" s="13" t="str">
        <f aca="false">IF(S553="Oui",IF(R553=L553,"Identique","Changé"),"")</f>
        <v/>
      </c>
    </row>
    <row r="554" customFormat="false" ht="15" hidden="false" customHeight="false" outlineLevel="0" collapsed="false">
      <c r="A554" s="13" t="s">
        <v>1963</v>
      </c>
      <c r="B554" s="13" t="s">
        <v>1958</v>
      </c>
      <c r="C554" s="13" t="n">
        <v>3</v>
      </c>
      <c r="D554" s="13" t="s">
        <v>97</v>
      </c>
      <c r="E554" s="13" t="s">
        <v>158</v>
      </c>
      <c r="F554" s="13" t="s">
        <v>559</v>
      </c>
      <c r="G554" s="13" t="s">
        <v>1909</v>
      </c>
      <c r="H554" s="13" t="s">
        <v>101</v>
      </c>
      <c r="I554" s="21" t="s">
        <v>1964</v>
      </c>
      <c r="J554" s="21" t="s">
        <v>284</v>
      </c>
      <c r="K554" s="21" t="s">
        <v>1105</v>
      </c>
      <c r="L554" s="22" t="s">
        <v>37</v>
      </c>
      <c r="M554" s="21" t="s">
        <v>163</v>
      </c>
      <c r="N554" s="13" t="s">
        <v>106</v>
      </c>
      <c r="O554" s="23" t="n">
        <v>9.58</v>
      </c>
      <c r="P554" s="13" t="n">
        <v>1</v>
      </c>
      <c r="Q554" s="24" t="n">
        <v>46310.6826273148</v>
      </c>
      <c r="R554" s="22"/>
      <c r="S554" s="13" t="s">
        <v>164</v>
      </c>
      <c r="T554" s="13" t="str">
        <f aca="false">IF(S554="Oui",IF(R554=L554,"Identique","Changé"),"")</f>
        <v/>
      </c>
    </row>
    <row r="555" customFormat="false" ht="15" hidden="false" customHeight="false" outlineLevel="0" collapsed="false">
      <c r="A555" s="13" t="s">
        <v>1965</v>
      </c>
      <c r="B555" s="13" t="s">
        <v>1958</v>
      </c>
      <c r="C555" s="13" t="n">
        <v>4</v>
      </c>
      <c r="D555" s="13" t="s">
        <v>97</v>
      </c>
      <c r="E555" s="13" t="s">
        <v>158</v>
      </c>
      <c r="F555" s="13" t="s">
        <v>559</v>
      </c>
      <c r="G555" s="13" t="s">
        <v>1951</v>
      </c>
      <c r="H555" s="13" t="s">
        <v>101</v>
      </c>
      <c r="I555" s="21" t="s">
        <v>1966</v>
      </c>
      <c r="J555" s="21" t="s">
        <v>512</v>
      </c>
      <c r="K555" s="21" t="s">
        <v>1105</v>
      </c>
      <c r="L555" s="22" t="s">
        <v>37</v>
      </c>
      <c r="M555" s="21" t="s">
        <v>163</v>
      </c>
      <c r="N555" s="13" t="s">
        <v>106</v>
      </c>
      <c r="O555" s="23" t="n">
        <v>10.48</v>
      </c>
      <c r="P555" s="13" t="n">
        <v>1</v>
      </c>
      <c r="Q555" s="24" t="n">
        <v>46310.6828703704</v>
      </c>
      <c r="R555" s="22"/>
      <c r="S555" s="13" t="s">
        <v>164</v>
      </c>
      <c r="T555" s="13" t="str">
        <f aca="false">IF(S555="Oui",IF(R555=L555,"Identique","Changé"),"")</f>
        <v/>
      </c>
    </row>
    <row r="556" customFormat="false" ht="23.85" hidden="false" customHeight="false" outlineLevel="0" collapsed="false">
      <c r="A556" s="13" t="s">
        <v>1967</v>
      </c>
      <c r="B556" s="13" t="s">
        <v>1958</v>
      </c>
      <c r="C556" s="13" t="n">
        <v>5</v>
      </c>
      <c r="D556" s="13" t="s">
        <v>97</v>
      </c>
      <c r="E556" s="13" t="s">
        <v>122</v>
      </c>
      <c r="F556" s="13" t="s">
        <v>559</v>
      </c>
      <c r="G556" s="13" t="s">
        <v>1833</v>
      </c>
      <c r="H556" s="13" t="s">
        <v>101</v>
      </c>
      <c r="I556" s="21" t="s">
        <v>1968</v>
      </c>
      <c r="J556" s="21" t="s">
        <v>1741</v>
      </c>
      <c r="K556" s="21" t="s">
        <v>1105</v>
      </c>
      <c r="L556" s="22" t="s">
        <v>37</v>
      </c>
      <c r="M556" s="21" t="s">
        <v>163</v>
      </c>
      <c r="N556" s="13" t="s">
        <v>106</v>
      </c>
      <c r="O556" s="23" t="n">
        <v>9.96</v>
      </c>
      <c r="P556" s="13" t="n">
        <v>1</v>
      </c>
      <c r="Q556" s="24" t="n">
        <v>46310.6831134259</v>
      </c>
      <c r="R556" s="22"/>
      <c r="S556" s="13" t="s">
        <v>164</v>
      </c>
      <c r="T556" s="13" t="str">
        <f aca="false">IF(S556="Oui",IF(R556=L556,"Identique","Changé"),"")</f>
        <v/>
      </c>
    </row>
    <row r="557" customFormat="false" ht="91" hidden="false" customHeight="false" outlineLevel="0" collapsed="false">
      <c r="A557" s="13" t="s">
        <v>1969</v>
      </c>
      <c r="B557" s="13" t="s">
        <v>1970</v>
      </c>
      <c r="C557" s="13" t="n">
        <v>1</v>
      </c>
      <c r="D557" s="13" t="s">
        <v>135</v>
      </c>
      <c r="E557" s="13" t="s">
        <v>158</v>
      </c>
      <c r="F557" s="13" t="s">
        <v>1971</v>
      </c>
      <c r="G557" s="13" t="s">
        <v>159</v>
      </c>
      <c r="H557" s="13" t="s">
        <v>101</v>
      </c>
      <c r="I557" s="21" t="s">
        <v>1972</v>
      </c>
      <c r="J557" s="21" t="s">
        <v>161</v>
      </c>
      <c r="K557" s="21" t="s">
        <v>1973</v>
      </c>
      <c r="L557" s="22" t="s">
        <v>36</v>
      </c>
      <c r="M557" s="21" t="s">
        <v>235</v>
      </c>
      <c r="N557" s="13" t="s">
        <v>106</v>
      </c>
      <c r="O557" s="23" t="n">
        <v>52.61</v>
      </c>
      <c r="P557" s="13" t="n">
        <v>1</v>
      </c>
      <c r="Q557" s="24" t="n">
        <v>46310.683900463</v>
      </c>
      <c r="R557" s="22"/>
      <c r="S557" s="13" t="s">
        <v>164</v>
      </c>
      <c r="T557" s="13" t="str">
        <f aca="false">IF(S557="Oui",IF(R557=L557,"Identique","Changé"),"")</f>
        <v/>
      </c>
    </row>
    <row r="558" customFormat="false" ht="79.85" hidden="false" customHeight="false" outlineLevel="0" collapsed="false">
      <c r="A558" s="13" t="s">
        <v>1974</v>
      </c>
      <c r="B558" s="13" t="s">
        <v>1970</v>
      </c>
      <c r="C558" s="13" t="n">
        <v>2</v>
      </c>
      <c r="D558" s="13" t="s">
        <v>135</v>
      </c>
      <c r="E558" s="13" t="s">
        <v>128</v>
      </c>
      <c r="F558" s="13" t="s">
        <v>1971</v>
      </c>
      <c r="G558" s="13" t="s">
        <v>1975</v>
      </c>
      <c r="H558" s="13" t="s">
        <v>101</v>
      </c>
      <c r="I558" s="21" t="s">
        <v>1976</v>
      </c>
      <c r="J558" s="21" t="s">
        <v>284</v>
      </c>
      <c r="K558" s="21" t="s">
        <v>1977</v>
      </c>
      <c r="L558" s="22" t="s">
        <v>37</v>
      </c>
      <c r="M558" s="21" t="s">
        <v>163</v>
      </c>
      <c r="N558" s="13" t="s">
        <v>106</v>
      </c>
      <c r="O558" s="23" t="n">
        <v>24.43</v>
      </c>
      <c r="P558" s="13" t="n">
        <v>1</v>
      </c>
      <c r="Q558" s="24" t="n">
        <v>46310.6843055556</v>
      </c>
      <c r="R558" s="22"/>
      <c r="S558" s="13" t="s">
        <v>164</v>
      </c>
      <c r="T558" s="13" t="str">
        <f aca="false">IF(S558="Oui",IF(R558=L558,"Identique","Changé"),"")</f>
        <v/>
      </c>
    </row>
    <row r="559" customFormat="false" ht="79.85" hidden="false" customHeight="false" outlineLevel="0" collapsed="false">
      <c r="A559" s="13" t="s">
        <v>1978</v>
      </c>
      <c r="B559" s="13" t="s">
        <v>1970</v>
      </c>
      <c r="C559" s="13" t="n">
        <v>3</v>
      </c>
      <c r="D559" s="13" t="s">
        <v>135</v>
      </c>
      <c r="E559" s="13" t="s">
        <v>570</v>
      </c>
      <c r="F559" s="13" t="s">
        <v>1979</v>
      </c>
      <c r="G559" s="13" t="s">
        <v>1980</v>
      </c>
      <c r="H559" s="13" t="s">
        <v>152</v>
      </c>
      <c r="I559" s="21" t="s">
        <v>1981</v>
      </c>
      <c r="J559" s="21" t="s">
        <v>154</v>
      </c>
      <c r="K559" s="21" t="s">
        <v>1982</v>
      </c>
      <c r="L559" s="22" t="s">
        <v>40</v>
      </c>
      <c r="M559" s="21" t="s">
        <v>156</v>
      </c>
      <c r="N559" s="13" t="s">
        <v>106</v>
      </c>
      <c r="O559" s="23" t="n">
        <v>15.16</v>
      </c>
      <c r="P559" s="13" t="n">
        <v>1</v>
      </c>
      <c r="Q559" s="24" t="n">
        <v>46310.6845949074</v>
      </c>
      <c r="R559" s="22"/>
      <c r="S559" s="13" t="s">
        <v>164</v>
      </c>
      <c r="T559" s="13" t="str">
        <f aca="false">IF(S559="Oui",IF(R559=L559,"Identique","Changé"),"")</f>
        <v/>
      </c>
    </row>
    <row r="560" customFormat="false" ht="57.45" hidden="false" customHeight="false" outlineLevel="0" collapsed="false">
      <c r="A560" s="13" t="s">
        <v>1983</v>
      </c>
      <c r="B560" s="13" t="s">
        <v>1970</v>
      </c>
      <c r="C560" s="13" t="n">
        <v>4</v>
      </c>
      <c r="D560" s="13" t="s">
        <v>135</v>
      </c>
      <c r="E560" s="13" t="s">
        <v>122</v>
      </c>
      <c r="F560" s="13" t="s">
        <v>1979</v>
      </c>
      <c r="G560" s="13" t="s">
        <v>231</v>
      </c>
      <c r="H560" s="13" t="s">
        <v>101</v>
      </c>
      <c r="I560" s="21" t="s">
        <v>1984</v>
      </c>
      <c r="J560" s="21" t="s">
        <v>1662</v>
      </c>
      <c r="K560" s="21" t="s">
        <v>1985</v>
      </c>
      <c r="L560" s="22" t="s">
        <v>36</v>
      </c>
      <c r="M560" s="21" t="s">
        <v>120</v>
      </c>
      <c r="N560" s="13" t="s">
        <v>106</v>
      </c>
      <c r="O560" s="23" t="n">
        <v>12.47</v>
      </c>
      <c r="P560" s="13" t="n">
        <v>1</v>
      </c>
      <c r="Q560" s="24" t="n">
        <v>46310.684849537</v>
      </c>
      <c r="R560" s="22"/>
      <c r="S560" s="13" t="s">
        <v>164</v>
      </c>
      <c r="T560" s="13" t="str">
        <f aca="false">IF(S560="Oui",IF(R560=L560,"Identique","Changé"),"")</f>
        <v/>
      </c>
    </row>
    <row r="561" customFormat="false" ht="68.65" hidden="false" customHeight="false" outlineLevel="0" collapsed="false">
      <c r="A561" s="13" t="s">
        <v>1986</v>
      </c>
      <c r="B561" s="13" t="s">
        <v>1970</v>
      </c>
      <c r="C561" s="13" t="n">
        <v>5</v>
      </c>
      <c r="D561" s="13" t="s">
        <v>135</v>
      </c>
      <c r="E561" s="13" t="s">
        <v>260</v>
      </c>
      <c r="F561" s="13" t="s">
        <v>1971</v>
      </c>
      <c r="G561" s="13" t="s">
        <v>1897</v>
      </c>
      <c r="H561" s="13" t="s">
        <v>101</v>
      </c>
      <c r="I561" s="21" t="s">
        <v>1987</v>
      </c>
      <c r="J561" s="21" t="s">
        <v>1988</v>
      </c>
      <c r="K561" s="21" t="s">
        <v>1989</v>
      </c>
      <c r="L561" s="22" t="s">
        <v>36</v>
      </c>
      <c r="M561" s="21" t="s">
        <v>120</v>
      </c>
      <c r="N561" s="13" t="s">
        <v>106</v>
      </c>
      <c r="O561" s="23" t="n">
        <v>11.18</v>
      </c>
      <c r="P561" s="13" t="n">
        <v>1</v>
      </c>
      <c r="Q561" s="24" t="n">
        <v>46310.6851041667</v>
      </c>
      <c r="R561" s="22"/>
      <c r="S561" s="13" t="s">
        <v>164</v>
      </c>
      <c r="T561" s="13" t="str">
        <f aca="false">IF(S561="Oui",IF(R561=L561,"Identique","Changé"),"")</f>
        <v/>
      </c>
    </row>
    <row r="562" customFormat="false" ht="57.45" hidden="false" customHeight="false" outlineLevel="0" collapsed="false">
      <c r="A562" s="13" t="s">
        <v>1990</v>
      </c>
      <c r="B562" s="13" t="s">
        <v>1991</v>
      </c>
      <c r="C562" s="13" t="n">
        <v>1</v>
      </c>
      <c r="D562" s="13" t="s">
        <v>97</v>
      </c>
      <c r="E562" s="13" t="s">
        <v>158</v>
      </c>
      <c r="F562" s="13" t="s">
        <v>999</v>
      </c>
      <c r="G562" s="13" t="s">
        <v>1918</v>
      </c>
      <c r="H562" s="13" t="s">
        <v>101</v>
      </c>
      <c r="I562" s="21" t="s">
        <v>1992</v>
      </c>
      <c r="J562" s="21" t="s">
        <v>284</v>
      </c>
      <c r="K562" s="21" t="s">
        <v>1993</v>
      </c>
      <c r="L562" s="22" t="s">
        <v>36</v>
      </c>
      <c r="M562" s="21" t="s">
        <v>120</v>
      </c>
      <c r="N562" s="13" t="s">
        <v>106</v>
      </c>
      <c r="O562" s="23" t="n">
        <v>54.15</v>
      </c>
      <c r="P562" s="13" t="n">
        <v>1</v>
      </c>
      <c r="Q562" s="24" t="n">
        <v>46310.6859375</v>
      </c>
      <c r="R562" s="22"/>
      <c r="S562" s="13" t="s">
        <v>164</v>
      </c>
      <c r="T562" s="13" t="str">
        <f aca="false">IF(S562="Oui",IF(R562=L562,"Identique","Changé"),"")</f>
        <v/>
      </c>
    </row>
    <row r="563" customFormat="false" ht="46.25" hidden="false" customHeight="false" outlineLevel="0" collapsed="false">
      <c r="A563" s="13" t="s">
        <v>1994</v>
      </c>
      <c r="B563" s="13" t="s">
        <v>1991</v>
      </c>
      <c r="C563" s="13" t="n">
        <v>2</v>
      </c>
      <c r="D563" s="13" t="s">
        <v>97</v>
      </c>
      <c r="E563" s="13" t="s">
        <v>122</v>
      </c>
      <c r="F563" s="13" t="s">
        <v>999</v>
      </c>
      <c r="G563" s="13" t="s">
        <v>1395</v>
      </c>
      <c r="H563" s="13" t="s">
        <v>101</v>
      </c>
      <c r="I563" s="21" t="s">
        <v>1995</v>
      </c>
      <c r="J563" s="21" t="s">
        <v>512</v>
      </c>
      <c r="K563" s="21" t="s">
        <v>1996</v>
      </c>
      <c r="L563" s="22" t="s">
        <v>36</v>
      </c>
      <c r="M563" s="21" t="s">
        <v>1398</v>
      </c>
      <c r="N563" s="13" t="s">
        <v>1085</v>
      </c>
      <c r="O563" s="23" t="n">
        <v>10.37</v>
      </c>
      <c r="P563" s="13" t="n">
        <v>1</v>
      </c>
      <c r="Q563" s="24" t="n">
        <v>46310.6861805556</v>
      </c>
      <c r="R563" s="22"/>
      <c r="S563" s="13" t="s">
        <v>164</v>
      </c>
      <c r="T563" s="13" t="str">
        <f aca="false">IF(S563="Oui",IF(R563=L563,"Identique","Changé"),"")</f>
        <v/>
      </c>
    </row>
    <row r="564" customFormat="false" ht="57.45" hidden="false" customHeight="false" outlineLevel="0" collapsed="false">
      <c r="A564" s="13" t="s">
        <v>1997</v>
      </c>
      <c r="B564" s="13" t="s">
        <v>1991</v>
      </c>
      <c r="C564" s="13" t="n">
        <v>3</v>
      </c>
      <c r="D564" s="13" t="s">
        <v>97</v>
      </c>
      <c r="E564" s="13" t="s">
        <v>171</v>
      </c>
      <c r="F564" s="13" t="s">
        <v>999</v>
      </c>
      <c r="G564" s="13" t="s">
        <v>1998</v>
      </c>
      <c r="H564" s="13" t="s">
        <v>101</v>
      </c>
      <c r="I564" s="21" t="s">
        <v>1999</v>
      </c>
      <c r="J564" s="21" t="s">
        <v>2000</v>
      </c>
      <c r="K564" s="21" t="s">
        <v>2001</v>
      </c>
      <c r="L564" s="22" t="s">
        <v>36</v>
      </c>
      <c r="M564" s="21" t="s">
        <v>120</v>
      </c>
      <c r="N564" s="13" t="s">
        <v>106</v>
      </c>
      <c r="O564" s="23" t="n">
        <v>9.96</v>
      </c>
      <c r="P564" s="13" t="n">
        <v>1</v>
      </c>
      <c r="Q564" s="24" t="n">
        <v>46310.686400463</v>
      </c>
      <c r="R564" s="22"/>
      <c r="S564" s="13" t="s">
        <v>164</v>
      </c>
      <c r="T564" s="13" t="str">
        <f aca="false">IF(S564="Oui",IF(R564=L564,"Identique","Changé"),"")</f>
        <v/>
      </c>
    </row>
    <row r="565" customFormat="false" ht="807.45" hidden="false" customHeight="false" outlineLevel="0" collapsed="false">
      <c r="A565" s="13" t="s">
        <v>2002</v>
      </c>
      <c r="B565" s="13" t="s">
        <v>1991</v>
      </c>
      <c r="C565" s="13" t="n">
        <v>4</v>
      </c>
      <c r="D565" s="13" t="s">
        <v>97</v>
      </c>
      <c r="E565" s="13" t="s">
        <v>1730</v>
      </c>
      <c r="F565" s="13" t="s">
        <v>999</v>
      </c>
      <c r="G565" s="13" t="s">
        <v>2003</v>
      </c>
      <c r="H565" s="13" t="s">
        <v>101</v>
      </c>
      <c r="I565" s="21" t="s">
        <v>2004</v>
      </c>
      <c r="J565" s="21" t="s">
        <v>2005</v>
      </c>
      <c r="K565" s="21" t="s">
        <v>2006</v>
      </c>
      <c r="L565" s="22" t="s">
        <v>36</v>
      </c>
      <c r="M565" s="21" t="s">
        <v>2007</v>
      </c>
      <c r="N565" s="13" t="s">
        <v>1085</v>
      </c>
      <c r="O565" s="23" t="n">
        <v>14.73</v>
      </c>
      <c r="P565" s="13" t="n">
        <v>1</v>
      </c>
      <c r="Q565" s="24" t="n">
        <v>46310.6867013889</v>
      </c>
      <c r="R565" s="22"/>
      <c r="S565" s="13" t="s">
        <v>164</v>
      </c>
      <c r="T565" s="13" t="str">
        <f aca="false">IF(S565="Oui",IF(R565=L565,"Identique","Changé"),"")</f>
        <v/>
      </c>
    </row>
    <row r="566" customFormat="false" ht="124.6" hidden="false" customHeight="false" outlineLevel="0" collapsed="false">
      <c r="A566" s="13" t="s">
        <v>2008</v>
      </c>
      <c r="B566" s="13" t="s">
        <v>1991</v>
      </c>
      <c r="C566" s="13" t="n">
        <v>5</v>
      </c>
      <c r="D566" s="13" t="s">
        <v>97</v>
      </c>
      <c r="E566" s="13" t="s">
        <v>1730</v>
      </c>
      <c r="F566" s="13" t="s">
        <v>999</v>
      </c>
      <c r="G566" s="13" t="s">
        <v>2009</v>
      </c>
      <c r="H566" s="13" t="s">
        <v>101</v>
      </c>
      <c r="I566" s="21" t="s">
        <v>2010</v>
      </c>
      <c r="J566" s="21" t="s">
        <v>2011</v>
      </c>
      <c r="K566" s="21" t="s">
        <v>2012</v>
      </c>
      <c r="L566" s="22" t="s">
        <v>36</v>
      </c>
      <c r="M566" s="21" t="s">
        <v>120</v>
      </c>
      <c r="N566" s="13" t="s">
        <v>106</v>
      </c>
      <c r="O566" s="23" t="n">
        <v>13.48</v>
      </c>
      <c r="P566" s="13" t="n">
        <v>1</v>
      </c>
      <c r="Q566" s="24" t="n">
        <v>46310.6869791667</v>
      </c>
      <c r="R566" s="22"/>
      <c r="S566" s="13" t="s">
        <v>164</v>
      </c>
      <c r="T566" s="13" t="str">
        <f aca="false">IF(S566="Oui",IF(R566=L566,"Identique","Changé"),"")</f>
        <v/>
      </c>
    </row>
    <row r="567" customFormat="false" ht="46.25" hidden="false" customHeight="false" outlineLevel="0" collapsed="false">
      <c r="A567" s="13" t="s">
        <v>2013</v>
      </c>
      <c r="B567" s="13" t="s">
        <v>2014</v>
      </c>
      <c r="C567" s="13" t="n">
        <v>1</v>
      </c>
      <c r="D567" s="13" t="s">
        <v>135</v>
      </c>
      <c r="E567" s="13" t="s">
        <v>158</v>
      </c>
      <c r="F567" s="13" t="s">
        <v>2015</v>
      </c>
      <c r="G567" s="13" t="s">
        <v>159</v>
      </c>
      <c r="H567" s="13" t="s">
        <v>101</v>
      </c>
      <c r="I567" s="21" t="s">
        <v>2016</v>
      </c>
      <c r="J567" s="21" t="s">
        <v>161</v>
      </c>
      <c r="K567" s="21" t="s">
        <v>2017</v>
      </c>
      <c r="L567" s="22" t="s">
        <v>37</v>
      </c>
      <c r="M567" s="21" t="s">
        <v>163</v>
      </c>
      <c r="N567" s="13" t="s">
        <v>106</v>
      </c>
      <c r="O567" s="23" t="n">
        <v>64.61</v>
      </c>
      <c r="P567" s="13" t="n">
        <v>1</v>
      </c>
      <c r="Q567" s="24" t="n">
        <v>46310.6878935185</v>
      </c>
      <c r="R567" s="22"/>
      <c r="S567" s="13" t="s">
        <v>164</v>
      </c>
      <c r="T567" s="13" t="str">
        <f aca="false">IF(S567="Oui",IF(R567=L567,"Identique","Changé"),"")</f>
        <v/>
      </c>
    </row>
    <row r="568" customFormat="false" ht="35.05" hidden="false" customHeight="false" outlineLevel="0" collapsed="false">
      <c r="A568" s="13" t="s">
        <v>2018</v>
      </c>
      <c r="B568" s="13" t="s">
        <v>2014</v>
      </c>
      <c r="C568" s="13" t="n">
        <v>2</v>
      </c>
      <c r="D568" s="13" t="s">
        <v>135</v>
      </c>
      <c r="E568" s="13" t="s">
        <v>260</v>
      </c>
      <c r="F568" s="13" t="s">
        <v>2015</v>
      </c>
      <c r="G568" s="13" t="s">
        <v>2019</v>
      </c>
      <c r="H568" s="13" t="s">
        <v>101</v>
      </c>
      <c r="I568" s="21" t="s">
        <v>2020</v>
      </c>
      <c r="J568" s="21" t="s">
        <v>512</v>
      </c>
      <c r="K568" s="21" t="s">
        <v>2021</v>
      </c>
      <c r="L568" s="22" t="s">
        <v>36</v>
      </c>
      <c r="M568" s="21" t="s">
        <v>120</v>
      </c>
      <c r="N568" s="13" t="s">
        <v>106</v>
      </c>
      <c r="O568" s="23" t="n">
        <v>12.6</v>
      </c>
      <c r="P568" s="13" t="n">
        <v>1</v>
      </c>
      <c r="Q568" s="24" t="n">
        <v>46310.6881597222</v>
      </c>
      <c r="R568" s="22"/>
      <c r="S568" s="13" t="s">
        <v>164</v>
      </c>
      <c r="T568" s="13" t="str">
        <f aca="false">IF(S568="Oui",IF(R568=L568,"Identique","Changé"),"")</f>
        <v/>
      </c>
    </row>
    <row r="569" customFormat="false" ht="46.25" hidden="false" customHeight="false" outlineLevel="0" collapsed="false">
      <c r="A569" s="13" t="s">
        <v>2022</v>
      </c>
      <c r="B569" s="13" t="s">
        <v>2014</v>
      </c>
      <c r="C569" s="13" t="n">
        <v>3</v>
      </c>
      <c r="D569" s="13" t="s">
        <v>135</v>
      </c>
      <c r="E569" s="13" t="s">
        <v>128</v>
      </c>
      <c r="F569" s="13" t="s">
        <v>2023</v>
      </c>
      <c r="G569" s="13" t="s">
        <v>2024</v>
      </c>
      <c r="H569" s="13" t="s">
        <v>101</v>
      </c>
      <c r="I569" s="21" t="s">
        <v>2025</v>
      </c>
      <c r="J569" s="21" t="s">
        <v>131</v>
      </c>
      <c r="K569" s="21" t="s">
        <v>2026</v>
      </c>
      <c r="L569" s="22" t="s">
        <v>36</v>
      </c>
      <c r="M569" s="21" t="s">
        <v>120</v>
      </c>
      <c r="N569" s="13" t="s">
        <v>106</v>
      </c>
      <c r="O569" s="23" t="n">
        <v>12.99</v>
      </c>
      <c r="P569" s="13" t="n">
        <v>1</v>
      </c>
      <c r="Q569" s="24" t="n">
        <v>46310.6884259259</v>
      </c>
      <c r="R569" s="22"/>
      <c r="S569" s="13" t="s">
        <v>164</v>
      </c>
      <c r="T569" s="13" t="str">
        <f aca="false">IF(S569="Oui",IF(R569=L569,"Identique","Changé"),"")</f>
        <v/>
      </c>
    </row>
    <row r="570" customFormat="false" ht="46.25" hidden="false" customHeight="false" outlineLevel="0" collapsed="false">
      <c r="A570" s="13" t="s">
        <v>2027</v>
      </c>
      <c r="B570" s="13" t="s">
        <v>2014</v>
      </c>
      <c r="C570" s="13" t="n">
        <v>4</v>
      </c>
      <c r="D570" s="13" t="s">
        <v>135</v>
      </c>
      <c r="E570" s="13" t="s">
        <v>570</v>
      </c>
      <c r="F570" s="13" t="s">
        <v>2023</v>
      </c>
      <c r="G570" s="13" t="s">
        <v>1824</v>
      </c>
      <c r="H570" s="13" t="s">
        <v>152</v>
      </c>
      <c r="I570" s="21" t="s">
        <v>2028</v>
      </c>
      <c r="J570" s="21" t="s">
        <v>154</v>
      </c>
      <c r="K570" s="21" t="s">
        <v>2029</v>
      </c>
      <c r="L570" s="22" t="s">
        <v>40</v>
      </c>
      <c r="M570" s="21" t="s">
        <v>156</v>
      </c>
      <c r="N570" s="13" t="s">
        <v>106</v>
      </c>
      <c r="O570" s="23" t="n">
        <v>13.9</v>
      </c>
      <c r="P570" s="13" t="n">
        <v>1</v>
      </c>
      <c r="Q570" s="24" t="n">
        <v>46310.6887152778</v>
      </c>
      <c r="R570" s="22"/>
      <c r="S570" s="13" t="s">
        <v>164</v>
      </c>
      <c r="T570" s="13" t="str">
        <f aca="false">IF(S570="Oui",IF(R570=L570,"Identique","Changé"),"")</f>
        <v/>
      </c>
    </row>
    <row r="571" customFormat="false" ht="191.75" hidden="false" customHeight="false" outlineLevel="0" collapsed="false">
      <c r="A571" s="13" t="s">
        <v>2030</v>
      </c>
      <c r="B571" s="13" t="s">
        <v>2014</v>
      </c>
      <c r="C571" s="13" t="n">
        <v>5</v>
      </c>
      <c r="D571" s="13" t="s">
        <v>135</v>
      </c>
      <c r="E571" s="13" t="s">
        <v>1730</v>
      </c>
      <c r="F571" s="13" t="s">
        <v>2015</v>
      </c>
      <c r="G571" s="13" t="s">
        <v>2009</v>
      </c>
      <c r="H571" s="13" t="s">
        <v>101</v>
      </c>
      <c r="I571" s="21" t="s">
        <v>2031</v>
      </c>
      <c r="J571" s="21" t="s">
        <v>2032</v>
      </c>
      <c r="K571" s="21" t="s">
        <v>2033</v>
      </c>
      <c r="L571" s="22" t="s">
        <v>36</v>
      </c>
      <c r="M571" s="21" t="s">
        <v>120</v>
      </c>
      <c r="N571" s="13" t="s">
        <v>106</v>
      </c>
      <c r="O571" s="23" t="n">
        <v>12.34</v>
      </c>
      <c r="P571" s="13" t="n">
        <v>1</v>
      </c>
      <c r="Q571" s="24" t="n">
        <v>46310.6889814815</v>
      </c>
      <c r="R571" s="22"/>
      <c r="S571" s="13" t="s">
        <v>164</v>
      </c>
      <c r="T571" s="13" t="str">
        <f aca="false">IF(S571="Oui",IF(R571=L571,"Identique","Changé"),"")</f>
        <v/>
      </c>
    </row>
    <row r="572" customFormat="false" ht="46.25" hidden="false" customHeight="false" outlineLevel="0" collapsed="false">
      <c r="A572" s="13" t="s">
        <v>2034</v>
      </c>
      <c r="B572" s="13" t="s">
        <v>2035</v>
      </c>
      <c r="C572" s="13" t="n">
        <v>1</v>
      </c>
      <c r="D572" s="13" t="s">
        <v>97</v>
      </c>
      <c r="E572" s="13" t="s">
        <v>122</v>
      </c>
      <c r="F572" s="13" t="s">
        <v>167</v>
      </c>
      <c r="G572" s="13" t="s">
        <v>2036</v>
      </c>
      <c r="H572" s="13" t="s">
        <v>101</v>
      </c>
      <c r="I572" s="21" t="s">
        <v>2037</v>
      </c>
      <c r="J572" s="21" t="s">
        <v>2038</v>
      </c>
      <c r="K572" s="21" t="s">
        <v>2039</v>
      </c>
      <c r="L572" s="22" t="s">
        <v>36</v>
      </c>
      <c r="M572" s="21" t="s">
        <v>120</v>
      </c>
      <c r="N572" s="13" t="s">
        <v>106</v>
      </c>
      <c r="O572" s="23" t="n">
        <v>35.7</v>
      </c>
      <c r="P572" s="13" t="n">
        <v>1</v>
      </c>
      <c r="Q572" s="24" t="n">
        <v>46310.6895833333</v>
      </c>
      <c r="R572" s="22"/>
      <c r="S572" s="13" t="s">
        <v>164</v>
      </c>
      <c r="T572" s="13" t="str">
        <f aca="false">IF(S572="Oui",IF(R572=L572,"Identique","Changé"),"")</f>
        <v/>
      </c>
    </row>
    <row r="573" customFormat="false" ht="46.25" hidden="false" customHeight="false" outlineLevel="0" collapsed="false">
      <c r="A573" s="13" t="s">
        <v>2040</v>
      </c>
      <c r="B573" s="13" t="s">
        <v>2035</v>
      </c>
      <c r="C573" s="13" t="n">
        <v>2</v>
      </c>
      <c r="D573" s="13" t="s">
        <v>97</v>
      </c>
      <c r="E573" s="13" t="s">
        <v>128</v>
      </c>
      <c r="F573" s="13" t="s">
        <v>167</v>
      </c>
      <c r="G573" s="13" t="s">
        <v>1975</v>
      </c>
      <c r="H573" s="13" t="s">
        <v>101</v>
      </c>
      <c r="I573" s="21" t="s">
        <v>2041</v>
      </c>
      <c r="J573" s="21" t="s">
        <v>284</v>
      </c>
      <c r="K573" s="21" t="s">
        <v>2042</v>
      </c>
      <c r="L573" s="22" t="s">
        <v>36</v>
      </c>
      <c r="M573" s="21" t="s">
        <v>120</v>
      </c>
      <c r="N573" s="13" t="s">
        <v>106</v>
      </c>
      <c r="O573" s="23" t="n">
        <v>12.91</v>
      </c>
      <c r="P573" s="13" t="n">
        <v>1</v>
      </c>
      <c r="Q573" s="24" t="n">
        <v>46310.689849537</v>
      </c>
      <c r="R573" s="22"/>
      <c r="S573" s="13" t="s">
        <v>164</v>
      </c>
      <c r="T573" s="13" t="str">
        <f aca="false">IF(S573="Oui",IF(R573=L573,"Identique","Changé"),"")</f>
        <v/>
      </c>
    </row>
    <row r="574" customFormat="false" ht="35.05" hidden="false" customHeight="false" outlineLevel="0" collapsed="false">
      <c r="A574" s="13" t="s">
        <v>2043</v>
      </c>
      <c r="B574" s="13" t="s">
        <v>2035</v>
      </c>
      <c r="C574" s="13" t="n">
        <v>3</v>
      </c>
      <c r="D574" s="13" t="s">
        <v>97</v>
      </c>
      <c r="E574" s="13" t="s">
        <v>122</v>
      </c>
      <c r="F574" s="13" t="s">
        <v>1473</v>
      </c>
      <c r="G574" s="13" t="s">
        <v>231</v>
      </c>
      <c r="H574" s="13" t="s">
        <v>101</v>
      </c>
      <c r="I574" s="21" t="s">
        <v>2044</v>
      </c>
      <c r="J574" s="21" t="s">
        <v>161</v>
      </c>
      <c r="K574" s="21" t="s">
        <v>2045</v>
      </c>
      <c r="L574" s="22" t="s">
        <v>36</v>
      </c>
      <c r="M574" s="21" t="s">
        <v>235</v>
      </c>
      <c r="N574" s="13" t="s">
        <v>106</v>
      </c>
      <c r="O574" s="23" t="n">
        <v>10.68</v>
      </c>
      <c r="P574" s="13" t="n">
        <v>1</v>
      </c>
      <c r="Q574" s="24" t="n">
        <v>46310.6900925926</v>
      </c>
      <c r="R574" s="22"/>
      <c r="S574" s="13" t="s">
        <v>164</v>
      </c>
      <c r="T574" s="13" t="str">
        <f aca="false">IF(S574="Oui",IF(R574=L574,"Identique","Changé"),"")</f>
        <v/>
      </c>
    </row>
    <row r="575" customFormat="false" ht="35.05" hidden="false" customHeight="false" outlineLevel="0" collapsed="false">
      <c r="A575" s="13" t="s">
        <v>2046</v>
      </c>
      <c r="B575" s="13" t="s">
        <v>2035</v>
      </c>
      <c r="C575" s="13" t="n">
        <v>4</v>
      </c>
      <c r="D575" s="13" t="s">
        <v>97</v>
      </c>
      <c r="E575" s="13" t="s">
        <v>260</v>
      </c>
      <c r="F575" s="13" t="s">
        <v>1473</v>
      </c>
      <c r="G575" s="13" t="s">
        <v>2047</v>
      </c>
      <c r="H575" s="13" t="s">
        <v>101</v>
      </c>
      <c r="I575" s="21" t="s">
        <v>2048</v>
      </c>
      <c r="J575" s="21" t="s">
        <v>512</v>
      </c>
      <c r="K575" s="21" t="s">
        <v>2049</v>
      </c>
      <c r="L575" s="22" t="s">
        <v>36</v>
      </c>
      <c r="M575" s="21" t="s">
        <v>120</v>
      </c>
      <c r="N575" s="13" t="s">
        <v>106</v>
      </c>
      <c r="O575" s="23" t="n">
        <v>12.02</v>
      </c>
      <c r="P575" s="13" t="n">
        <v>1</v>
      </c>
      <c r="Q575" s="24" t="n">
        <v>46310.6903472222</v>
      </c>
      <c r="R575" s="22"/>
      <c r="S575" s="13" t="s">
        <v>164</v>
      </c>
      <c r="T575" s="13" t="str">
        <f aca="false">IF(S575="Oui",IF(R575=L575,"Identique","Changé"),"")</f>
        <v/>
      </c>
    </row>
    <row r="576" customFormat="false" ht="46.25" hidden="false" customHeight="false" outlineLevel="0" collapsed="false">
      <c r="A576" s="13" t="s">
        <v>2050</v>
      </c>
      <c r="B576" s="13" t="s">
        <v>2035</v>
      </c>
      <c r="C576" s="13" t="n">
        <v>5</v>
      </c>
      <c r="D576" s="13" t="s">
        <v>97</v>
      </c>
      <c r="E576" s="13" t="s">
        <v>171</v>
      </c>
      <c r="F576" s="13" t="s">
        <v>167</v>
      </c>
      <c r="G576" s="13" t="s">
        <v>1998</v>
      </c>
      <c r="H576" s="13" t="s">
        <v>101</v>
      </c>
      <c r="I576" s="21" t="s">
        <v>2051</v>
      </c>
      <c r="J576" s="21" t="s">
        <v>2052</v>
      </c>
      <c r="K576" s="21" t="s">
        <v>2053</v>
      </c>
      <c r="L576" s="22" t="s">
        <v>36</v>
      </c>
      <c r="M576" s="21" t="s">
        <v>120</v>
      </c>
      <c r="N576" s="13" t="s">
        <v>106</v>
      </c>
      <c r="O576" s="23" t="n">
        <v>11.52</v>
      </c>
      <c r="P576" s="13" t="n">
        <v>1</v>
      </c>
      <c r="Q576" s="24" t="n">
        <v>46310.6906018519</v>
      </c>
      <c r="R576" s="22"/>
      <c r="S576" s="13" t="s">
        <v>164</v>
      </c>
      <c r="T576" s="13" t="str">
        <f aca="false">IF(S576="Oui",IF(R576=L576,"Identique","Changé"),"")</f>
        <v/>
      </c>
    </row>
    <row r="577" customFormat="false" ht="46.25" hidden="false" customHeight="false" outlineLevel="0" collapsed="false">
      <c r="A577" s="13" t="s">
        <v>2054</v>
      </c>
      <c r="B577" s="13" t="s">
        <v>2055</v>
      </c>
      <c r="C577" s="13" t="n">
        <v>1</v>
      </c>
      <c r="D577" s="13" t="s">
        <v>135</v>
      </c>
      <c r="E577" s="13" t="s">
        <v>260</v>
      </c>
      <c r="F577" s="13" t="s">
        <v>2056</v>
      </c>
      <c r="G577" s="13" t="s">
        <v>2057</v>
      </c>
      <c r="H577" s="13" t="s">
        <v>101</v>
      </c>
      <c r="I577" s="21" t="s">
        <v>2058</v>
      </c>
      <c r="J577" s="21" t="s">
        <v>512</v>
      </c>
      <c r="K577" s="21" t="s">
        <v>2059</v>
      </c>
      <c r="L577" s="22" t="s">
        <v>36</v>
      </c>
      <c r="M577" s="21" t="s">
        <v>120</v>
      </c>
      <c r="N577" s="13" t="s">
        <v>106</v>
      </c>
      <c r="O577" s="23" t="n">
        <v>29.76</v>
      </c>
      <c r="P577" s="13" t="n">
        <v>1</v>
      </c>
      <c r="Q577" s="24" t="n">
        <v>46310.6911226852</v>
      </c>
      <c r="R577" s="22"/>
      <c r="S577" s="13" t="s">
        <v>164</v>
      </c>
      <c r="T577" s="13" t="str">
        <f aca="false">IF(S577="Oui",IF(R577=L577,"Identique","Changé"),"")</f>
        <v/>
      </c>
    </row>
    <row r="578" customFormat="false" ht="57.45" hidden="false" customHeight="false" outlineLevel="0" collapsed="false">
      <c r="A578" s="13" t="s">
        <v>2060</v>
      </c>
      <c r="B578" s="13" t="s">
        <v>2055</v>
      </c>
      <c r="C578" s="13" t="n">
        <v>2</v>
      </c>
      <c r="D578" s="13" t="s">
        <v>135</v>
      </c>
      <c r="E578" s="13" t="s">
        <v>158</v>
      </c>
      <c r="F578" s="13" t="s">
        <v>2056</v>
      </c>
      <c r="G578" s="13" t="s">
        <v>343</v>
      </c>
      <c r="H578" s="13" t="s">
        <v>101</v>
      </c>
      <c r="I578" s="21" t="s">
        <v>2061</v>
      </c>
      <c r="J578" s="21" t="s">
        <v>161</v>
      </c>
      <c r="K578" s="21" t="s">
        <v>2062</v>
      </c>
      <c r="L578" s="22" t="s">
        <v>36</v>
      </c>
      <c r="M578" s="21" t="s">
        <v>235</v>
      </c>
      <c r="N578" s="13" t="s">
        <v>106</v>
      </c>
      <c r="O578" s="23" t="n">
        <v>12.57</v>
      </c>
      <c r="P578" s="13" t="n">
        <v>1</v>
      </c>
      <c r="Q578" s="24" t="n">
        <v>46310.6913888889</v>
      </c>
      <c r="R578" s="22"/>
      <c r="S578" s="13" t="s">
        <v>164</v>
      </c>
      <c r="T578" s="13" t="str">
        <f aca="false">IF(S578="Oui",IF(R578=L578,"Identique","Changé"),"")</f>
        <v/>
      </c>
    </row>
    <row r="579" customFormat="false" ht="57.45" hidden="false" customHeight="false" outlineLevel="0" collapsed="false">
      <c r="A579" s="13" t="s">
        <v>2063</v>
      </c>
      <c r="B579" s="13" t="s">
        <v>2055</v>
      </c>
      <c r="C579" s="13" t="n">
        <v>3</v>
      </c>
      <c r="D579" s="13" t="s">
        <v>135</v>
      </c>
      <c r="E579" s="13" t="s">
        <v>171</v>
      </c>
      <c r="F579" s="13" t="s">
        <v>2056</v>
      </c>
      <c r="G579" s="13" t="s">
        <v>519</v>
      </c>
      <c r="H579" s="13" t="s">
        <v>101</v>
      </c>
      <c r="I579" s="21" t="s">
        <v>2064</v>
      </c>
      <c r="J579" s="21" t="s">
        <v>284</v>
      </c>
      <c r="K579" s="21" t="s">
        <v>2065</v>
      </c>
      <c r="L579" s="22" t="s">
        <v>36</v>
      </c>
      <c r="M579" s="21" t="s">
        <v>120</v>
      </c>
      <c r="N579" s="13" t="s">
        <v>106</v>
      </c>
      <c r="O579" s="23" t="n">
        <v>12.28</v>
      </c>
      <c r="P579" s="13" t="n">
        <v>1</v>
      </c>
      <c r="Q579" s="24" t="n">
        <v>46310.6916550926</v>
      </c>
      <c r="R579" s="22"/>
      <c r="S579" s="13" t="s">
        <v>164</v>
      </c>
      <c r="T579" s="13" t="str">
        <f aca="false">IF(S579="Oui",IF(R579=L579,"Identique","Changé"),"")</f>
        <v/>
      </c>
    </row>
    <row r="580" customFormat="false" ht="594.75" hidden="false" customHeight="false" outlineLevel="0" collapsed="false">
      <c r="A580" s="13" t="s">
        <v>2066</v>
      </c>
      <c r="B580" s="13" t="s">
        <v>2055</v>
      </c>
      <c r="C580" s="13" t="n">
        <v>4</v>
      </c>
      <c r="D580" s="13" t="s">
        <v>135</v>
      </c>
      <c r="E580" s="13" t="s">
        <v>1730</v>
      </c>
      <c r="F580" s="13" t="s">
        <v>2056</v>
      </c>
      <c r="G580" s="13" t="s">
        <v>2003</v>
      </c>
      <c r="H580" s="13" t="s">
        <v>101</v>
      </c>
      <c r="I580" s="21" t="s">
        <v>2067</v>
      </c>
      <c r="J580" s="21" t="s">
        <v>2068</v>
      </c>
      <c r="K580" s="21" t="s">
        <v>2069</v>
      </c>
      <c r="L580" s="22" t="s">
        <v>36</v>
      </c>
      <c r="M580" s="21" t="s">
        <v>2007</v>
      </c>
      <c r="N580" s="13" t="s">
        <v>1085</v>
      </c>
      <c r="O580" s="23" t="n">
        <v>14.7</v>
      </c>
      <c r="P580" s="13" t="n">
        <v>1</v>
      </c>
      <c r="Q580" s="24" t="n">
        <v>46310.6919444444</v>
      </c>
      <c r="R580" s="22"/>
      <c r="S580" s="13" t="s">
        <v>164</v>
      </c>
      <c r="T580" s="13" t="str">
        <f aca="false">IF(S580="Oui",IF(R580=L580,"Identique","Changé"),"")</f>
        <v/>
      </c>
    </row>
    <row r="581" customFormat="false" ht="46.25" hidden="false" customHeight="false" outlineLevel="0" collapsed="false">
      <c r="A581" s="13" t="s">
        <v>2070</v>
      </c>
      <c r="B581" s="13" t="s">
        <v>2055</v>
      </c>
      <c r="C581" s="13" t="n">
        <v>5</v>
      </c>
      <c r="D581" s="13" t="s">
        <v>135</v>
      </c>
      <c r="E581" s="13" t="s">
        <v>128</v>
      </c>
      <c r="F581" s="13" t="s">
        <v>2056</v>
      </c>
      <c r="G581" s="13" t="s">
        <v>2071</v>
      </c>
      <c r="H581" s="13" t="s">
        <v>101</v>
      </c>
      <c r="I581" s="21" t="s">
        <v>2072</v>
      </c>
      <c r="J581" s="21" t="s">
        <v>195</v>
      </c>
      <c r="K581" s="21" t="s">
        <v>2073</v>
      </c>
      <c r="L581" s="22" t="s">
        <v>36</v>
      </c>
      <c r="M581" s="21" t="s">
        <v>120</v>
      </c>
      <c r="N581" s="13" t="s">
        <v>106</v>
      </c>
      <c r="O581" s="23" t="n">
        <v>13.28</v>
      </c>
      <c r="P581" s="13" t="n">
        <v>1</v>
      </c>
      <c r="Q581" s="24" t="n">
        <v>46310.6922222222</v>
      </c>
      <c r="R581" s="22"/>
      <c r="S581" s="13" t="s">
        <v>164</v>
      </c>
      <c r="T581" s="13" t="str">
        <f aca="false">IF(S581="Oui",IF(R581=L581,"Identique","Changé"),"")</f>
        <v/>
      </c>
    </row>
    <row r="582" customFormat="false" ht="46.25" hidden="false" customHeight="false" outlineLevel="0" collapsed="false">
      <c r="A582" s="13" t="s">
        <v>2074</v>
      </c>
      <c r="B582" s="13" t="s">
        <v>2075</v>
      </c>
      <c r="C582" s="13" t="n">
        <v>1</v>
      </c>
      <c r="D582" s="13" t="s">
        <v>97</v>
      </c>
      <c r="E582" s="13" t="s">
        <v>260</v>
      </c>
      <c r="F582" s="13" t="s">
        <v>627</v>
      </c>
      <c r="G582" s="13" t="s">
        <v>2057</v>
      </c>
      <c r="H582" s="13" t="s">
        <v>101</v>
      </c>
      <c r="I582" s="21" t="s">
        <v>2076</v>
      </c>
      <c r="J582" s="21" t="s">
        <v>512</v>
      </c>
      <c r="K582" s="21" t="s">
        <v>2077</v>
      </c>
      <c r="L582" s="22" t="s">
        <v>36</v>
      </c>
      <c r="M582" s="21" t="s">
        <v>120</v>
      </c>
      <c r="N582" s="13" t="s">
        <v>106</v>
      </c>
      <c r="O582" s="23" t="n">
        <v>32.09</v>
      </c>
      <c r="P582" s="13" t="n">
        <v>1</v>
      </c>
      <c r="Q582" s="24" t="n">
        <v>46310.6927893519</v>
      </c>
      <c r="R582" s="22"/>
      <c r="S582" s="13" t="s">
        <v>164</v>
      </c>
      <c r="T582" s="13" t="str">
        <f aca="false">IF(S582="Oui",IF(R582=L582,"Identique","Changé"),"")</f>
        <v/>
      </c>
    </row>
    <row r="583" customFormat="false" ht="35.05" hidden="false" customHeight="false" outlineLevel="0" collapsed="false">
      <c r="A583" s="13" t="s">
        <v>2078</v>
      </c>
      <c r="B583" s="13" t="s">
        <v>2075</v>
      </c>
      <c r="C583" s="13" t="n">
        <v>2</v>
      </c>
      <c r="D583" s="13" t="s">
        <v>97</v>
      </c>
      <c r="E583" s="13" t="s">
        <v>158</v>
      </c>
      <c r="F583" s="13" t="s">
        <v>627</v>
      </c>
      <c r="G583" s="13" t="s">
        <v>343</v>
      </c>
      <c r="H583" s="13" t="s">
        <v>101</v>
      </c>
      <c r="I583" s="21" t="s">
        <v>2079</v>
      </c>
      <c r="J583" s="21" t="s">
        <v>233</v>
      </c>
      <c r="K583" s="21" t="s">
        <v>2080</v>
      </c>
      <c r="L583" s="22" t="s">
        <v>37</v>
      </c>
      <c r="M583" s="21" t="s">
        <v>163</v>
      </c>
      <c r="N583" s="13" t="s">
        <v>106</v>
      </c>
      <c r="O583" s="23" t="n">
        <v>25.17</v>
      </c>
      <c r="P583" s="13" t="n">
        <v>1</v>
      </c>
      <c r="Q583" s="24" t="n">
        <v>46310.6931828704</v>
      </c>
      <c r="R583" s="22"/>
      <c r="S583" s="13" t="s">
        <v>164</v>
      </c>
      <c r="T583" s="13" t="str">
        <f aca="false">IF(S583="Oui",IF(R583=L583,"Identique","Changé"),"")</f>
        <v/>
      </c>
    </row>
    <row r="584" customFormat="false" ht="46.25" hidden="false" customHeight="false" outlineLevel="0" collapsed="false">
      <c r="A584" s="13" t="s">
        <v>2081</v>
      </c>
      <c r="B584" s="13" t="s">
        <v>2075</v>
      </c>
      <c r="C584" s="13" t="n">
        <v>3</v>
      </c>
      <c r="D584" s="13" t="s">
        <v>97</v>
      </c>
      <c r="E584" s="13" t="s">
        <v>570</v>
      </c>
      <c r="F584" s="13" t="s">
        <v>332</v>
      </c>
      <c r="G584" s="13" t="s">
        <v>1930</v>
      </c>
      <c r="H584" s="13" t="s">
        <v>152</v>
      </c>
      <c r="I584" s="21" t="s">
        <v>2082</v>
      </c>
      <c r="J584" s="21" t="s">
        <v>154</v>
      </c>
      <c r="K584" s="21" t="s">
        <v>2083</v>
      </c>
      <c r="L584" s="22" t="s">
        <v>40</v>
      </c>
      <c r="M584" s="21" t="s">
        <v>156</v>
      </c>
      <c r="N584" s="13" t="s">
        <v>106</v>
      </c>
      <c r="O584" s="23" t="n">
        <v>11.64</v>
      </c>
      <c r="P584" s="13" t="n">
        <v>1</v>
      </c>
      <c r="Q584" s="24" t="n">
        <v>46310.6934143519</v>
      </c>
      <c r="R584" s="22"/>
      <c r="S584" s="13" t="s">
        <v>164</v>
      </c>
      <c r="T584" s="13" t="str">
        <f aca="false">IF(S584="Oui",IF(R584=L584,"Identique","Changé"),"")</f>
        <v/>
      </c>
    </row>
    <row r="585" customFormat="false" ht="35.05" hidden="false" customHeight="false" outlineLevel="0" collapsed="false">
      <c r="A585" s="13" t="s">
        <v>2084</v>
      </c>
      <c r="B585" s="13" t="s">
        <v>2075</v>
      </c>
      <c r="C585" s="13" t="n">
        <v>4</v>
      </c>
      <c r="D585" s="13" t="s">
        <v>97</v>
      </c>
      <c r="E585" s="13" t="s">
        <v>114</v>
      </c>
      <c r="F585" s="13" t="s">
        <v>332</v>
      </c>
      <c r="G585" s="13" t="s">
        <v>2085</v>
      </c>
      <c r="H585" s="13" t="s">
        <v>101</v>
      </c>
      <c r="I585" s="21" t="s">
        <v>2086</v>
      </c>
      <c r="J585" s="21" t="s">
        <v>512</v>
      </c>
      <c r="K585" s="21" t="s">
        <v>2087</v>
      </c>
      <c r="L585" s="22" t="s">
        <v>36</v>
      </c>
      <c r="M585" s="21" t="s">
        <v>120</v>
      </c>
      <c r="N585" s="13" t="s">
        <v>106</v>
      </c>
      <c r="O585" s="23" t="n">
        <v>11.63</v>
      </c>
      <c r="P585" s="13" t="n">
        <v>1</v>
      </c>
      <c r="Q585" s="24" t="n">
        <v>46310.6936574074</v>
      </c>
      <c r="R585" s="22"/>
      <c r="S585" s="13" t="s">
        <v>164</v>
      </c>
      <c r="T585" s="13" t="str">
        <f aca="false">IF(S585="Oui",IF(R585=L585,"Identique","Changé"),"")</f>
        <v/>
      </c>
    </row>
    <row r="586" customFormat="false" ht="57.45" hidden="false" customHeight="false" outlineLevel="0" collapsed="false">
      <c r="A586" s="13" t="s">
        <v>2088</v>
      </c>
      <c r="B586" s="13" t="s">
        <v>2075</v>
      </c>
      <c r="C586" s="13" t="n">
        <v>5</v>
      </c>
      <c r="D586" s="13" t="s">
        <v>97</v>
      </c>
      <c r="E586" s="13" t="s">
        <v>171</v>
      </c>
      <c r="F586" s="13" t="s">
        <v>627</v>
      </c>
      <c r="G586" s="13" t="s">
        <v>519</v>
      </c>
      <c r="H586" s="13" t="s">
        <v>101</v>
      </c>
      <c r="I586" s="21" t="s">
        <v>2089</v>
      </c>
      <c r="J586" s="21" t="s">
        <v>284</v>
      </c>
      <c r="K586" s="21" t="s">
        <v>2090</v>
      </c>
      <c r="L586" s="22" t="s">
        <v>36</v>
      </c>
      <c r="M586" s="21" t="s">
        <v>120</v>
      </c>
      <c r="N586" s="13" t="s">
        <v>106</v>
      </c>
      <c r="O586" s="23" t="n">
        <v>13.98</v>
      </c>
      <c r="P586" s="13" t="n">
        <v>1</v>
      </c>
      <c r="Q586" s="24" t="n">
        <v>46310.6939236111</v>
      </c>
      <c r="R586" s="22"/>
      <c r="S586" s="13" t="s">
        <v>164</v>
      </c>
      <c r="T586" s="13" t="str">
        <f aca="false">IF(S586="Oui",IF(R586=L586,"Identique","Changé"),"")</f>
        <v/>
      </c>
    </row>
    <row r="587" customFormat="false" ht="57.45" hidden="false" customHeight="false" outlineLevel="0" collapsed="false">
      <c r="A587" s="13" t="s">
        <v>2091</v>
      </c>
      <c r="B587" s="13" t="s">
        <v>2092</v>
      </c>
      <c r="C587" s="13" t="n">
        <v>1</v>
      </c>
      <c r="D587" s="13" t="s">
        <v>135</v>
      </c>
      <c r="E587" s="13" t="s">
        <v>128</v>
      </c>
      <c r="F587" s="13" t="s">
        <v>2093</v>
      </c>
      <c r="G587" s="13" t="s">
        <v>2024</v>
      </c>
      <c r="H587" s="13" t="s">
        <v>101</v>
      </c>
      <c r="I587" s="21" t="s">
        <v>2094</v>
      </c>
      <c r="J587" s="21" t="s">
        <v>2095</v>
      </c>
      <c r="K587" s="21" t="s">
        <v>2096</v>
      </c>
      <c r="L587" s="22" t="s">
        <v>36</v>
      </c>
      <c r="M587" s="21" t="s">
        <v>120</v>
      </c>
      <c r="N587" s="13" t="s">
        <v>106</v>
      </c>
      <c r="O587" s="23" t="n">
        <v>38.45</v>
      </c>
      <c r="P587" s="13" t="n">
        <v>1</v>
      </c>
      <c r="Q587" s="24" t="n">
        <v>46310.6945717593</v>
      </c>
      <c r="R587" s="22"/>
      <c r="S587" s="13" t="s">
        <v>164</v>
      </c>
      <c r="T587" s="13" t="str">
        <f aca="false">IF(S587="Oui",IF(R587=L587,"Identique","Changé"),"")</f>
        <v/>
      </c>
    </row>
    <row r="588" customFormat="false" ht="124.6" hidden="false" customHeight="false" outlineLevel="0" collapsed="false">
      <c r="A588" s="13" t="s">
        <v>2097</v>
      </c>
      <c r="B588" s="13" t="s">
        <v>2092</v>
      </c>
      <c r="C588" s="13" t="n">
        <v>2</v>
      </c>
      <c r="D588" s="13" t="s">
        <v>135</v>
      </c>
      <c r="E588" s="13" t="s">
        <v>1730</v>
      </c>
      <c r="F588" s="13" t="s">
        <v>2093</v>
      </c>
      <c r="G588" s="13" t="s">
        <v>2098</v>
      </c>
      <c r="H588" s="13" t="s">
        <v>101</v>
      </c>
      <c r="I588" s="21" t="s">
        <v>2099</v>
      </c>
      <c r="J588" s="21" t="s">
        <v>2100</v>
      </c>
      <c r="K588" s="21" t="s">
        <v>2101</v>
      </c>
      <c r="L588" s="22" t="s">
        <v>36</v>
      </c>
      <c r="M588" s="21" t="s">
        <v>120</v>
      </c>
      <c r="N588" s="13" t="s">
        <v>106</v>
      </c>
      <c r="O588" s="23" t="n">
        <v>10.79</v>
      </c>
      <c r="P588" s="13" t="n">
        <v>1</v>
      </c>
      <c r="Q588" s="24" t="n">
        <v>46310.6947916667</v>
      </c>
      <c r="R588" s="22"/>
      <c r="S588" s="13" t="s">
        <v>164</v>
      </c>
      <c r="T588" s="13" t="str">
        <f aca="false">IF(S588="Oui",IF(R588=L588,"Identique","Changé"),"")</f>
        <v/>
      </c>
    </row>
    <row r="589" customFormat="false" ht="68.65" hidden="false" customHeight="false" outlineLevel="0" collapsed="false">
      <c r="A589" s="13" t="s">
        <v>2102</v>
      </c>
      <c r="B589" s="13" t="s">
        <v>2092</v>
      </c>
      <c r="C589" s="13" t="n">
        <v>3</v>
      </c>
      <c r="D589" s="13" t="s">
        <v>135</v>
      </c>
      <c r="E589" s="13" t="s">
        <v>122</v>
      </c>
      <c r="F589" s="13" t="s">
        <v>2093</v>
      </c>
      <c r="G589" s="13" t="s">
        <v>282</v>
      </c>
      <c r="H589" s="13" t="s">
        <v>101</v>
      </c>
      <c r="I589" s="21" t="s">
        <v>2103</v>
      </c>
      <c r="J589" s="21" t="s">
        <v>512</v>
      </c>
      <c r="K589" s="21" t="s">
        <v>2104</v>
      </c>
      <c r="L589" s="22" t="s">
        <v>37</v>
      </c>
      <c r="M589" s="21" t="s">
        <v>163</v>
      </c>
      <c r="N589" s="13" t="s">
        <v>106</v>
      </c>
      <c r="O589" s="23" t="n">
        <v>25.78</v>
      </c>
      <c r="P589" s="13" t="n">
        <v>1</v>
      </c>
      <c r="Q589" s="24" t="n">
        <v>46310.6951967593</v>
      </c>
      <c r="R589" s="22"/>
      <c r="S589" s="13" t="s">
        <v>164</v>
      </c>
      <c r="T589" s="13" t="str">
        <f aca="false">IF(S589="Oui",IF(R589=L589,"Identique","Changé"),"")</f>
        <v/>
      </c>
    </row>
    <row r="590" customFormat="false" ht="35.05" hidden="false" customHeight="false" outlineLevel="0" collapsed="false">
      <c r="A590" s="13" t="s">
        <v>2105</v>
      </c>
      <c r="B590" s="13" t="s">
        <v>2092</v>
      </c>
      <c r="C590" s="13" t="n">
        <v>4</v>
      </c>
      <c r="D590" s="13" t="s">
        <v>135</v>
      </c>
      <c r="E590" s="13" t="s">
        <v>260</v>
      </c>
      <c r="F590" s="13" t="s">
        <v>2093</v>
      </c>
      <c r="G590" s="13" t="s">
        <v>2019</v>
      </c>
      <c r="H590" s="13" t="s">
        <v>101</v>
      </c>
      <c r="I590" s="21" t="s">
        <v>2106</v>
      </c>
      <c r="J590" s="21" t="s">
        <v>512</v>
      </c>
      <c r="K590" s="21" t="s">
        <v>2107</v>
      </c>
      <c r="L590" s="22" t="s">
        <v>36</v>
      </c>
      <c r="M590" s="21" t="s">
        <v>120</v>
      </c>
      <c r="N590" s="13" t="s">
        <v>106</v>
      </c>
      <c r="O590" s="23" t="n">
        <v>9.44</v>
      </c>
      <c r="P590" s="13" t="n">
        <v>1</v>
      </c>
      <c r="Q590" s="24" t="n">
        <v>46310.6954050926</v>
      </c>
      <c r="R590" s="22"/>
      <c r="S590" s="13" t="s">
        <v>164</v>
      </c>
      <c r="T590" s="13" t="str">
        <f aca="false">IF(S590="Oui",IF(R590=L590,"Identique","Changé"),"")</f>
        <v/>
      </c>
    </row>
    <row r="591" customFormat="false" ht="35.05" hidden="false" customHeight="false" outlineLevel="0" collapsed="false">
      <c r="A591" s="13" t="s">
        <v>2108</v>
      </c>
      <c r="B591" s="13" t="s">
        <v>2092</v>
      </c>
      <c r="C591" s="13" t="n">
        <v>5</v>
      </c>
      <c r="D591" s="13" t="s">
        <v>135</v>
      </c>
      <c r="E591" s="13" t="s">
        <v>260</v>
      </c>
      <c r="F591" s="13" t="s">
        <v>2093</v>
      </c>
      <c r="G591" s="13" t="s">
        <v>2047</v>
      </c>
      <c r="H591" s="13" t="s">
        <v>101</v>
      </c>
      <c r="I591" s="21" t="s">
        <v>2109</v>
      </c>
      <c r="J591" s="21" t="s">
        <v>512</v>
      </c>
      <c r="K591" s="21" t="s">
        <v>2110</v>
      </c>
      <c r="L591" s="22" t="s">
        <v>36</v>
      </c>
      <c r="M591" s="21" t="s">
        <v>120</v>
      </c>
      <c r="N591" s="13" t="s">
        <v>106</v>
      </c>
      <c r="O591" s="23" t="n">
        <v>10.2</v>
      </c>
      <c r="P591" s="13" t="n">
        <v>1</v>
      </c>
      <c r="Q591" s="24" t="n">
        <v>46310.6956365741</v>
      </c>
      <c r="R591" s="22"/>
      <c r="S591" s="13" t="s">
        <v>164</v>
      </c>
      <c r="T591" s="13" t="str">
        <f aca="false">IF(S591="Oui",IF(R591=L591,"Identique","Changé"),"")</f>
        <v/>
      </c>
    </row>
    <row r="592" customFormat="false" ht="46.25" hidden="false" customHeight="false" outlineLevel="0" collapsed="false">
      <c r="A592" s="13" t="s">
        <v>2111</v>
      </c>
      <c r="B592" s="13" t="s">
        <v>2112</v>
      </c>
      <c r="C592" s="13" t="n">
        <v>1</v>
      </c>
      <c r="D592" s="13" t="s">
        <v>97</v>
      </c>
      <c r="E592" s="13" t="s">
        <v>185</v>
      </c>
      <c r="F592" s="13" t="s">
        <v>99</v>
      </c>
      <c r="G592" s="13" t="s">
        <v>2113</v>
      </c>
      <c r="H592" s="13" t="s">
        <v>101</v>
      </c>
      <c r="I592" s="21" t="s">
        <v>2114</v>
      </c>
      <c r="J592" s="21" t="s">
        <v>2115</v>
      </c>
      <c r="K592" s="21" t="s">
        <v>2116</v>
      </c>
      <c r="L592" s="22" t="s">
        <v>36</v>
      </c>
      <c r="M592" s="21" t="s">
        <v>427</v>
      </c>
      <c r="N592" s="13" t="s">
        <v>106</v>
      </c>
      <c r="O592" s="23" t="n">
        <v>36.77</v>
      </c>
      <c r="P592" s="13" t="n">
        <v>1</v>
      </c>
      <c r="Q592" s="24" t="n">
        <v>46310.6962037037</v>
      </c>
      <c r="R592" s="22"/>
      <c r="S592" s="13" t="s">
        <v>164</v>
      </c>
      <c r="T592" s="13" t="str">
        <f aca="false">IF(S592="Oui",IF(R592=L592,"Identique","Changé"),"")</f>
        <v/>
      </c>
    </row>
    <row r="593" customFormat="false" ht="46.25" hidden="false" customHeight="false" outlineLevel="0" collapsed="false">
      <c r="A593" s="13" t="s">
        <v>2117</v>
      </c>
      <c r="B593" s="13" t="s">
        <v>2112</v>
      </c>
      <c r="C593" s="13" t="n">
        <v>2</v>
      </c>
      <c r="D593" s="13" t="s">
        <v>97</v>
      </c>
      <c r="E593" s="13" t="s">
        <v>114</v>
      </c>
      <c r="F593" s="13" t="s">
        <v>99</v>
      </c>
      <c r="G593" s="13" t="s">
        <v>2118</v>
      </c>
      <c r="H593" s="13" t="s">
        <v>101</v>
      </c>
      <c r="I593" s="21" t="s">
        <v>2119</v>
      </c>
      <c r="J593" s="21" t="s">
        <v>2120</v>
      </c>
      <c r="K593" s="21" t="s">
        <v>2121</v>
      </c>
      <c r="L593" s="22" t="s">
        <v>36</v>
      </c>
      <c r="M593" s="21" t="s">
        <v>120</v>
      </c>
      <c r="N593" s="13" t="s">
        <v>106</v>
      </c>
      <c r="O593" s="23" t="n">
        <v>12.65</v>
      </c>
      <c r="P593" s="13" t="n">
        <v>1</v>
      </c>
      <c r="Q593" s="24" t="n">
        <v>46310.6964583333</v>
      </c>
      <c r="R593" s="22"/>
      <c r="S593" s="13" t="s">
        <v>164</v>
      </c>
      <c r="T593" s="13" t="str">
        <f aca="false">IF(S593="Oui",IF(R593=L593,"Identique","Changé"),"")</f>
        <v/>
      </c>
    </row>
    <row r="594" customFormat="false" ht="46.25" hidden="false" customHeight="false" outlineLevel="0" collapsed="false">
      <c r="A594" s="13" t="s">
        <v>2122</v>
      </c>
      <c r="B594" s="13" t="s">
        <v>2112</v>
      </c>
      <c r="C594" s="13" t="n">
        <v>3</v>
      </c>
      <c r="D594" s="13" t="s">
        <v>97</v>
      </c>
      <c r="E594" s="13" t="s">
        <v>114</v>
      </c>
      <c r="F594" s="13" t="s">
        <v>701</v>
      </c>
      <c r="G594" s="13" t="s">
        <v>2123</v>
      </c>
      <c r="H594" s="13" t="s">
        <v>101</v>
      </c>
      <c r="I594" s="21" t="s">
        <v>2124</v>
      </c>
      <c r="J594" s="21" t="s">
        <v>2125</v>
      </c>
      <c r="K594" s="21" t="s">
        <v>2126</v>
      </c>
      <c r="L594" s="22" t="s">
        <v>36</v>
      </c>
      <c r="M594" s="21" t="s">
        <v>120</v>
      </c>
      <c r="N594" s="13" t="s">
        <v>106</v>
      </c>
      <c r="O594" s="23" t="n">
        <v>12.25</v>
      </c>
      <c r="P594" s="13" t="n">
        <v>1</v>
      </c>
      <c r="Q594" s="24" t="n">
        <v>46310.6967013889</v>
      </c>
      <c r="R594" s="22"/>
      <c r="S594" s="13" t="s">
        <v>164</v>
      </c>
      <c r="T594" s="13" t="str">
        <f aca="false">IF(S594="Oui",IF(R594=L594,"Identique","Changé"),"")</f>
        <v/>
      </c>
    </row>
    <row r="595" customFormat="false" ht="57.45" hidden="false" customHeight="false" outlineLevel="0" collapsed="false">
      <c r="A595" s="13" t="s">
        <v>2127</v>
      </c>
      <c r="B595" s="13" t="s">
        <v>2112</v>
      </c>
      <c r="C595" s="13" t="n">
        <v>4</v>
      </c>
      <c r="D595" s="13" t="s">
        <v>97</v>
      </c>
      <c r="E595" s="13" t="s">
        <v>570</v>
      </c>
      <c r="F595" s="13" t="s">
        <v>701</v>
      </c>
      <c r="G595" s="13" t="s">
        <v>1980</v>
      </c>
      <c r="H595" s="13" t="s">
        <v>152</v>
      </c>
      <c r="I595" s="21" t="s">
        <v>2128</v>
      </c>
      <c r="J595" s="21" t="s">
        <v>154</v>
      </c>
      <c r="K595" s="21" t="s">
        <v>2129</v>
      </c>
      <c r="L595" s="22" t="s">
        <v>40</v>
      </c>
      <c r="M595" s="21" t="s">
        <v>156</v>
      </c>
      <c r="N595" s="13" t="s">
        <v>106</v>
      </c>
      <c r="O595" s="23" t="n">
        <v>10.85</v>
      </c>
      <c r="P595" s="13" t="n">
        <v>1</v>
      </c>
      <c r="Q595" s="24" t="n">
        <v>46310.6969328704</v>
      </c>
      <c r="R595" s="22"/>
      <c r="S595" s="13" t="s">
        <v>164</v>
      </c>
      <c r="T595" s="13" t="str">
        <f aca="false">IF(S595="Oui",IF(R595=L595,"Identique","Changé"),"")</f>
        <v/>
      </c>
    </row>
    <row r="596" customFormat="false" ht="46.25" hidden="false" customHeight="false" outlineLevel="0" collapsed="false">
      <c r="A596" s="13" t="s">
        <v>2130</v>
      </c>
      <c r="B596" s="13" t="s">
        <v>2112</v>
      </c>
      <c r="C596" s="13" t="n">
        <v>5</v>
      </c>
      <c r="D596" s="13" t="s">
        <v>97</v>
      </c>
      <c r="E596" s="13" t="s">
        <v>185</v>
      </c>
      <c r="F596" s="13" t="s">
        <v>99</v>
      </c>
      <c r="G596" s="13" t="s">
        <v>2131</v>
      </c>
      <c r="H596" s="13" t="s">
        <v>101</v>
      </c>
      <c r="I596" s="21" t="s">
        <v>2132</v>
      </c>
      <c r="J596" s="21" t="s">
        <v>2133</v>
      </c>
      <c r="K596" s="21" t="s">
        <v>2134</v>
      </c>
      <c r="L596" s="22" t="s">
        <v>36</v>
      </c>
      <c r="M596" s="21" t="s">
        <v>2135</v>
      </c>
      <c r="N596" s="13" t="s">
        <v>106</v>
      </c>
      <c r="O596" s="23" t="n">
        <v>17.99</v>
      </c>
      <c r="P596" s="13" t="n">
        <v>1</v>
      </c>
      <c r="Q596" s="24" t="n">
        <v>46310.6972337963</v>
      </c>
      <c r="R596" s="22"/>
      <c r="S596" s="13" t="s">
        <v>164</v>
      </c>
      <c r="T596" s="13" t="str">
        <f aca="false">IF(S596="Oui",IF(R596=L596,"Identique","Changé"),"")</f>
        <v/>
      </c>
    </row>
    <row r="597" customFormat="false" ht="57.45" hidden="false" customHeight="false" outlineLevel="0" collapsed="false">
      <c r="A597" s="13" t="s">
        <v>2136</v>
      </c>
      <c r="B597" s="13" t="s">
        <v>2137</v>
      </c>
      <c r="C597" s="13" t="n">
        <v>1</v>
      </c>
      <c r="D597" s="13" t="s">
        <v>135</v>
      </c>
      <c r="E597" s="13" t="s">
        <v>122</v>
      </c>
      <c r="F597" s="13" t="s">
        <v>2138</v>
      </c>
      <c r="G597" s="13" t="s">
        <v>282</v>
      </c>
      <c r="H597" s="13" t="s">
        <v>101</v>
      </c>
      <c r="I597" s="21" t="s">
        <v>2139</v>
      </c>
      <c r="J597" s="21" t="s">
        <v>512</v>
      </c>
      <c r="K597" s="21" t="s">
        <v>2140</v>
      </c>
      <c r="L597" s="22" t="s">
        <v>36</v>
      </c>
      <c r="M597" s="21" t="s">
        <v>120</v>
      </c>
      <c r="N597" s="13" t="s">
        <v>106</v>
      </c>
      <c r="O597" s="23" t="n">
        <v>43.72</v>
      </c>
      <c r="P597" s="13" t="n">
        <v>1</v>
      </c>
      <c r="Q597" s="24" t="n">
        <v>46310.6978935185</v>
      </c>
      <c r="R597" s="22"/>
      <c r="S597" s="13" t="s">
        <v>164</v>
      </c>
      <c r="T597" s="13" t="str">
        <f aca="false">IF(S597="Oui",IF(R597=L597,"Identique","Changé"),"")</f>
        <v/>
      </c>
    </row>
    <row r="598" customFormat="false" ht="102.2" hidden="false" customHeight="false" outlineLevel="0" collapsed="false">
      <c r="A598" s="13" t="s">
        <v>2141</v>
      </c>
      <c r="B598" s="13" t="s">
        <v>2137</v>
      </c>
      <c r="C598" s="13" t="n">
        <v>2</v>
      </c>
      <c r="D598" s="13" t="s">
        <v>135</v>
      </c>
      <c r="E598" s="13" t="s">
        <v>1730</v>
      </c>
      <c r="F598" s="13" t="s">
        <v>2138</v>
      </c>
      <c r="G598" s="13" t="s">
        <v>2142</v>
      </c>
      <c r="H598" s="13" t="s">
        <v>101</v>
      </c>
      <c r="I598" s="21" t="s">
        <v>2143</v>
      </c>
      <c r="J598" s="21" t="s">
        <v>2144</v>
      </c>
      <c r="K598" s="21" t="s">
        <v>2145</v>
      </c>
      <c r="L598" s="22" t="s">
        <v>36</v>
      </c>
      <c r="M598" s="21" t="s">
        <v>120</v>
      </c>
      <c r="N598" s="13" t="s">
        <v>106</v>
      </c>
      <c r="O598" s="23" t="n">
        <v>11.84</v>
      </c>
      <c r="P598" s="13" t="n">
        <v>1</v>
      </c>
      <c r="Q598" s="24" t="n">
        <v>46310.698125</v>
      </c>
      <c r="R598" s="22"/>
      <c r="S598" s="13" t="s">
        <v>164</v>
      </c>
      <c r="T598" s="13" t="str">
        <f aca="false">IF(S598="Oui",IF(R598=L598,"Identique","Changé"),"")</f>
        <v/>
      </c>
    </row>
    <row r="599" customFormat="false" ht="46.25" hidden="false" customHeight="false" outlineLevel="0" collapsed="false">
      <c r="A599" s="13" t="s">
        <v>2146</v>
      </c>
      <c r="B599" s="13" t="s">
        <v>2137</v>
      </c>
      <c r="C599" s="13" t="n">
        <v>3</v>
      </c>
      <c r="D599" s="13" t="s">
        <v>135</v>
      </c>
      <c r="E599" s="13" t="s">
        <v>114</v>
      </c>
      <c r="F599" s="13" t="s">
        <v>2147</v>
      </c>
      <c r="G599" s="13" t="s">
        <v>2123</v>
      </c>
      <c r="H599" s="13" t="s">
        <v>101</v>
      </c>
      <c r="I599" s="21" t="s">
        <v>2148</v>
      </c>
      <c r="J599" s="21" t="s">
        <v>2149</v>
      </c>
      <c r="K599" s="21" t="s">
        <v>2150</v>
      </c>
      <c r="L599" s="22" t="s">
        <v>38</v>
      </c>
      <c r="M599" s="21" t="s">
        <v>2151</v>
      </c>
      <c r="N599" s="13" t="s">
        <v>1085</v>
      </c>
      <c r="O599" s="23" t="n">
        <v>21.63</v>
      </c>
      <c r="P599" s="13" t="n">
        <v>1</v>
      </c>
      <c r="Q599" s="24" t="n">
        <v>46310.6984837963</v>
      </c>
      <c r="R599" s="22"/>
      <c r="S599" s="13" t="s">
        <v>164</v>
      </c>
      <c r="T599" s="13" t="str">
        <f aca="false">IF(S599="Oui",IF(R599=L599,"Identique","Changé"),"")</f>
        <v/>
      </c>
    </row>
    <row r="600" customFormat="false" ht="35.05" hidden="false" customHeight="false" outlineLevel="0" collapsed="false">
      <c r="A600" s="13" t="s">
        <v>2152</v>
      </c>
      <c r="B600" s="13" t="s">
        <v>2137</v>
      </c>
      <c r="C600" s="13" t="n">
        <v>4</v>
      </c>
      <c r="D600" s="13" t="s">
        <v>135</v>
      </c>
      <c r="E600" s="13" t="s">
        <v>185</v>
      </c>
      <c r="F600" s="13" t="s">
        <v>2147</v>
      </c>
      <c r="G600" s="13" t="s">
        <v>2153</v>
      </c>
      <c r="H600" s="13" t="s">
        <v>101</v>
      </c>
      <c r="I600" s="21" t="s">
        <v>2154</v>
      </c>
      <c r="J600" s="21" t="s">
        <v>2155</v>
      </c>
      <c r="K600" s="21" t="s">
        <v>2156</v>
      </c>
      <c r="L600" s="22" t="s">
        <v>36</v>
      </c>
      <c r="M600" s="21" t="s">
        <v>120</v>
      </c>
      <c r="N600" s="13" t="s">
        <v>106</v>
      </c>
      <c r="O600" s="23" t="n">
        <v>10.24</v>
      </c>
      <c r="P600" s="13" t="n">
        <v>1</v>
      </c>
      <c r="Q600" s="24" t="n">
        <v>46310.6987037037</v>
      </c>
      <c r="R600" s="22"/>
      <c r="S600" s="13" t="s">
        <v>164</v>
      </c>
      <c r="T600" s="13" t="str">
        <f aca="false">IF(S600="Oui",IF(R600=L600,"Identique","Changé"),"")</f>
        <v/>
      </c>
    </row>
    <row r="601" customFormat="false" ht="46.25" hidden="false" customHeight="false" outlineLevel="0" collapsed="false">
      <c r="A601" s="13" t="s">
        <v>2157</v>
      </c>
      <c r="B601" s="13" t="s">
        <v>2137</v>
      </c>
      <c r="C601" s="13" t="n">
        <v>5</v>
      </c>
      <c r="D601" s="13" t="s">
        <v>135</v>
      </c>
      <c r="E601" s="13" t="s">
        <v>128</v>
      </c>
      <c r="F601" s="13" t="s">
        <v>2138</v>
      </c>
      <c r="G601" s="13" t="s">
        <v>2071</v>
      </c>
      <c r="H601" s="13" t="s">
        <v>101</v>
      </c>
      <c r="I601" s="21" t="s">
        <v>2158</v>
      </c>
      <c r="J601" s="21" t="s">
        <v>195</v>
      </c>
      <c r="K601" s="21" t="s">
        <v>2159</v>
      </c>
      <c r="L601" s="22" t="s">
        <v>36</v>
      </c>
      <c r="M601" s="21" t="s">
        <v>120</v>
      </c>
      <c r="N601" s="13" t="s">
        <v>106</v>
      </c>
      <c r="O601" s="23" t="n">
        <v>10.52</v>
      </c>
      <c r="P601" s="13" t="n">
        <v>1</v>
      </c>
      <c r="Q601" s="24" t="n">
        <v>46310.6989236111</v>
      </c>
      <c r="R601" s="22"/>
      <c r="S601" s="13" t="s">
        <v>164</v>
      </c>
      <c r="T601" s="13" t="str">
        <f aca="false">IF(S601="Oui",IF(R601=L601,"Identique","Changé"),"")</f>
        <v/>
      </c>
    </row>
    <row r="602" customFormat="false" ht="46.25" hidden="false" customHeight="false" outlineLevel="0" collapsed="false">
      <c r="A602" s="13" t="s">
        <v>2160</v>
      </c>
      <c r="B602" s="13" t="s">
        <v>2161</v>
      </c>
      <c r="C602" s="13" t="n">
        <v>1</v>
      </c>
      <c r="D602" s="13" t="s">
        <v>97</v>
      </c>
      <c r="E602" s="13" t="s">
        <v>98</v>
      </c>
      <c r="F602" s="13" t="s">
        <v>1151</v>
      </c>
      <c r="G602" s="13" t="s">
        <v>151</v>
      </c>
      <c r="H602" s="13" t="s">
        <v>101</v>
      </c>
      <c r="I602" s="21" t="s">
        <v>2162</v>
      </c>
      <c r="J602" s="21" t="s">
        <v>2163</v>
      </c>
      <c r="K602" s="21" t="s">
        <v>2164</v>
      </c>
      <c r="L602" s="22" t="s">
        <v>37</v>
      </c>
      <c r="M602" s="21" t="s">
        <v>163</v>
      </c>
      <c r="N602" s="13" t="s">
        <v>106</v>
      </c>
      <c r="O602" s="23" t="n">
        <v>25.28</v>
      </c>
      <c r="P602" s="13" t="n">
        <v>2</v>
      </c>
      <c r="Q602" s="24" t="n">
        <v>46310.7039583333</v>
      </c>
      <c r="R602" s="22" t="s">
        <v>37</v>
      </c>
      <c r="S602" s="13" t="s">
        <v>107</v>
      </c>
      <c r="T602" s="13" t="str">
        <f aca="false">IF(S602="Oui",IF(R602=L602,"Identique","Changé"),"")</f>
        <v>Identique</v>
      </c>
    </row>
    <row r="603" customFormat="false" ht="35.05" hidden="false" customHeight="false" outlineLevel="0" collapsed="false">
      <c r="A603" s="13" t="s">
        <v>2165</v>
      </c>
      <c r="B603" s="13" t="s">
        <v>2161</v>
      </c>
      <c r="C603" s="13" t="n">
        <v>2</v>
      </c>
      <c r="D603" s="13" t="s">
        <v>97</v>
      </c>
      <c r="E603" s="13" t="s">
        <v>122</v>
      </c>
      <c r="F603" s="13" t="s">
        <v>1151</v>
      </c>
      <c r="G603" s="13" t="s">
        <v>2166</v>
      </c>
      <c r="H603" s="13" t="s">
        <v>101</v>
      </c>
      <c r="I603" s="21" t="s">
        <v>2167</v>
      </c>
      <c r="J603" s="21" t="s">
        <v>284</v>
      </c>
      <c r="K603" s="21" t="s">
        <v>2168</v>
      </c>
      <c r="L603" s="22" t="s">
        <v>37</v>
      </c>
      <c r="M603" s="21" t="s">
        <v>163</v>
      </c>
      <c r="N603" s="13" t="s">
        <v>106</v>
      </c>
      <c r="O603" s="23" t="n">
        <v>11.84</v>
      </c>
      <c r="P603" s="13" t="n">
        <v>2</v>
      </c>
      <c r="Q603" s="24" t="n">
        <v>46310.704212963</v>
      </c>
      <c r="R603" s="22" t="s">
        <v>36</v>
      </c>
      <c r="S603" s="13" t="s">
        <v>107</v>
      </c>
      <c r="T603" s="13" t="str">
        <f aca="false">IF(S603="Oui",IF(R603=L603,"Identique","Changé"),"")</f>
        <v>Changé</v>
      </c>
    </row>
    <row r="604" customFormat="false" ht="35.05" hidden="false" customHeight="false" outlineLevel="0" collapsed="false">
      <c r="A604" s="13" t="s">
        <v>2169</v>
      </c>
      <c r="B604" s="13" t="s">
        <v>2161</v>
      </c>
      <c r="C604" s="13" t="n">
        <v>3</v>
      </c>
      <c r="D604" s="13" t="s">
        <v>97</v>
      </c>
      <c r="E604" s="13" t="s">
        <v>114</v>
      </c>
      <c r="F604" s="13" t="s">
        <v>1151</v>
      </c>
      <c r="G604" s="13" t="s">
        <v>2085</v>
      </c>
      <c r="H604" s="13" t="s">
        <v>101</v>
      </c>
      <c r="I604" s="21" t="s">
        <v>2170</v>
      </c>
      <c r="J604" s="21" t="s">
        <v>512</v>
      </c>
      <c r="K604" s="21" t="s">
        <v>2171</v>
      </c>
      <c r="L604" s="22" t="s">
        <v>37</v>
      </c>
      <c r="M604" s="21" t="s">
        <v>163</v>
      </c>
      <c r="N604" s="13" t="s">
        <v>106</v>
      </c>
      <c r="O604" s="23" t="n">
        <v>10.47</v>
      </c>
      <c r="P604" s="13" t="n">
        <v>2</v>
      </c>
      <c r="Q604" s="24" t="n">
        <v>46310.7044560185</v>
      </c>
      <c r="R604" s="22" t="s">
        <v>36</v>
      </c>
      <c r="S604" s="13" t="s">
        <v>107</v>
      </c>
      <c r="T604" s="13" t="str">
        <f aca="false">IF(S604="Oui",IF(R604=L604,"Identique","Changé"),"")</f>
        <v>Changé</v>
      </c>
    </row>
    <row r="605" customFormat="false" ht="35.05" hidden="false" customHeight="false" outlineLevel="0" collapsed="false">
      <c r="A605" s="13" t="s">
        <v>2172</v>
      </c>
      <c r="B605" s="13" t="s">
        <v>2161</v>
      </c>
      <c r="C605" s="13" t="n">
        <v>4</v>
      </c>
      <c r="D605" s="13" t="s">
        <v>97</v>
      </c>
      <c r="E605" s="13" t="s">
        <v>185</v>
      </c>
      <c r="F605" s="13" t="s">
        <v>1151</v>
      </c>
      <c r="G605" s="13" t="s">
        <v>2173</v>
      </c>
      <c r="H605" s="13" t="s">
        <v>101</v>
      </c>
      <c r="I605" s="21" t="s">
        <v>2174</v>
      </c>
      <c r="J605" s="21" t="s">
        <v>2175</v>
      </c>
      <c r="K605" s="21" t="s">
        <v>2176</v>
      </c>
      <c r="L605" s="22" t="s">
        <v>37</v>
      </c>
      <c r="M605" s="21" t="s">
        <v>163</v>
      </c>
      <c r="N605" s="13" t="s">
        <v>106</v>
      </c>
      <c r="O605" s="23" t="n">
        <v>11.8</v>
      </c>
      <c r="P605" s="13" t="n">
        <v>2</v>
      </c>
      <c r="Q605" s="24" t="n">
        <v>46310.7047106482</v>
      </c>
      <c r="R605" s="22" t="s">
        <v>36</v>
      </c>
      <c r="S605" s="13" t="s">
        <v>107</v>
      </c>
      <c r="T605" s="13" t="str">
        <f aca="false">IF(S605="Oui",IF(R605=L605,"Identique","Changé"),"")</f>
        <v>Changé</v>
      </c>
    </row>
    <row r="606" customFormat="false" ht="35.05" hidden="false" customHeight="false" outlineLevel="0" collapsed="false">
      <c r="A606" s="13" t="s">
        <v>2177</v>
      </c>
      <c r="B606" s="13" t="s">
        <v>2161</v>
      </c>
      <c r="C606" s="13" t="n">
        <v>5</v>
      </c>
      <c r="D606" s="13" t="s">
        <v>97</v>
      </c>
      <c r="E606" s="13" t="s">
        <v>185</v>
      </c>
      <c r="F606" s="13" t="s">
        <v>1151</v>
      </c>
      <c r="G606" s="13" t="s">
        <v>2153</v>
      </c>
      <c r="H606" s="13" t="s">
        <v>101</v>
      </c>
      <c r="I606" s="21" t="s">
        <v>2178</v>
      </c>
      <c r="J606" s="21" t="s">
        <v>2155</v>
      </c>
      <c r="K606" s="21" t="s">
        <v>2179</v>
      </c>
      <c r="L606" s="22" t="s">
        <v>36</v>
      </c>
      <c r="M606" s="21" t="s">
        <v>120</v>
      </c>
      <c r="N606" s="13" t="s">
        <v>106</v>
      </c>
      <c r="O606" s="23" t="n">
        <v>20.66</v>
      </c>
      <c r="P606" s="13" t="n">
        <v>2</v>
      </c>
      <c r="Q606" s="24" t="n">
        <v>46310.7050810185</v>
      </c>
      <c r="R606" s="22" t="s">
        <v>36</v>
      </c>
      <c r="S606" s="13" t="s">
        <v>107</v>
      </c>
      <c r="T606" s="13" t="str">
        <f aca="false">IF(S606="Oui",IF(R606=L606,"Identique","Changé"),"")</f>
        <v>Identique</v>
      </c>
    </row>
    <row r="607" customFormat="false" ht="23.85" hidden="false" customHeight="false" outlineLevel="0" collapsed="false">
      <c r="A607" s="13" t="s">
        <v>2180</v>
      </c>
      <c r="B607" s="13" t="s">
        <v>2181</v>
      </c>
      <c r="C607" s="13" t="n">
        <v>1</v>
      </c>
      <c r="D607" s="13" t="s">
        <v>135</v>
      </c>
      <c r="E607" s="13" t="s">
        <v>128</v>
      </c>
      <c r="F607" s="13" t="s">
        <v>2182</v>
      </c>
      <c r="G607" s="13" t="s">
        <v>968</v>
      </c>
      <c r="H607" s="13" t="s">
        <v>101</v>
      </c>
      <c r="I607" s="21" t="s">
        <v>2183</v>
      </c>
      <c r="J607" s="21" t="s">
        <v>355</v>
      </c>
      <c r="K607" s="21" t="s">
        <v>2184</v>
      </c>
      <c r="L607" s="22" t="s">
        <v>38</v>
      </c>
      <c r="M607" s="21" t="s">
        <v>2185</v>
      </c>
      <c r="N607" s="13" t="s">
        <v>1085</v>
      </c>
      <c r="O607" s="23" t="n">
        <v>38.93</v>
      </c>
      <c r="P607" s="13" t="n">
        <v>1</v>
      </c>
      <c r="Q607" s="24" t="n">
        <v>46310.7056944444</v>
      </c>
      <c r="R607" s="22" t="s">
        <v>36</v>
      </c>
      <c r="S607" s="13" t="s">
        <v>107</v>
      </c>
      <c r="T607" s="13" t="str">
        <f aca="false">IF(S607="Oui",IF(R607=L607,"Identique","Changé"),"")</f>
        <v>Changé</v>
      </c>
    </row>
    <row r="608" customFormat="false" ht="23.85" hidden="false" customHeight="false" outlineLevel="0" collapsed="false">
      <c r="A608" s="13" t="s">
        <v>2186</v>
      </c>
      <c r="B608" s="13" t="s">
        <v>2181</v>
      </c>
      <c r="C608" s="13" t="n">
        <v>2</v>
      </c>
      <c r="D608" s="13" t="s">
        <v>135</v>
      </c>
      <c r="E608" s="13" t="s">
        <v>114</v>
      </c>
      <c r="F608" s="13" t="s">
        <v>2182</v>
      </c>
      <c r="G608" s="13" t="s">
        <v>2118</v>
      </c>
      <c r="H608" s="13" t="s">
        <v>101</v>
      </c>
      <c r="I608" s="21" t="s">
        <v>2187</v>
      </c>
      <c r="J608" s="21" t="s">
        <v>2188</v>
      </c>
      <c r="K608" s="21" t="s">
        <v>2189</v>
      </c>
      <c r="L608" s="22" t="s">
        <v>36</v>
      </c>
      <c r="M608" s="21" t="s">
        <v>120</v>
      </c>
      <c r="N608" s="13" t="s">
        <v>106</v>
      </c>
      <c r="O608" s="23" t="n">
        <v>11.02</v>
      </c>
      <c r="P608" s="13" t="n">
        <v>1</v>
      </c>
      <c r="Q608" s="24" t="n">
        <v>46310.7059490741</v>
      </c>
      <c r="R608" s="22" t="s">
        <v>36</v>
      </c>
      <c r="S608" s="13" t="s">
        <v>107</v>
      </c>
      <c r="T608" s="13" t="str">
        <f aca="false">IF(S608="Oui",IF(R608=L608,"Identique","Changé"),"")</f>
        <v>Identique</v>
      </c>
    </row>
    <row r="609" customFormat="false" ht="46.25" hidden="false" customHeight="false" outlineLevel="0" collapsed="false">
      <c r="A609" s="13" t="s">
        <v>2190</v>
      </c>
      <c r="B609" s="13" t="s">
        <v>2181</v>
      </c>
      <c r="C609" s="13" t="n">
        <v>3</v>
      </c>
      <c r="D609" s="13" t="s">
        <v>135</v>
      </c>
      <c r="E609" s="13" t="s">
        <v>570</v>
      </c>
      <c r="F609" s="13" t="s">
        <v>2191</v>
      </c>
      <c r="G609" s="13" t="s">
        <v>639</v>
      </c>
      <c r="H609" s="13" t="s">
        <v>152</v>
      </c>
      <c r="I609" s="21" t="s">
        <v>2192</v>
      </c>
      <c r="J609" s="21" t="s">
        <v>154</v>
      </c>
      <c r="K609" s="21" t="s">
        <v>2193</v>
      </c>
      <c r="L609" s="22" t="s">
        <v>40</v>
      </c>
      <c r="M609" s="21" t="s">
        <v>156</v>
      </c>
      <c r="N609" s="13" t="s">
        <v>106</v>
      </c>
      <c r="O609" s="23" t="n">
        <v>9.75</v>
      </c>
      <c r="P609" s="13" t="n">
        <v>1</v>
      </c>
      <c r="Q609" s="24" t="n">
        <v>46310.7061805556</v>
      </c>
      <c r="R609" s="22" t="s">
        <v>40</v>
      </c>
      <c r="S609" s="13" t="s">
        <v>107</v>
      </c>
      <c r="T609" s="13" t="str">
        <f aca="false">IF(S609="Oui",IF(R609=L609,"Identique","Changé"),"")</f>
        <v>Identique</v>
      </c>
    </row>
    <row r="610" customFormat="false" ht="23.85" hidden="false" customHeight="false" outlineLevel="0" collapsed="false">
      <c r="A610" s="13" t="s">
        <v>2194</v>
      </c>
      <c r="B610" s="13" t="s">
        <v>2181</v>
      </c>
      <c r="C610" s="13" t="n">
        <v>4</v>
      </c>
      <c r="D610" s="13" t="s">
        <v>135</v>
      </c>
      <c r="E610" s="13" t="s">
        <v>114</v>
      </c>
      <c r="F610" s="13" t="s">
        <v>2191</v>
      </c>
      <c r="G610" s="13" t="s">
        <v>2195</v>
      </c>
      <c r="H610" s="13" t="s">
        <v>101</v>
      </c>
      <c r="I610" s="21" t="s">
        <v>2196</v>
      </c>
      <c r="J610" s="21" t="s">
        <v>2197</v>
      </c>
      <c r="K610" s="21" t="s">
        <v>2198</v>
      </c>
      <c r="L610" s="22" t="s">
        <v>36</v>
      </c>
      <c r="M610" s="21" t="s">
        <v>120</v>
      </c>
      <c r="N610" s="13" t="s">
        <v>106</v>
      </c>
      <c r="O610" s="23" t="n">
        <v>11.03</v>
      </c>
      <c r="P610" s="13" t="n">
        <v>1</v>
      </c>
      <c r="Q610" s="24" t="n">
        <v>46310.7064236111</v>
      </c>
      <c r="R610" s="22" t="s">
        <v>36</v>
      </c>
      <c r="S610" s="13" t="s">
        <v>107</v>
      </c>
      <c r="T610" s="13" t="str">
        <f aca="false">IF(S610="Oui",IF(R610=L610,"Identique","Changé"),"")</f>
        <v>Identique</v>
      </c>
    </row>
    <row r="611" customFormat="false" ht="23.85" hidden="false" customHeight="false" outlineLevel="0" collapsed="false">
      <c r="A611" s="13" t="s">
        <v>2199</v>
      </c>
      <c r="B611" s="13" t="s">
        <v>2181</v>
      </c>
      <c r="C611" s="13" t="n">
        <v>5</v>
      </c>
      <c r="D611" s="13" t="s">
        <v>135</v>
      </c>
      <c r="E611" s="13" t="s">
        <v>114</v>
      </c>
      <c r="F611" s="13" t="s">
        <v>2182</v>
      </c>
      <c r="G611" s="13" t="s">
        <v>2200</v>
      </c>
      <c r="H611" s="13" t="s">
        <v>101</v>
      </c>
      <c r="I611" s="21" t="s">
        <v>2201</v>
      </c>
      <c r="J611" s="21" t="s">
        <v>2202</v>
      </c>
      <c r="K611" s="21" t="s">
        <v>2203</v>
      </c>
      <c r="L611" s="22" t="s">
        <v>36</v>
      </c>
      <c r="M611" s="21" t="s">
        <v>120</v>
      </c>
      <c r="N611" s="13" t="s">
        <v>106</v>
      </c>
      <c r="O611" s="23" t="n">
        <v>13.73</v>
      </c>
      <c r="P611" s="13" t="n">
        <v>1</v>
      </c>
      <c r="Q611" s="24" t="n">
        <v>46310.706712963</v>
      </c>
      <c r="R611" s="22" t="s">
        <v>36</v>
      </c>
      <c r="S611" s="13" t="s">
        <v>107</v>
      </c>
      <c r="T611" s="13" t="str">
        <f aca="false">IF(S611="Oui",IF(R611=L611,"Identique","Changé"),"")</f>
        <v>Identique</v>
      </c>
    </row>
    <row r="612" customFormat="false" ht="79.85" hidden="false" customHeight="false" outlineLevel="0" collapsed="false">
      <c r="A612" s="13" t="s">
        <v>2204</v>
      </c>
      <c r="B612" s="13" t="s">
        <v>2205</v>
      </c>
      <c r="C612" s="13" t="n">
        <v>1</v>
      </c>
      <c r="D612" s="13" t="s">
        <v>97</v>
      </c>
      <c r="E612" s="13" t="s">
        <v>1730</v>
      </c>
      <c r="F612" s="13" t="s">
        <v>664</v>
      </c>
      <c r="G612" s="13" t="s">
        <v>2098</v>
      </c>
      <c r="H612" s="13" t="s">
        <v>101</v>
      </c>
      <c r="I612" s="21" t="s">
        <v>2206</v>
      </c>
      <c r="J612" s="21" t="s">
        <v>2207</v>
      </c>
      <c r="K612" s="21" t="s">
        <v>2208</v>
      </c>
      <c r="L612" s="22" t="s">
        <v>37</v>
      </c>
      <c r="M612" s="21" t="s">
        <v>163</v>
      </c>
      <c r="N612" s="13" t="s">
        <v>106</v>
      </c>
      <c r="O612" s="23" t="n">
        <v>29.03</v>
      </c>
      <c r="P612" s="13" t="n">
        <v>1</v>
      </c>
      <c r="Q612" s="24" t="n">
        <v>46310.7072337963</v>
      </c>
      <c r="R612" s="22" t="s">
        <v>36</v>
      </c>
      <c r="S612" s="13" t="s">
        <v>107</v>
      </c>
      <c r="T612" s="13" t="str">
        <f aca="false">IF(S612="Oui",IF(R612=L612,"Identique","Changé"),"")</f>
        <v>Changé</v>
      </c>
    </row>
    <row r="613" customFormat="false" ht="46.25" hidden="false" customHeight="false" outlineLevel="0" collapsed="false">
      <c r="A613" s="13" t="s">
        <v>2209</v>
      </c>
      <c r="B613" s="13" t="s">
        <v>2205</v>
      </c>
      <c r="C613" s="13" t="n">
        <v>2</v>
      </c>
      <c r="D613" s="13" t="s">
        <v>97</v>
      </c>
      <c r="E613" s="13" t="s">
        <v>98</v>
      </c>
      <c r="F613" s="13" t="s">
        <v>664</v>
      </c>
      <c r="G613" s="13" t="s">
        <v>151</v>
      </c>
      <c r="H613" s="13" t="s">
        <v>101</v>
      </c>
      <c r="I613" s="21" t="s">
        <v>2210</v>
      </c>
      <c r="J613" s="21" t="s">
        <v>103</v>
      </c>
      <c r="K613" s="21" t="s">
        <v>2211</v>
      </c>
      <c r="L613" s="22" t="s">
        <v>37</v>
      </c>
      <c r="M613" s="21" t="s">
        <v>163</v>
      </c>
      <c r="N613" s="13" t="s">
        <v>106</v>
      </c>
      <c r="O613" s="23" t="n">
        <v>10.34</v>
      </c>
      <c r="P613" s="13" t="n">
        <v>1</v>
      </c>
      <c r="Q613" s="24" t="n">
        <v>46310.7074652778</v>
      </c>
      <c r="R613" s="22" t="s">
        <v>36</v>
      </c>
      <c r="S613" s="13" t="s">
        <v>107</v>
      </c>
      <c r="T613" s="13" t="str">
        <f aca="false">IF(S613="Oui",IF(R613=L613,"Identique","Changé"),"")</f>
        <v>Changé</v>
      </c>
    </row>
    <row r="614" customFormat="false" ht="79.85" hidden="false" customHeight="false" outlineLevel="0" collapsed="false">
      <c r="A614" s="13" t="s">
        <v>2212</v>
      </c>
      <c r="B614" s="13" t="s">
        <v>2205</v>
      </c>
      <c r="C614" s="13" t="n">
        <v>3</v>
      </c>
      <c r="D614" s="13" t="s">
        <v>97</v>
      </c>
      <c r="E614" s="13" t="s">
        <v>1730</v>
      </c>
      <c r="F614" s="13" t="s">
        <v>664</v>
      </c>
      <c r="G614" s="13" t="s">
        <v>2142</v>
      </c>
      <c r="H614" s="13" t="s">
        <v>101</v>
      </c>
      <c r="I614" s="21" t="s">
        <v>2213</v>
      </c>
      <c r="J614" s="21" t="s">
        <v>2207</v>
      </c>
      <c r="K614" s="21" t="s">
        <v>2214</v>
      </c>
      <c r="L614" s="22" t="s">
        <v>37</v>
      </c>
      <c r="M614" s="21" t="s">
        <v>163</v>
      </c>
      <c r="N614" s="13" t="s">
        <v>106</v>
      </c>
      <c r="O614" s="23" t="n">
        <v>12.6</v>
      </c>
      <c r="P614" s="13" t="n">
        <v>1</v>
      </c>
      <c r="Q614" s="24" t="n">
        <v>46310.7077314815</v>
      </c>
      <c r="R614" s="22" t="s">
        <v>36</v>
      </c>
      <c r="S614" s="13" t="s">
        <v>107</v>
      </c>
      <c r="T614" s="13" t="str">
        <f aca="false">IF(S614="Oui",IF(R614=L614,"Identique","Changé"),"")</f>
        <v>Changé</v>
      </c>
    </row>
    <row r="615" customFormat="false" ht="46.25" hidden="false" customHeight="false" outlineLevel="0" collapsed="false">
      <c r="A615" s="13" t="s">
        <v>2215</v>
      </c>
      <c r="B615" s="13" t="s">
        <v>2205</v>
      </c>
      <c r="C615" s="13" t="n">
        <v>4</v>
      </c>
      <c r="D615" s="13" t="s">
        <v>97</v>
      </c>
      <c r="E615" s="13" t="s">
        <v>122</v>
      </c>
      <c r="F615" s="13" t="s">
        <v>664</v>
      </c>
      <c r="G615" s="13" t="s">
        <v>2216</v>
      </c>
      <c r="H615" s="13" t="s">
        <v>101</v>
      </c>
      <c r="I615" s="21" t="s">
        <v>2217</v>
      </c>
      <c r="J615" s="21" t="s">
        <v>284</v>
      </c>
      <c r="K615" s="21" t="s">
        <v>2218</v>
      </c>
      <c r="L615" s="22" t="s">
        <v>37</v>
      </c>
      <c r="M615" s="21" t="s">
        <v>163</v>
      </c>
      <c r="N615" s="13" t="s">
        <v>106</v>
      </c>
      <c r="O615" s="23" t="n">
        <v>10.78</v>
      </c>
      <c r="P615" s="13" t="n">
        <v>1</v>
      </c>
      <c r="Q615" s="24" t="n">
        <v>46310.707974537</v>
      </c>
      <c r="R615" s="22" t="s">
        <v>36</v>
      </c>
      <c r="S615" s="13" t="s">
        <v>107</v>
      </c>
      <c r="T615" s="13" t="str">
        <f aca="false">IF(S615="Oui",IF(R615=L615,"Identique","Changé"),"")</f>
        <v>Changé</v>
      </c>
    </row>
    <row r="616" customFormat="false" ht="46.25" hidden="false" customHeight="false" outlineLevel="0" collapsed="false">
      <c r="A616" s="13" t="s">
        <v>2219</v>
      </c>
      <c r="B616" s="13" t="s">
        <v>2205</v>
      </c>
      <c r="C616" s="13" t="n">
        <v>5</v>
      </c>
      <c r="D616" s="13" t="s">
        <v>97</v>
      </c>
      <c r="E616" s="13" t="s">
        <v>114</v>
      </c>
      <c r="F616" s="13" t="s">
        <v>664</v>
      </c>
      <c r="G616" s="13" t="s">
        <v>2220</v>
      </c>
      <c r="H616" s="13" t="s">
        <v>101</v>
      </c>
      <c r="I616" s="21" t="s">
        <v>2221</v>
      </c>
      <c r="J616" s="21" t="s">
        <v>2222</v>
      </c>
      <c r="K616" s="21" t="s">
        <v>2223</v>
      </c>
      <c r="L616" s="22" t="s">
        <v>36</v>
      </c>
      <c r="M616" s="21" t="s">
        <v>120</v>
      </c>
      <c r="N616" s="13" t="s">
        <v>106</v>
      </c>
      <c r="O616" s="23" t="n">
        <v>9.76</v>
      </c>
      <c r="P616" s="13" t="n">
        <v>1</v>
      </c>
      <c r="Q616" s="24" t="n">
        <v>46310.7082060185</v>
      </c>
      <c r="R616" s="22" t="s">
        <v>36</v>
      </c>
      <c r="S616" s="13" t="s">
        <v>107</v>
      </c>
      <c r="T616" s="13" t="str">
        <f aca="false">IF(S616="Oui",IF(R616=L616,"Identique","Changé"),"")</f>
        <v>Identique</v>
      </c>
    </row>
    <row r="617" customFormat="false" ht="35.05" hidden="false" customHeight="false" outlineLevel="0" collapsed="false">
      <c r="A617" s="13" t="s">
        <v>2224</v>
      </c>
      <c r="B617" s="13" t="s">
        <v>2225</v>
      </c>
      <c r="C617" s="13" t="n">
        <v>1</v>
      </c>
      <c r="D617" s="13" t="s">
        <v>135</v>
      </c>
      <c r="E617" s="13" t="s">
        <v>185</v>
      </c>
      <c r="F617" s="13" t="s">
        <v>2226</v>
      </c>
      <c r="G617" s="13" t="s">
        <v>2113</v>
      </c>
      <c r="H617" s="13" t="s">
        <v>101</v>
      </c>
      <c r="I617" s="21" t="s">
        <v>2227</v>
      </c>
      <c r="J617" s="21" t="s">
        <v>2228</v>
      </c>
      <c r="K617" s="21" t="s">
        <v>2229</v>
      </c>
      <c r="L617" s="22" t="s">
        <v>36</v>
      </c>
      <c r="M617" s="21" t="s">
        <v>427</v>
      </c>
      <c r="N617" s="13" t="s">
        <v>106</v>
      </c>
      <c r="O617" s="23" t="n">
        <v>43.77</v>
      </c>
      <c r="P617" s="13" t="n">
        <v>1</v>
      </c>
      <c r="Q617" s="24" t="n">
        <v>46310.7088657407</v>
      </c>
      <c r="R617" s="22" t="s">
        <v>36</v>
      </c>
      <c r="S617" s="13" t="s">
        <v>107</v>
      </c>
      <c r="T617" s="13" t="str">
        <f aca="false">IF(S617="Oui",IF(R617=L617,"Identique","Changé"),"")</f>
        <v>Identique</v>
      </c>
    </row>
    <row r="618" customFormat="false" ht="35.05" hidden="false" customHeight="false" outlineLevel="0" collapsed="false">
      <c r="A618" s="13" t="s">
        <v>2230</v>
      </c>
      <c r="B618" s="13" t="s">
        <v>2225</v>
      </c>
      <c r="C618" s="13" t="n">
        <v>2</v>
      </c>
      <c r="D618" s="13" t="s">
        <v>135</v>
      </c>
      <c r="E618" s="13" t="s">
        <v>128</v>
      </c>
      <c r="F618" s="13" t="s">
        <v>2226</v>
      </c>
      <c r="G618" s="13" t="s">
        <v>290</v>
      </c>
      <c r="H618" s="13" t="s">
        <v>101</v>
      </c>
      <c r="I618" s="21" t="s">
        <v>2231</v>
      </c>
      <c r="J618" s="21" t="s">
        <v>355</v>
      </c>
      <c r="K618" s="21" t="s">
        <v>2232</v>
      </c>
      <c r="L618" s="22" t="s">
        <v>36</v>
      </c>
      <c r="M618" s="21" t="s">
        <v>120</v>
      </c>
      <c r="N618" s="13" t="s">
        <v>106</v>
      </c>
      <c r="O618" s="23" t="n">
        <v>19.12</v>
      </c>
      <c r="P618" s="13" t="n">
        <v>1</v>
      </c>
      <c r="Q618" s="24" t="n">
        <v>46310.709212963</v>
      </c>
      <c r="R618" s="22" t="s">
        <v>36</v>
      </c>
      <c r="S618" s="13" t="s">
        <v>107</v>
      </c>
      <c r="T618" s="13" t="str">
        <f aca="false">IF(S618="Oui",IF(R618=L618,"Identique","Changé"),"")</f>
        <v>Identique</v>
      </c>
    </row>
    <row r="619" customFormat="false" ht="46.25" hidden="false" customHeight="false" outlineLevel="0" collapsed="false">
      <c r="A619" s="13" t="s">
        <v>2233</v>
      </c>
      <c r="B619" s="13" t="s">
        <v>2225</v>
      </c>
      <c r="C619" s="13" t="n">
        <v>3</v>
      </c>
      <c r="D619" s="13" t="s">
        <v>135</v>
      </c>
      <c r="E619" s="13" t="s">
        <v>185</v>
      </c>
      <c r="F619" s="13" t="s">
        <v>2234</v>
      </c>
      <c r="G619" s="13" t="s">
        <v>2173</v>
      </c>
      <c r="H619" s="13" t="s">
        <v>101</v>
      </c>
      <c r="I619" s="21" t="s">
        <v>2235</v>
      </c>
      <c r="J619" s="21" t="s">
        <v>2236</v>
      </c>
      <c r="K619" s="21" t="s">
        <v>2237</v>
      </c>
      <c r="L619" s="22" t="s">
        <v>36</v>
      </c>
      <c r="M619" s="21" t="s">
        <v>2135</v>
      </c>
      <c r="N619" s="13" t="s">
        <v>106</v>
      </c>
      <c r="O619" s="23" t="n">
        <v>10.82</v>
      </c>
      <c r="P619" s="13" t="n">
        <v>1</v>
      </c>
      <c r="Q619" s="24" t="n">
        <v>46310.7094560185</v>
      </c>
      <c r="R619" s="22" t="s">
        <v>36</v>
      </c>
      <c r="S619" s="13" t="s">
        <v>107</v>
      </c>
      <c r="T619" s="13" t="str">
        <f aca="false">IF(S619="Oui",IF(R619=L619,"Identique","Changé"),"")</f>
        <v>Identique</v>
      </c>
    </row>
    <row r="620" customFormat="false" ht="46.25" hidden="false" customHeight="false" outlineLevel="0" collapsed="false">
      <c r="A620" s="13" t="s">
        <v>2238</v>
      </c>
      <c r="B620" s="13" t="s">
        <v>2225</v>
      </c>
      <c r="C620" s="13" t="n">
        <v>4</v>
      </c>
      <c r="D620" s="13" t="s">
        <v>135</v>
      </c>
      <c r="E620" s="13" t="s">
        <v>570</v>
      </c>
      <c r="F620" s="13" t="s">
        <v>2234</v>
      </c>
      <c r="G620" s="13" t="s">
        <v>1883</v>
      </c>
      <c r="H620" s="13" t="s">
        <v>152</v>
      </c>
      <c r="I620" s="21" t="s">
        <v>2239</v>
      </c>
      <c r="J620" s="21" t="s">
        <v>154</v>
      </c>
      <c r="K620" s="21" t="s">
        <v>2240</v>
      </c>
      <c r="L620" s="22" t="s">
        <v>40</v>
      </c>
      <c r="M620" s="21" t="s">
        <v>156</v>
      </c>
      <c r="N620" s="13" t="s">
        <v>106</v>
      </c>
      <c r="O620" s="23" t="n">
        <v>12.07</v>
      </c>
      <c r="P620" s="13" t="n">
        <v>1</v>
      </c>
      <c r="Q620" s="24" t="n">
        <v>46310.7097106482</v>
      </c>
      <c r="R620" s="22" t="s">
        <v>40</v>
      </c>
      <c r="S620" s="13" t="s">
        <v>107</v>
      </c>
      <c r="T620" s="13" t="str">
        <f aca="false">IF(S620="Oui",IF(R620=L620,"Identique","Changé"),"")</f>
        <v>Identique</v>
      </c>
    </row>
    <row r="621" customFormat="false" ht="57.45" hidden="false" customHeight="false" outlineLevel="0" collapsed="false">
      <c r="A621" s="13" t="s">
        <v>2241</v>
      </c>
      <c r="B621" s="13" t="s">
        <v>2225</v>
      </c>
      <c r="C621" s="13" t="n">
        <v>5</v>
      </c>
      <c r="D621" s="13" t="s">
        <v>135</v>
      </c>
      <c r="E621" s="13" t="s">
        <v>114</v>
      </c>
      <c r="F621" s="13" t="s">
        <v>2226</v>
      </c>
      <c r="G621" s="13" t="s">
        <v>2195</v>
      </c>
      <c r="H621" s="13" t="s">
        <v>101</v>
      </c>
      <c r="I621" s="21" t="s">
        <v>2242</v>
      </c>
      <c r="J621" s="21" t="s">
        <v>2197</v>
      </c>
      <c r="K621" s="21" t="s">
        <v>2243</v>
      </c>
      <c r="L621" s="22" t="s">
        <v>36</v>
      </c>
      <c r="M621" s="21" t="s">
        <v>120</v>
      </c>
      <c r="N621" s="13" t="s">
        <v>106</v>
      </c>
      <c r="O621" s="23" t="n">
        <v>12.81</v>
      </c>
      <c r="P621" s="13" t="n">
        <v>1</v>
      </c>
      <c r="Q621" s="24" t="n">
        <v>46310.71</v>
      </c>
      <c r="R621" s="22" t="s">
        <v>36</v>
      </c>
      <c r="S621" s="13" t="s">
        <v>107</v>
      </c>
      <c r="T621" s="13" t="str">
        <f aca="false">IF(S621="Oui",IF(R621=L621,"Identique","Changé"),"")</f>
        <v>Identique</v>
      </c>
    </row>
    <row r="622" customFormat="false" ht="35.05" hidden="false" customHeight="false" outlineLevel="0" collapsed="false">
      <c r="A622" s="13" t="s">
        <v>2244</v>
      </c>
      <c r="B622" s="13" t="s">
        <v>2245</v>
      </c>
      <c r="C622" s="13" t="n">
        <v>1</v>
      </c>
      <c r="D622" s="13" t="s">
        <v>97</v>
      </c>
      <c r="E622" s="13" t="s">
        <v>128</v>
      </c>
      <c r="F622" s="13" t="s">
        <v>409</v>
      </c>
      <c r="G622" s="13" t="s">
        <v>968</v>
      </c>
      <c r="H622" s="13" t="s">
        <v>101</v>
      </c>
      <c r="I622" s="21" t="s">
        <v>2246</v>
      </c>
      <c r="J622" s="21" t="s">
        <v>355</v>
      </c>
      <c r="K622" s="21" t="s">
        <v>2247</v>
      </c>
      <c r="L622" s="22" t="s">
        <v>38</v>
      </c>
      <c r="M622" s="21" t="s">
        <v>2248</v>
      </c>
      <c r="N622" s="13" t="s">
        <v>1085</v>
      </c>
      <c r="O622" s="23" t="n">
        <v>29.28</v>
      </c>
      <c r="P622" s="13" t="n">
        <v>1</v>
      </c>
      <c r="Q622" s="24" t="n">
        <v>46310.7105439815</v>
      </c>
      <c r="R622" s="22" t="s">
        <v>36</v>
      </c>
      <c r="S622" s="13" t="s">
        <v>107</v>
      </c>
      <c r="T622" s="13" t="str">
        <f aca="false">IF(S622="Oui",IF(R622=L622,"Identique","Changé"),"")</f>
        <v>Changé</v>
      </c>
    </row>
    <row r="623" customFormat="false" ht="35.05" hidden="false" customHeight="false" outlineLevel="0" collapsed="false">
      <c r="A623" s="13" t="s">
        <v>2249</v>
      </c>
      <c r="B623" s="13" t="s">
        <v>2245</v>
      </c>
      <c r="C623" s="13" t="n">
        <v>2</v>
      </c>
      <c r="D623" s="13" t="s">
        <v>97</v>
      </c>
      <c r="E623" s="13" t="s">
        <v>114</v>
      </c>
      <c r="F623" s="13" t="s">
        <v>409</v>
      </c>
      <c r="G623" s="13" t="s">
        <v>2250</v>
      </c>
      <c r="H623" s="13" t="s">
        <v>101</v>
      </c>
      <c r="I623" s="21" t="s">
        <v>2251</v>
      </c>
      <c r="J623" s="21" t="s">
        <v>2252</v>
      </c>
      <c r="K623" s="21" t="s">
        <v>2253</v>
      </c>
      <c r="L623" s="22" t="s">
        <v>36</v>
      </c>
      <c r="M623" s="21" t="s">
        <v>120</v>
      </c>
      <c r="N623" s="13" t="s">
        <v>106</v>
      </c>
      <c r="O623" s="23" t="n">
        <v>14.11</v>
      </c>
      <c r="P623" s="13" t="n">
        <v>1</v>
      </c>
      <c r="Q623" s="24" t="n">
        <v>46310.7108333333</v>
      </c>
      <c r="R623" s="22" t="s">
        <v>36</v>
      </c>
      <c r="S623" s="13" t="s">
        <v>107</v>
      </c>
      <c r="T623" s="13" t="str">
        <f aca="false">IF(S623="Oui",IF(R623=L623,"Identique","Changé"),"")</f>
        <v>Identique</v>
      </c>
    </row>
    <row r="624" customFormat="false" ht="35.05" hidden="false" customHeight="false" outlineLevel="0" collapsed="false">
      <c r="A624" s="13" t="s">
        <v>2254</v>
      </c>
      <c r="B624" s="13" t="s">
        <v>2245</v>
      </c>
      <c r="C624" s="13" t="n">
        <v>3</v>
      </c>
      <c r="D624" s="13" t="s">
        <v>97</v>
      </c>
      <c r="E624" s="13" t="s">
        <v>128</v>
      </c>
      <c r="F624" s="13" t="s">
        <v>728</v>
      </c>
      <c r="G624" s="13" t="s">
        <v>348</v>
      </c>
      <c r="H624" s="13" t="s">
        <v>101</v>
      </c>
      <c r="I624" s="21" t="s">
        <v>2255</v>
      </c>
      <c r="J624" s="21" t="s">
        <v>131</v>
      </c>
      <c r="K624" s="21" t="s">
        <v>2256</v>
      </c>
      <c r="L624" s="22" t="s">
        <v>36</v>
      </c>
      <c r="M624" s="21" t="s">
        <v>120</v>
      </c>
      <c r="N624" s="13" t="s">
        <v>106</v>
      </c>
      <c r="O624" s="23" t="n">
        <v>12.15</v>
      </c>
      <c r="P624" s="13" t="n">
        <v>1</v>
      </c>
      <c r="Q624" s="24" t="n">
        <v>46310.711087963</v>
      </c>
      <c r="R624" s="22" t="s">
        <v>36</v>
      </c>
      <c r="S624" s="13" t="s">
        <v>107</v>
      </c>
      <c r="T624" s="13" t="str">
        <f aca="false">IF(S624="Oui",IF(R624=L624,"Identique","Changé"),"")</f>
        <v>Identique</v>
      </c>
    </row>
    <row r="625" customFormat="false" ht="46.25" hidden="false" customHeight="false" outlineLevel="0" collapsed="false">
      <c r="A625" s="13" t="s">
        <v>2257</v>
      </c>
      <c r="B625" s="13" t="s">
        <v>2245</v>
      </c>
      <c r="C625" s="13" t="n">
        <v>4</v>
      </c>
      <c r="D625" s="13" t="s">
        <v>97</v>
      </c>
      <c r="E625" s="13" t="s">
        <v>171</v>
      </c>
      <c r="F625" s="13" t="s">
        <v>728</v>
      </c>
      <c r="G625" s="13" t="s">
        <v>2258</v>
      </c>
      <c r="H625" s="13" t="s">
        <v>101</v>
      </c>
      <c r="I625" s="21" t="s">
        <v>2259</v>
      </c>
      <c r="J625" s="21" t="s">
        <v>2260</v>
      </c>
      <c r="K625" s="21" t="s">
        <v>2261</v>
      </c>
      <c r="L625" s="22" t="s">
        <v>36</v>
      </c>
      <c r="M625" s="21" t="s">
        <v>120</v>
      </c>
      <c r="N625" s="13" t="s">
        <v>106</v>
      </c>
      <c r="O625" s="23" t="n">
        <v>11.2</v>
      </c>
      <c r="P625" s="13" t="n">
        <v>1</v>
      </c>
      <c r="Q625" s="24" t="n">
        <v>46310.7113425926</v>
      </c>
      <c r="R625" s="22" t="s">
        <v>38</v>
      </c>
      <c r="S625" s="13" t="s">
        <v>107</v>
      </c>
      <c r="T625" s="13" t="str">
        <f aca="false">IF(S625="Oui",IF(R625=L625,"Identique","Changé"),"")</f>
        <v>Changé</v>
      </c>
    </row>
    <row r="626" customFormat="false" ht="68.65" hidden="false" customHeight="false" outlineLevel="0" collapsed="false">
      <c r="A626" s="13" t="s">
        <v>2262</v>
      </c>
      <c r="B626" s="13" t="s">
        <v>2245</v>
      </c>
      <c r="C626" s="13" t="n">
        <v>5</v>
      </c>
      <c r="D626" s="13" t="s">
        <v>97</v>
      </c>
      <c r="E626" s="13" t="s">
        <v>171</v>
      </c>
      <c r="F626" s="13" t="s">
        <v>409</v>
      </c>
      <c r="G626" s="13" t="s">
        <v>2263</v>
      </c>
      <c r="H626" s="13" t="s">
        <v>101</v>
      </c>
      <c r="I626" s="21" t="s">
        <v>2264</v>
      </c>
      <c r="J626" s="21" t="s">
        <v>2265</v>
      </c>
      <c r="K626" s="21" t="s">
        <v>2266</v>
      </c>
      <c r="L626" s="22" t="s">
        <v>36</v>
      </c>
      <c r="M626" s="21" t="s">
        <v>120</v>
      </c>
      <c r="N626" s="13" t="s">
        <v>106</v>
      </c>
      <c r="O626" s="23" t="n">
        <v>13.37</v>
      </c>
      <c r="P626" s="13" t="n">
        <v>1</v>
      </c>
      <c r="Q626" s="24" t="n">
        <v>46310.7116203704</v>
      </c>
      <c r="R626" s="22" t="s">
        <v>38</v>
      </c>
      <c r="S626" s="13" t="s">
        <v>107</v>
      </c>
      <c r="T626" s="13" t="str">
        <f aca="false">IF(S626="Oui",IF(R626=L626,"Identique","Changé"),"")</f>
        <v>Changé</v>
      </c>
    </row>
    <row r="627" customFormat="false" ht="46.25" hidden="false" customHeight="false" outlineLevel="0" collapsed="false">
      <c r="A627" s="13" t="s">
        <v>2267</v>
      </c>
      <c r="B627" s="13" t="s">
        <v>2268</v>
      </c>
      <c r="C627" s="13" t="n">
        <v>1</v>
      </c>
      <c r="D627" s="13" t="s">
        <v>135</v>
      </c>
      <c r="E627" s="13" t="s">
        <v>122</v>
      </c>
      <c r="F627" s="13" t="s">
        <v>2269</v>
      </c>
      <c r="G627" s="13" t="s">
        <v>2216</v>
      </c>
      <c r="H627" s="13" t="s">
        <v>101</v>
      </c>
      <c r="I627" s="21" t="s">
        <v>2270</v>
      </c>
      <c r="J627" s="21" t="s">
        <v>284</v>
      </c>
      <c r="K627" s="21" t="s">
        <v>2271</v>
      </c>
      <c r="L627" s="22" t="s">
        <v>37</v>
      </c>
      <c r="M627" s="21" t="s">
        <v>163</v>
      </c>
      <c r="N627" s="13" t="s">
        <v>106</v>
      </c>
      <c r="O627" s="23" t="n">
        <v>55.29</v>
      </c>
      <c r="P627" s="13" t="n">
        <v>1</v>
      </c>
      <c r="Q627" s="24" t="n">
        <v>46310.7124652778</v>
      </c>
      <c r="R627" s="22" t="s">
        <v>36</v>
      </c>
      <c r="S627" s="13" t="s">
        <v>107</v>
      </c>
      <c r="T627" s="13" t="str">
        <f aca="false">IF(S627="Oui",IF(R627=L627,"Identique","Changé"),"")</f>
        <v>Changé</v>
      </c>
    </row>
    <row r="628" customFormat="false" ht="35.05" hidden="false" customHeight="false" outlineLevel="0" collapsed="false">
      <c r="A628" s="13" t="s">
        <v>2272</v>
      </c>
      <c r="B628" s="13" t="s">
        <v>2268</v>
      </c>
      <c r="C628" s="13" t="n">
        <v>2</v>
      </c>
      <c r="D628" s="13" t="s">
        <v>135</v>
      </c>
      <c r="E628" s="13" t="s">
        <v>128</v>
      </c>
      <c r="F628" s="13" t="s">
        <v>2269</v>
      </c>
      <c r="G628" s="13" t="s">
        <v>348</v>
      </c>
      <c r="H628" s="13" t="s">
        <v>101</v>
      </c>
      <c r="I628" s="21" t="s">
        <v>2273</v>
      </c>
      <c r="J628" s="21" t="s">
        <v>199</v>
      </c>
      <c r="K628" s="21" t="s">
        <v>2274</v>
      </c>
      <c r="L628" s="22" t="s">
        <v>37</v>
      </c>
      <c r="M628" s="21" t="s">
        <v>163</v>
      </c>
      <c r="N628" s="13" t="s">
        <v>106</v>
      </c>
      <c r="O628" s="23" t="n">
        <v>19.16</v>
      </c>
      <c r="P628" s="13" t="n">
        <v>1</v>
      </c>
      <c r="Q628" s="24" t="n">
        <v>46310.7128240741</v>
      </c>
      <c r="R628" s="22" t="s">
        <v>36</v>
      </c>
      <c r="S628" s="13" t="s">
        <v>107</v>
      </c>
      <c r="T628" s="13" t="str">
        <f aca="false">IF(S628="Oui",IF(R628=L628,"Identique","Changé"),"")</f>
        <v>Changé</v>
      </c>
    </row>
    <row r="629" customFormat="false" ht="46.25" hidden="false" customHeight="false" outlineLevel="0" collapsed="false">
      <c r="A629" s="13" t="s">
        <v>2275</v>
      </c>
      <c r="B629" s="13" t="s">
        <v>2268</v>
      </c>
      <c r="C629" s="13" t="n">
        <v>3</v>
      </c>
      <c r="D629" s="13" t="s">
        <v>135</v>
      </c>
      <c r="E629" s="13" t="s">
        <v>128</v>
      </c>
      <c r="F629" s="13" t="s">
        <v>2269</v>
      </c>
      <c r="G629" s="13" t="s">
        <v>290</v>
      </c>
      <c r="H629" s="13" t="s">
        <v>101</v>
      </c>
      <c r="I629" s="21" t="s">
        <v>2276</v>
      </c>
      <c r="J629" s="21" t="s">
        <v>199</v>
      </c>
      <c r="K629" s="21" t="s">
        <v>2277</v>
      </c>
      <c r="L629" s="22" t="s">
        <v>37</v>
      </c>
      <c r="M629" s="21" t="s">
        <v>163</v>
      </c>
      <c r="N629" s="13" t="s">
        <v>106</v>
      </c>
      <c r="O629" s="23" t="n">
        <v>9.9</v>
      </c>
      <c r="P629" s="13" t="n">
        <v>1</v>
      </c>
      <c r="Q629" s="24" t="n">
        <v>46310.7130555556</v>
      </c>
      <c r="R629" s="22" t="s">
        <v>36</v>
      </c>
      <c r="S629" s="13" t="s">
        <v>107</v>
      </c>
      <c r="T629" s="13" t="str">
        <f aca="false">IF(S629="Oui",IF(R629=L629,"Identique","Changé"),"")</f>
        <v>Changé</v>
      </c>
    </row>
    <row r="630" customFormat="false" ht="57.45" hidden="false" customHeight="false" outlineLevel="0" collapsed="false">
      <c r="A630" s="13" t="s">
        <v>2278</v>
      </c>
      <c r="B630" s="13" t="s">
        <v>2268</v>
      </c>
      <c r="C630" s="13" t="n">
        <v>4</v>
      </c>
      <c r="D630" s="13" t="s">
        <v>135</v>
      </c>
      <c r="E630" s="13" t="s">
        <v>128</v>
      </c>
      <c r="F630" s="13" t="s">
        <v>2269</v>
      </c>
      <c r="G630" s="13" t="s">
        <v>209</v>
      </c>
      <c r="H630" s="13" t="s">
        <v>101</v>
      </c>
      <c r="I630" s="21" t="s">
        <v>2279</v>
      </c>
      <c r="J630" s="21" t="s">
        <v>2280</v>
      </c>
      <c r="K630" s="21" t="s">
        <v>2281</v>
      </c>
      <c r="L630" s="22" t="s">
        <v>37</v>
      </c>
      <c r="M630" s="21" t="s">
        <v>163</v>
      </c>
      <c r="N630" s="13" t="s">
        <v>106</v>
      </c>
      <c r="O630" s="23" t="n">
        <v>14.02</v>
      </c>
      <c r="P630" s="13" t="n">
        <v>1</v>
      </c>
      <c r="Q630" s="24" t="n">
        <v>46310.7133449074</v>
      </c>
      <c r="R630" s="22" t="s">
        <v>36</v>
      </c>
      <c r="S630" s="13" t="s">
        <v>107</v>
      </c>
      <c r="T630" s="13" t="str">
        <f aca="false">IF(S630="Oui",IF(R630=L630,"Identique","Changé"),"")</f>
        <v>Changé</v>
      </c>
    </row>
    <row r="631" customFormat="false" ht="57.45" hidden="false" customHeight="false" outlineLevel="0" collapsed="false">
      <c r="A631" s="13" t="s">
        <v>2282</v>
      </c>
      <c r="B631" s="13" t="s">
        <v>2268</v>
      </c>
      <c r="C631" s="13" t="n">
        <v>5</v>
      </c>
      <c r="D631" s="13" t="s">
        <v>135</v>
      </c>
      <c r="E631" s="13" t="s">
        <v>114</v>
      </c>
      <c r="F631" s="13" t="s">
        <v>2269</v>
      </c>
      <c r="G631" s="13" t="s">
        <v>2220</v>
      </c>
      <c r="H631" s="13" t="s">
        <v>101</v>
      </c>
      <c r="I631" s="21" t="s">
        <v>2283</v>
      </c>
      <c r="J631" s="21" t="s">
        <v>2222</v>
      </c>
      <c r="K631" s="21" t="s">
        <v>2284</v>
      </c>
      <c r="L631" s="22" t="s">
        <v>36</v>
      </c>
      <c r="M631" s="21" t="s">
        <v>120</v>
      </c>
      <c r="N631" s="13" t="s">
        <v>106</v>
      </c>
      <c r="O631" s="23" t="n">
        <v>11.03</v>
      </c>
      <c r="P631" s="13" t="n">
        <v>1</v>
      </c>
      <c r="Q631" s="24" t="n">
        <v>46310.713599537</v>
      </c>
      <c r="R631" s="22" t="s">
        <v>36</v>
      </c>
      <c r="S631" s="13" t="s">
        <v>107</v>
      </c>
      <c r="T631" s="13" t="str">
        <f aca="false">IF(S631="Oui",IF(R631=L631,"Identique","Changé"),"")</f>
        <v>Identique</v>
      </c>
    </row>
    <row r="632" customFormat="false" ht="68.65" hidden="false" customHeight="false" outlineLevel="0" collapsed="false">
      <c r="A632" s="13" t="s">
        <v>2285</v>
      </c>
      <c r="B632" s="13" t="s">
        <v>2286</v>
      </c>
      <c r="C632" s="13" t="n">
        <v>1</v>
      </c>
      <c r="D632" s="13" t="s">
        <v>97</v>
      </c>
      <c r="E632" s="13" t="s">
        <v>122</v>
      </c>
      <c r="F632" s="13" t="s">
        <v>1925</v>
      </c>
      <c r="G632" s="13" t="s">
        <v>2036</v>
      </c>
      <c r="H632" s="13" t="s">
        <v>101</v>
      </c>
      <c r="I632" s="21" t="s">
        <v>2287</v>
      </c>
      <c r="J632" s="21" t="s">
        <v>2038</v>
      </c>
      <c r="K632" s="21" t="s">
        <v>2288</v>
      </c>
      <c r="L632" s="22" t="s">
        <v>36</v>
      </c>
      <c r="M632" s="21" t="s">
        <v>120</v>
      </c>
      <c r="N632" s="13" t="s">
        <v>106</v>
      </c>
      <c r="O632" s="23" t="n">
        <v>26.7</v>
      </c>
      <c r="P632" s="13" t="n">
        <v>1</v>
      </c>
      <c r="Q632" s="24" t="n">
        <v>46310.7140972222</v>
      </c>
      <c r="R632" s="22" t="s">
        <v>2289</v>
      </c>
      <c r="S632" s="13" t="s">
        <v>107</v>
      </c>
      <c r="T632" s="13" t="str">
        <f aca="false">IF(S632="Oui",IF(R632=L632,"Identique","Changé"),"")</f>
        <v>Changé</v>
      </c>
    </row>
    <row r="633" customFormat="false" ht="46.25" hidden="false" customHeight="false" outlineLevel="0" collapsed="false">
      <c r="A633" s="13" t="s">
        <v>2290</v>
      </c>
      <c r="B633" s="13" t="s">
        <v>2286</v>
      </c>
      <c r="C633" s="13" t="n">
        <v>2</v>
      </c>
      <c r="D633" s="13" t="s">
        <v>97</v>
      </c>
      <c r="E633" s="13" t="s">
        <v>114</v>
      </c>
      <c r="F633" s="13" t="s">
        <v>1925</v>
      </c>
      <c r="G633" s="13" t="s">
        <v>2200</v>
      </c>
      <c r="H633" s="13" t="s">
        <v>101</v>
      </c>
      <c r="I633" s="21" t="s">
        <v>2291</v>
      </c>
      <c r="J633" s="21" t="s">
        <v>2292</v>
      </c>
      <c r="K633" s="21" t="s">
        <v>2293</v>
      </c>
      <c r="L633" s="22" t="s">
        <v>36</v>
      </c>
      <c r="M633" s="21" t="s">
        <v>120</v>
      </c>
      <c r="N633" s="13" t="s">
        <v>106</v>
      </c>
      <c r="O633" s="23" t="n">
        <v>20.01</v>
      </c>
      <c r="P633" s="13" t="n">
        <v>1</v>
      </c>
      <c r="Q633" s="24" t="n">
        <v>46310.7144560185</v>
      </c>
      <c r="R633" s="22" t="s">
        <v>36</v>
      </c>
      <c r="S633" s="13" t="s">
        <v>107</v>
      </c>
      <c r="T633" s="13" t="str">
        <f aca="false">IF(S633="Oui",IF(R633=L633,"Identique","Changé"),"")</f>
        <v>Identique</v>
      </c>
    </row>
    <row r="634" customFormat="false" ht="23.85" hidden="false" customHeight="false" outlineLevel="0" collapsed="false">
      <c r="A634" s="13" t="s">
        <v>2294</v>
      </c>
      <c r="B634" s="13" t="s">
        <v>2286</v>
      </c>
      <c r="C634" s="13" t="n">
        <v>3</v>
      </c>
      <c r="D634" s="13" t="s">
        <v>97</v>
      </c>
      <c r="E634" s="13" t="s">
        <v>570</v>
      </c>
      <c r="F634" s="13" t="s">
        <v>256</v>
      </c>
      <c r="G634" s="13" t="s">
        <v>571</v>
      </c>
      <c r="H634" s="13" t="s">
        <v>152</v>
      </c>
      <c r="I634" s="21" t="s">
        <v>2295</v>
      </c>
      <c r="J634" s="21" t="s">
        <v>154</v>
      </c>
      <c r="K634" s="21" t="s">
        <v>2296</v>
      </c>
      <c r="L634" s="22" t="s">
        <v>40</v>
      </c>
      <c r="M634" s="21" t="s">
        <v>156</v>
      </c>
      <c r="N634" s="13" t="s">
        <v>106</v>
      </c>
      <c r="O634" s="23" t="n">
        <v>9.93</v>
      </c>
      <c r="P634" s="13" t="n">
        <v>1</v>
      </c>
      <c r="Q634" s="24" t="n">
        <v>46310.7146875</v>
      </c>
      <c r="R634" s="22" t="s">
        <v>40</v>
      </c>
      <c r="S634" s="13" t="s">
        <v>107</v>
      </c>
      <c r="T634" s="13" t="str">
        <f aca="false">IF(S634="Oui",IF(R634=L634,"Identique","Changé"),"")</f>
        <v>Identique</v>
      </c>
    </row>
    <row r="635" customFormat="false" ht="35.05" hidden="false" customHeight="false" outlineLevel="0" collapsed="false">
      <c r="A635" s="13" t="s">
        <v>2297</v>
      </c>
      <c r="B635" s="13" t="s">
        <v>2286</v>
      </c>
      <c r="C635" s="13" t="n">
        <v>4</v>
      </c>
      <c r="D635" s="13" t="s">
        <v>97</v>
      </c>
      <c r="E635" s="13" t="s">
        <v>122</v>
      </c>
      <c r="F635" s="13" t="s">
        <v>256</v>
      </c>
      <c r="G635" s="13" t="s">
        <v>2166</v>
      </c>
      <c r="H635" s="13" t="s">
        <v>101</v>
      </c>
      <c r="I635" s="21" t="s">
        <v>2298</v>
      </c>
      <c r="J635" s="21" t="s">
        <v>284</v>
      </c>
      <c r="K635" s="21" t="s">
        <v>2299</v>
      </c>
      <c r="L635" s="22" t="s">
        <v>36</v>
      </c>
      <c r="M635" s="21" t="s">
        <v>120</v>
      </c>
      <c r="N635" s="13" t="s">
        <v>106</v>
      </c>
      <c r="O635" s="23" t="n">
        <v>12.77</v>
      </c>
      <c r="P635" s="13" t="n">
        <v>1</v>
      </c>
      <c r="Q635" s="24" t="n">
        <v>46310.7149537037</v>
      </c>
      <c r="R635" s="22" t="s">
        <v>36</v>
      </c>
      <c r="S635" s="13" t="s">
        <v>107</v>
      </c>
      <c r="T635" s="13" t="str">
        <f aca="false">IF(S635="Oui",IF(R635=L635,"Identique","Changé"),"")</f>
        <v>Identique</v>
      </c>
    </row>
    <row r="636" customFormat="false" ht="57.45" hidden="false" customHeight="false" outlineLevel="0" collapsed="false">
      <c r="A636" s="13" t="s">
        <v>2300</v>
      </c>
      <c r="B636" s="13" t="s">
        <v>2286</v>
      </c>
      <c r="C636" s="13" t="n">
        <v>5</v>
      </c>
      <c r="D636" s="13" t="s">
        <v>97</v>
      </c>
      <c r="E636" s="13" t="s">
        <v>171</v>
      </c>
      <c r="F636" s="13" t="s">
        <v>1925</v>
      </c>
      <c r="G636" s="13" t="s">
        <v>2263</v>
      </c>
      <c r="H636" s="13" t="s">
        <v>101</v>
      </c>
      <c r="I636" s="21" t="s">
        <v>2301</v>
      </c>
      <c r="J636" s="21" t="s">
        <v>2302</v>
      </c>
      <c r="K636" s="21" t="s">
        <v>2303</v>
      </c>
      <c r="L636" s="22" t="s">
        <v>36</v>
      </c>
      <c r="M636" s="21" t="s">
        <v>120</v>
      </c>
      <c r="N636" s="13" t="s">
        <v>106</v>
      </c>
      <c r="O636" s="23" t="n">
        <v>17.57</v>
      </c>
      <c r="P636" s="13" t="n">
        <v>1</v>
      </c>
      <c r="Q636" s="24" t="n">
        <v>46310.7152777778</v>
      </c>
      <c r="R636" s="22" t="s">
        <v>38</v>
      </c>
      <c r="S636" s="13" t="s">
        <v>107</v>
      </c>
      <c r="T636" s="13" t="str">
        <f aca="false">IF(S636="Oui",IF(R636=L636,"Identique","Changé"),"")</f>
        <v>Changé</v>
      </c>
    </row>
    <row r="637" customFormat="false" ht="57.45" hidden="false" customHeight="false" outlineLevel="0" collapsed="false">
      <c r="A637" s="13" t="s">
        <v>2304</v>
      </c>
      <c r="B637" s="13" t="s">
        <v>2305</v>
      </c>
      <c r="C637" s="13" t="n">
        <v>1</v>
      </c>
      <c r="D637" s="13" t="s">
        <v>135</v>
      </c>
      <c r="E637" s="13" t="s">
        <v>171</v>
      </c>
      <c r="F637" s="13" t="s">
        <v>2306</v>
      </c>
      <c r="G637" s="13" t="s">
        <v>2258</v>
      </c>
      <c r="H637" s="13" t="s">
        <v>101</v>
      </c>
      <c r="I637" s="21" t="s">
        <v>2307</v>
      </c>
      <c r="J637" s="21" t="s">
        <v>2260</v>
      </c>
      <c r="K637" s="21" t="s">
        <v>2308</v>
      </c>
      <c r="L637" s="22" t="s">
        <v>36</v>
      </c>
      <c r="M637" s="21" t="s">
        <v>120</v>
      </c>
      <c r="N637" s="13" t="s">
        <v>106</v>
      </c>
      <c r="O637" s="23" t="n">
        <v>51.81</v>
      </c>
      <c r="P637" s="13" t="n">
        <v>1</v>
      </c>
      <c r="Q637" s="24" t="n">
        <v>46310.7160416667</v>
      </c>
      <c r="R637" s="22" t="s">
        <v>38</v>
      </c>
      <c r="S637" s="13" t="s">
        <v>107</v>
      </c>
      <c r="T637" s="13" t="str">
        <f aca="false">IF(S637="Oui",IF(R637=L637,"Identique","Changé"),"")</f>
        <v>Changé</v>
      </c>
    </row>
    <row r="638" customFormat="false" ht="35.05" hidden="false" customHeight="false" outlineLevel="0" collapsed="false">
      <c r="A638" s="13" t="s">
        <v>2309</v>
      </c>
      <c r="B638" s="13" t="s">
        <v>2305</v>
      </c>
      <c r="C638" s="13" t="n">
        <v>2</v>
      </c>
      <c r="D638" s="13" t="s">
        <v>135</v>
      </c>
      <c r="E638" s="13" t="s">
        <v>114</v>
      </c>
      <c r="F638" s="13" t="s">
        <v>2306</v>
      </c>
      <c r="G638" s="13" t="s">
        <v>1305</v>
      </c>
      <c r="H638" s="13" t="s">
        <v>101</v>
      </c>
      <c r="I638" s="21" t="s">
        <v>2310</v>
      </c>
      <c r="J638" s="21" t="s">
        <v>512</v>
      </c>
      <c r="K638" s="21" t="s">
        <v>2311</v>
      </c>
      <c r="L638" s="22" t="s">
        <v>36</v>
      </c>
      <c r="M638" s="21" t="s">
        <v>120</v>
      </c>
      <c r="N638" s="13" t="s">
        <v>106</v>
      </c>
      <c r="O638" s="23" t="n">
        <v>10.55</v>
      </c>
      <c r="P638" s="13" t="n">
        <v>1</v>
      </c>
      <c r="Q638" s="24" t="n">
        <v>46310.7162962963</v>
      </c>
      <c r="R638" s="22" t="s">
        <v>36</v>
      </c>
      <c r="S638" s="13" t="s">
        <v>107</v>
      </c>
      <c r="T638" s="13" t="str">
        <f aca="false">IF(S638="Oui",IF(R638=L638,"Identique","Changé"),"")</f>
        <v>Identique</v>
      </c>
    </row>
    <row r="639" customFormat="false" ht="35.05" hidden="false" customHeight="false" outlineLevel="0" collapsed="false">
      <c r="A639" s="13" t="s">
        <v>2312</v>
      </c>
      <c r="B639" s="13" t="s">
        <v>2305</v>
      </c>
      <c r="C639" s="13" t="n">
        <v>3</v>
      </c>
      <c r="D639" s="13" t="s">
        <v>135</v>
      </c>
      <c r="E639" s="13" t="s">
        <v>171</v>
      </c>
      <c r="F639" s="13" t="s">
        <v>2306</v>
      </c>
      <c r="G639" s="13" t="s">
        <v>908</v>
      </c>
      <c r="H639" s="13" t="s">
        <v>101</v>
      </c>
      <c r="I639" s="21" t="s">
        <v>2313</v>
      </c>
      <c r="J639" s="21" t="s">
        <v>1386</v>
      </c>
      <c r="K639" s="21" t="s">
        <v>2314</v>
      </c>
      <c r="L639" s="22" t="s">
        <v>36</v>
      </c>
      <c r="M639" s="21" t="s">
        <v>120</v>
      </c>
      <c r="N639" s="13" t="s">
        <v>106</v>
      </c>
      <c r="O639" s="23" t="n">
        <v>9.81</v>
      </c>
      <c r="P639" s="13" t="n">
        <v>1</v>
      </c>
      <c r="Q639" s="24" t="n">
        <v>46310.7165277778</v>
      </c>
      <c r="R639" s="22" t="s">
        <v>36</v>
      </c>
      <c r="S639" s="13" t="s">
        <v>107</v>
      </c>
      <c r="T639" s="13" t="str">
        <f aca="false">IF(S639="Oui",IF(R639=L639,"Identique","Changé"),"")</f>
        <v>Identique</v>
      </c>
    </row>
    <row r="640" customFormat="false" ht="57.45" hidden="false" customHeight="false" outlineLevel="0" collapsed="false">
      <c r="A640" s="13" t="s">
        <v>2315</v>
      </c>
      <c r="B640" s="13" t="s">
        <v>2305</v>
      </c>
      <c r="C640" s="13" t="n">
        <v>4</v>
      </c>
      <c r="D640" s="13" t="s">
        <v>135</v>
      </c>
      <c r="E640" s="13" t="s">
        <v>114</v>
      </c>
      <c r="F640" s="13" t="s">
        <v>2306</v>
      </c>
      <c r="G640" s="13" t="s">
        <v>2250</v>
      </c>
      <c r="H640" s="13" t="s">
        <v>101</v>
      </c>
      <c r="I640" s="21" t="s">
        <v>2316</v>
      </c>
      <c r="J640" s="21" t="s">
        <v>2317</v>
      </c>
      <c r="K640" s="21" t="s">
        <v>2318</v>
      </c>
      <c r="L640" s="22" t="s">
        <v>36</v>
      </c>
      <c r="M640" s="21" t="s">
        <v>120</v>
      </c>
      <c r="N640" s="13" t="s">
        <v>106</v>
      </c>
      <c r="O640" s="23" t="n">
        <v>17.81</v>
      </c>
      <c r="P640" s="13" t="n">
        <v>1</v>
      </c>
      <c r="Q640" s="24" t="n">
        <v>46310.7168518519</v>
      </c>
      <c r="R640" s="22" t="s">
        <v>36</v>
      </c>
      <c r="S640" s="13" t="s">
        <v>107</v>
      </c>
      <c r="T640" s="13" t="str">
        <f aca="false">IF(S640="Oui",IF(R640=L640,"Identique","Changé"),"")</f>
        <v>Identique</v>
      </c>
    </row>
    <row r="641" customFormat="false" ht="57.45" hidden="false" customHeight="false" outlineLevel="0" collapsed="false">
      <c r="A641" s="13" t="s">
        <v>2319</v>
      </c>
      <c r="B641" s="13" t="s">
        <v>2305</v>
      </c>
      <c r="C641" s="13" t="n">
        <v>5</v>
      </c>
      <c r="D641" s="13" t="s">
        <v>135</v>
      </c>
      <c r="E641" s="13" t="s">
        <v>114</v>
      </c>
      <c r="F641" s="13" t="s">
        <v>2306</v>
      </c>
      <c r="G641" s="13" t="s">
        <v>141</v>
      </c>
      <c r="H641" s="13" t="s">
        <v>101</v>
      </c>
      <c r="I641" s="21" t="s">
        <v>2320</v>
      </c>
      <c r="J641" s="21" t="s">
        <v>143</v>
      </c>
      <c r="K641" s="21" t="s">
        <v>2321</v>
      </c>
      <c r="L641" s="22" t="s">
        <v>36</v>
      </c>
      <c r="M641" s="21" t="s">
        <v>120</v>
      </c>
      <c r="N641" s="13" t="s">
        <v>106</v>
      </c>
      <c r="O641" s="23" t="n">
        <v>14.76</v>
      </c>
      <c r="P641" s="13" t="n">
        <v>1</v>
      </c>
      <c r="Q641" s="24" t="n">
        <v>46310.7171412037</v>
      </c>
      <c r="R641" s="22" t="s">
        <v>36</v>
      </c>
      <c r="S641" s="13" t="s">
        <v>107</v>
      </c>
      <c r="T641" s="13" t="str">
        <f aca="false">IF(S641="Oui",IF(R641=L641,"Identique","Changé"),"")</f>
        <v>Identique</v>
      </c>
    </row>
    <row r="642" customFormat="false" ht="68.65" hidden="false" customHeight="false" outlineLevel="0" collapsed="false">
      <c r="A642" s="13" t="s">
        <v>2322</v>
      </c>
      <c r="B642" s="13" t="s">
        <v>2323</v>
      </c>
      <c r="C642" s="13" t="n">
        <v>1</v>
      </c>
      <c r="D642" s="13" t="s">
        <v>97</v>
      </c>
      <c r="E642" s="13" t="s">
        <v>128</v>
      </c>
      <c r="F642" s="13" t="s">
        <v>1448</v>
      </c>
      <c r="G642" s="13" t="s">
        <v>209</v>
      </c>
      <c r="H642" s="13" t="s">
        <v>101</v>
      </c>
      <c r="I642" s="21" t="s">
        <v>2324</v>
      </c>
      <c r="J642" s="21" t="s">
        <v>447</v>
      </c>
      <c r="K642" s="21" t="s">
        <v>2325</v>
      </c>
      <c r="L642" s="22" t="s">
        <v>36</v>
      </c>
      <c r="M642" s="21" t="s">
        <v>120</v>
      </c>
      <c r="N642" s="13" t="s">
        <v>106</v>
      </c>
      <c r="O642" s="23" t="n">
        <v>42.81</v>
      </c>
      <c r="P642" s="13" t="n">
        <v>1</v>
      </c>
      <c r="Q642" s="24" t="n">
        <v>46310.7178356482</v>
      </c>
      <c r="R642" s="22" t="s">
        <v>36</v>
      </c>
      <c r="S642" s="13" t="s">
        <v>107</v>
      </c>
      <c r="T642" s="13" t="str">
        <f aca="false">IF(S642="Oui",IF(R642=L642,"Identique","Changé"),"")</f>
        <v>Identique</v>
      </c>
    </row>
    <row r="643" customFormat="false" ht="46.25" hidden="false" customHeight="false" outlineLevel="0" collapsed="false">
      <c r="A643" s="13" t="s">
        <v>2326</v>
      </c>
      <c r="B643" s="13" t="s">
        <v>2323</v>
      </c>
      <c r="C643" s="13" t="n">
        <v>2</v>
      </c>
      <c r="D643" s="13" t="s">
        <v>97</v>
      </c>
      <c r="E643" s="13" t="s">
        <v>114</v>
      </c>
      <c r="F643" s="13" t="s">
        <v>1448</v>
      </c>
      <c r="G643" s="13" t="s">
        <v>141</v>
      </c>
      <c r="H643" s="13" t="s">
        <v>101</v>
      </c>
      <c r="I643" s="21" t="s">
        <v>2327</v>
      </c>
      <c r="J643" s="21" t="s">
        <v>143</v>
      </c>
      <c r="K643" s="21" t="s">
        <v>2328</v>
      </c>
      <c r="L643" s="22" t="s">
        <v>36</v>
      </c>
      <c r="M643" s="21" t="s">
        <v>120</v>
      </c>
      <c r="N643" s="13" t="s">
        <v>106</v>
      </c>
      <c r="O643" s="23" t="n">
        <v>12.63</v>
      </c>
      <c r="P643" s="13" t="n">
        <v>1</v>
      </c>
      <c r="Q643" s="24" t="n">
        <v>46310.7181018519</v>
      </c>
      <c r="R643" s="22" t="s">
        <v>36</v>
      </c>
      <c r="S643" s="13" t="s">
        <v>107</v>
      </c>
      <c r="T643" s="13" t="str">
        <f aca="false">IF(S643="Oui",IF(R643=L643,"Identique","Changé"),"")</f>
        <v>Identique</v>
      </c>
    </row>
    <row r="644" customFormat="false" ht="79.85" hidden="false" customHeight="false" outlineLevel="0" collapsed="false">
      <c r="A644" s="13" t="s">
        <v>2329</v>
      </c>
      <c r="B644" s="13" t="s">
        <v>2323</v>
      </c>
      <c r="C644" s="13" t="n">
        <v>3</v>
      </c>
      <c r="D644" s="13" t="s">
        <v>97</v>
      </c>
      <c r="E644" s="13" t="s">
        <v>114</v>
      </c>
      <c r="F644" s="13" t="s">
        <v>816</v>
      </c>
      <c r="G644" s="13" t="s">
        <v>857</v>
      </c>
      <c r="H644" s="13" t="s">
        <v>101</v>
      </c>
      <c r="I644" s="21" t="s">
        <v>2330</v>
      </c>
      <c r="J644" s="21" t="s">
        <v>284</v>
      </c>
      <c r="K644" s="21" t="s">
        <v>2331</v>
      </c>
      <c r="L644" s="22" t="s">
        <v>37</v>
      </c>
      <c r="M644" s="21" t="s">
        <v>163</v>
      </c>
      <c r="N644" s="13" t="s">
        <v>106</v>
      </c>
      <c r="O644" s="23" t="n">
        <v>25.83</v>
      </c>
      <c r="P644" s="13" t="n">
        <v>1</v>
      </c>
      <c r="Q644" s="24" t="n">
        <v>46310.7185185185</v>
      </c>
      <c r="R644" s="22" t="s">
        <v>36</v>
      </c>
      <c r="S644" s="13" t="s">
        <v>107</v>
      </c>
      <c r="T644" s="13" t="str">
        <f aca="false">IF(S644="Oui",IF(R644=L644,"Identique","Changé"),"")</f>
        <v>Changé</v>
      </c>
    </row>
    <row r="645" customFormat="false" ht="57.45" hidden="false" customHeight="false" outlineLevel="0" collapsed="false">
      <c r="A645" s="13" t="s">
        <v>2332</v>
      </c>
      <c r="B645" s="13" t="s">
        <v>2323</v>
      </c>
      <c r="C645" s="13" t="n">
        <v>4</v>
      </c>
      <c r="D645" s="13" t="s">
        <v>97</v>
      </c>
      <c r="E645" s="13" t="s">
        <v>570</v>
      </c>
      <c r="F645" s="13" t="s">
        <v>816</v>
      </c>
      <c r="G645" s="13" t="s">
        <v>639</v>
      </c>
      <c r="H645" s="13" t="s">
        <v>152</v>
      </c>
      <c r="I645" s="21" t="s">
        <v>2333</v>
      </c>
      <c r="J645" s="21" t="s">
        <v>154</v>
      </c>
      <c r="K645" s="21" t="s">
        <v>2334</v>
      </c>
      <c r="L645" s="22" t="s">
        <v>40</v>
      </c>
      <c r="M645" s="21" t="s">
        <v>156</v>
      </c>
      <c r="N645" s="13" t="s">
        <v>106</v>
      </c>
      <c r="O645" s="23" t="n">
        <v>18.12</v>
      </c>
      <c r="P645" s="13" t="n">
        <v>1</v>
      </c>
      <c r="Q645" s="24" t="n">
        <v>46310.7188541667</v>
      </c>
      <c r="R645" s="22" t="s">
        <v>40</v>
      </c>
      <c r="S645" s="13" t="s">
        <v>107</v>
      </c>
      <c r="T645" s="13" t="str">
        <f aca="false">IF(S645="Oui",IF(R645=L645,"Identique","Changé"),"")</f>
        <v>Identique</v>
      </c>
    </row>
    <row r="646" customFormat="false" ht="35.05" hidden="false" customHeight="false" outlineLevel="0" collapsed="false">
      <c r="A646" s="13" t="s">
        <v>2335</v>
      </c>
      <c r="B646" s="13" t="s">
        <v>2323</v>
      </c>
      <c r="C646" s="13" t="n">
        <v>5</v>
      </c>
      <c r="D646" s="13" t="s">
        <v>97</v>
      </c>
      <c r="E646" s="13" t="s">
        <v>401</v>
      </c>
      <c r="F646" s="13" t="s">
        <v>1448</v>
      </c>
      <c r="G646" s="13" t="s">
        <v>402</v>
      </c>
      <c r="H646" s="13" t="s">
        <v>101</v>
      </c>
      <c r="I646" s="21" t="s">
        <v>2336</v>
      </c>
      <c r="J646" s="21" t="s">
        <v>2337</v>
      </c>
      <c r="K646" s="21" t="s">
        <v>2338</v>
      </c>
      <c r="L646" s="22" t="s">
        <v>36</v>
      </c>
      <c r="M646" s="21" t="s">
        <v>406</v>
      </c>
      <c r="N646" s="13" t="s">
        <v>106</v>
      </c>
      <c r="O646" s="23" t="n">
        <v>11.54</v>
      </c>
      <c r="P646" s="13" t="n">
        <v>1</v>
      </c>
      <c r="Q646" s="24" t="n">
        <v>46310.7191087963</v>
      </c>
      <c r="R646" s="22" t="s">
        <v>36</v>
      </c>
      <c r="S646" s="13" t="s">
        <v>107</v>
      </c>
      <c r="T646" s="13" t="str">
        <f aca="false">IF(S646="Oui",IF(R646=L646,"Identique","Changé"),"")</f>
        <v>Identique</v>
      </c>
    </row>
    <row r="647" customFormat="false" ht="46.25" hidden="false" customHeight="false" outlineLevel="0" collapsed="false">
      <c r="A647" s="13" t="s">
        <v>2339</v>
      </c>
      <c r="B647" s="13" t="s">
        <v>2340</v>
      </c>
      <c r="C647" s="13" t="n">
        <v>1</v>
      </c>
      <c r="D647" s="13" t="s">
        <v>135</v>
      </c>
      <c r="E647" s="13" t="s">
        <v>171</v>
      </c>
      <c r="F647" s="13" t="s">
        <v>2341</v>
      </c>
      <c r="G647" s="13" t="s">
        <v>908</v>
      </c>
      <c r="H647" s="13" t="s">
        <v>101</v>
      </c>
      <c r="I647" s="21" t="s">
        <v>2342</v>
      </c>
      <c r="J647" s="21" t="s">
        <v>910</v>
      </c>
      <c r="K647" s="21" t="s">
        <v>2343</v>
      </c>
      <c r="L647" s="22" t="s">
        <v>36</v>
      </c>
      <c r="M647" s="21" t="s">
        <v>120</v>
      </c>
      <c r="N647" s="13" t="s">
        <v>106</v>
      </c>
      <c r="O647" s="23" t="n">
        <v>35.27</v>
      </c>
      <c r="P647" s="13" t="n">
        <v>1</v>
      </c>
      <c r="Q647" s="24" t="n">
        <v>46310.7197569445</v>
      </c>
      <c r="R647" s="22" t="s">
        <v>36</v>
      </c>
      <c r="S647" s="13" t="s">
        <v>107</v>
      </c>
      <c r="T647" s="13" t="str">
        <f aca="false">IF(S647="Oui",IF(R647=L647,"Identique","Changé"),"")</f>
        <v>Identique</v>
      </c>
    </row>
    <row r="648" customFormat="false" ht="35.05" hidden="false" customHeight="false" outlineLevel="0" collapsed="false">
      <c r="A648" s="13" t="s">
        <v>2344</v>
      </c>
      <c r="B648" s="13" t="s">
        <v>2340</v>
      </c>
      <c r="C648" s="13" t="n">
        <v>2</v>
      </c>
      <c r="D648" s="13" t="s">
        <v>135</v>
      </c>
      <c r="E648" s="13" t="s">
        <v>185</v>
      </c>
      <c r="F648" s="13" t="s">
        <v>2341</v>
      </c>
      <c r="G648" s="13" t="s">
        <v>186</v>
      </c>
      <c r="H648" s="13" t="s">
        <v>101</v>
      </c>
      <c r="I648" s="21" t="s">
        <v>2345</v>
      </c>
      <c r="J648" s="21" t="s">
        <v>188</v>
      </c>
      <c r="K648" s="21" t="s">
        <v>2346</v>
      </c>
      <c r="L648" s="22" t="s">
        <v>36</v>
      </c>
      <c r="M648" s="21" t="s">
        <v>120</v>
      </c>
      <c r="N648" s="13" t="s">
        <v>106</v>
      </c>
      <c r="O648" s="23" t="n">
        <v>19.31</v>
      </c>
      <c r="P648" s="13" t="n">
        <v>1</v>
      </c>
      <c r="Q648" s="24" t="n">
        <v>46310.7201041667</v>
      </c>
      <c r="R648" s="22" t="s">
        <v>36</v>
      </c>
      <c r="S648" s="13" t="s">
        <v>107</v>
      </c>
      <c r="T648" s="13" t="str">
        <f aca="false">IF(S648="Oui",IF(R648=L648,"Identique","Changé"),"")</f>
        <v>Identique</v>
      </c>
    </row>
    <row r="649" customFormat="false" ht="35.05" hidden="false" customHeight="false" outlineLevel="0" collapsed="false">
      <c r="A649" s="13" t="s">
        <v>2347</v>
      </c>
      <c r="B649" s="13" t="s">
        <v>2340</v>
      </c>
      <c r="C649" s="13" t="n">
        <v>3</v>
      </c>
      <c r="D649" s="13" t="s">
        <v>135</v>
      </c>
      <c r="E649" s="13" t="s">
        <v>401</v>
      </c>
      <c r="F649" s="13" t="s">
        <v>2348</v>
      </c>
      <c r="G649" s="13" t="s">
        <v>419</v>
      </c>
      <c r="H649" s="13" t="s">
        <v>101</v>
      </c>
      <c r="I649" s="21" t="s">
        <v>2349</v>
      </c>
      <c r="J649" s="21" t="s">
        <v>2350</v>
      </c>
      <c r="K649" s="21" t="s">
        <v>2351</v>
      </c>
      <c r="L649" s="22" t="s">
        <v>36</v>
      </c>
      <c r="M649" s="21" t="s">
        <v>406</v>
      </c>
      <c r="N649" s="13" t="s">
        <v>106</v>
      </c>
      <c r="O649" s="23" t="n">
        <v>17.37</v>
      </c>
      <c r="P649" s="13" t="n">
        <v>1</v>
      </c>
      <c r="Q649" s="24" t="n">
        <v>46310.7204398148</v>
      </c>
      <c r="R649" s="22" t="s">
        <v>36</v>
      </c>
      <c r="S649" s="13" t="s">
        <v>107</v>
      </c>
      <c r="T649" s="13" t="str">
        <f aca="false">IF(S649="Oui",IF(R649=L649,"Identique","Changé"),"")</f>
        <v>Identique</v>
      </c>
    </row>
    <row r="650" customFormat="false" ht="35.05" hidden="false" customHeight="false" outlineLevel="0" collapsed="false">
      <c r="A650" s="13" t="s">
        <v>2352</v>
      </c>
      <c r="B650" s="13" t="s">
        <v>2340</v>
      </c>
      <c r="C650" s="13" t="n">
        <v>4</v>
      </c>
      <c r="D650" s="13" t="s">
        <v>135</v>
      </c>
      <c r="E650" s="13" t="s">
        <v>114</v>
      </c>
      <c r="F650" s="13" t="s">
        <v>2348</v>
      </c>
      <c r="G650" s="13" t="s">
        <v>857</v>
      </c>
      <c r="H650" s="13" t="s">
        <v>101</v>
      </c>
      <c r="I650" s="21" t="s">
        <v>2353</v>
      </c>
      <c r="J650" s="21" t="s">
        <v>899</v>
      </c>
      <c r="K650" s="21" t="s">
        <v>2354</v>
      </c>
      <c r="L650" s="22" t="s">
        <v>36</v>
      </c>
      <c r="M650" s="21" t="s">
        <v>120</v>
      </c>
      <c r="N650" s="13" t="s">
        <v>106</v>
      </c>
      <c r="O650" s="23" t="n">
        <v>12.41</v>
      </c>
      <c r="P650" s="13" t="n">
        <v>1</v>
      </c>
      <c r="Q650" s="24" t="n">
        <v>46310.7207175926</v>
      </c>
      <c r="R650" s="22" t="s">
        <v>36</v>
      </c>
      <c r="S650" s="13" t="s">
        <v>107</v>
      </c>
      <c r="T650" s="13" t="str">
        <f aca="false">IF(S650="Oui",IF(R650=L650,"Identique","Changé"),"")</f>
        <v>Identique</v>
      </c>
    </row>
    <row r="651" customFormat="false" ht="46.25" hidden="false" customHeight="false" outlineLevel="0" collapsed="false">
      <c r="A651" s="13" t="s">
        <v>2355</v>
      </c>
      <c r="B651" s="13" t="s">
        <v>2340</v>
      </c>
      <c r="C651" s="13" t="n">
        <v>5</v>
      </c>
      <c r="D651" s="13" t="s">
        <v>135</v>
      </c>
      <c r="E651" s="13" t="s">
        <v>171</v>
      </c>
      <c r="F651" s="13" t="s">
        <v>2341</v>
      </c>
      <c r="G651" s="13" t="s">
        <v>464</v>
      </c>
      <c r="H651" s="13" t="s">
        <v>101</v>
      </c>
      <c r="I651" s="21" t="s">
        <v>2356</v>
      </c>
      <c r="J651" s="21" t="s">
        <v>1403</v>
      </c>
      <c r="K651" s="21" t="s">
        <v>2357</v>
      </c>
      <c r="L651" s="22" t="s">
        <v>36</v>
      </c>
      <c r="M651" s="21" t="s">
        <v>120</v>
      </c>
      <c r="N651" s="13" t="s">
        <v>106</v>
      </c>
      <c r="O651" s="23" t="n">
        <v>20</v>
      </c>
      <c r="P651" s="13" t="n">
        <v>1</v>
      </c>
      <c r="Q651" s="24" t="n">
        <v>46310.7210763889</v>
      </c>
      <c r="R651" s="22" t="s">
        <v>36</v>
      </c>
      <c r="S651" s="13" t="s">
        <v>107</v>
      </c>
      <c r="T651" s="13" t="str">
        <f aca="false">IF(S651="Oui",IF(R651=L651,"Identique","Changé"),"")</f>
        <v>Identique</v>
      </c>
    </row>
    <row r="652" customFormat="false" ht="35.05" hidden="false" customHeight="false" outlineLevel="0" collapsed="false">
      <c r="A652" s="13" t="s">
        <v>2358</v>
      </c>
      <c r="B652" s="13" t="s">
        <v>2359</v>
      </c>
      <c r="C652" s="13" t="n">
        <v>1</v>
      </c>
      <c r="D652" s="13" t="s">
        <v>97</v>
      </c>
      <c r="E652" s="13" t="s">
        <v>185</v>
      </c>
      <c r="F652" s="13" t="s">
        <v>1298</v>
      </c>
      <c r="G652" s="13" t="s">
        <v>186</v>
      </c>
      <c r="H652" s="13" t="s">
        <v>101</v>
      </c>
      <c r="I652" s="21" t="s">
        <v>2360</v>
      </c>
      <c r="J652" s="21" t="s">
        <v>1362</v>
      </c>
      <c r="K652" s="21" t="s">
        <v>2361</v>
      </c>
      <c r="L652" s="22" t="s">
        <v>36</v>
      </c>
      <c r="M652" s="21" t="s">
        <v>120</v>
      </c>
      <c r="N652" s="13" t="s">
        <v>106</v>
      </c>
      <c r="O652" s="23" t="n">
        <v>33.51</v>
      </c>
      <c r="P652" s="13" t="n">
        <v>3</v>
      </c>
      <c r="Q652" s="24" t="n">
        <v>46310.7284143519</v>
      </c>
      <c r="R652" s="22" t="s">
        <v>36</v>
      </c>
      <c r="S652" s="13" t="s">
        <v>107</v>
      </c>
      <c r="T652" s="13" t="str">
        <f aca="false">IF(S652="Oui",IF(R652=L652,"Identique","Changé"),"")</f>
        <v>Identique</v>
      </c>
    </row>
    <row r="653" customFormat="false" ht="35.05" hidden="false" customHeight="false" outlineLevel="0" collapsed="false">
      <c r="A653" s="13" t="s">
        <v>2362</v>
      </c>
      <c r="B653" s="13" t="s">
        <v>2359</v>
      </c>
      <c r="C653" s="13" t="n">
        <v>2</v>
      </c>
      <c r="D653" s="13" t="s">
        <v>97</v>
      </c>
      <c r="E653" s="13" t="s">
        <v>114</v>
      </c>
      <c r="F653" s="13" t="s">
        <v>1298</v>
      </c>
      <c r="G653" s="13" t="s">
        <v>146</v>
      </c>
      <c r="H653" s="13" t="s">
        <v>101</v>
      </c>
      <c r="I653" s="21" t="s">
        <v>2363</v>
      </c>
      <c r="J653" s="21" t="s">
        <v>148</v>
      </c>
      <c r="K653" s="21" t="s">
        <v>2364</v>
      </c>
      <c r="L653" s="22" t="s">
        <v>36</v>
      </c>
      <c r="M653" s="21" t="s">
        <v>120</v>
      </c>
      <c r="N653" s="13" t="s">
        <v>106</v>
      </c>
      <c r="O653" s="23" t="n">
        <v>9.15</v>
      </c>
      <c r="P653" s="13" t="n">
        <v>3</v>
      </c>
      <c r="Q653" s="24" t="n">
        <v>46310.7286458333</v>
      </c>
      <c r="R653" s="22" t="s">
        <v>36</v>
      </c>
      <c r="S653" s="13" t="s">
        <v>107</v>
      </c>
      <c r="T653" s="13" t="str">
        <f aca="false">IF(S653="Oui",IF(R653=L653,"Identique","Changé"),"")</f>
        <v>Identique</v>
      </c>
    </row>
    <row r="654" customFormat="false" ht="35.05" hidden="false" customHeight="false" outlineLevel="0" collapsed="false">
      <c r="A654" s="13" t="s">
        <v>2365</v>
      </c>
      <c r="B654" s="13" t="s">
        <v>2359</v>
      </c>
      <c r="C654" s="13" t="n">
        <v>3</v>
      </c>
      <c r="D654" s="13" t="s">
        <v>97</v>
      </c>
      <c r="E654" s="13" t="s">
        <v>401</v>
      </c>
      <c r="F654" s="13" t="s">
        <v>1298</v>
      </c>
      <c r="G654" s="13" t="s">
        <v>419</v>
      </c>
      <c r="H654" s="13" t="s">
        <v>101</v>
      </c>
      <c r="I654" s="21" t="s">
        <v>2366</v>
      </c>
      <c r="J654" s="21" t="s">
        <v>2367</v>
      </c>
      <c r="K654" s="21" t="s">
        <v>2368</v>
      </c>
      <c r="L654" s="22" t="s">
        <v>36</v>
      </c>
      <c r="M654" s="21" t="s">
        <v>406</v>
      </c>
      <c r="N654" s="13" t="s">
        <v>106</v>
      </c>
      <c r="O654" s="23" t="n">
        <v>11.78</v>
      </c>
      <c r="P654" s="13" t="n">
        <v>3</v>
      </c>
      <c r="Q654" s="24" t="n">
        <v>46310.728900463</v>
      </c>
      <c r="R654" s="22" t="s">
        <v>42</v>
      </c>
      <c r="S654" s="13" t="s">
        <v>107</v>
      </c>
      <c r="T654" s="13" t="str">
        <f aca="false">IF(S654="Oui",IF(R654=L654,"Identique","Changé"),"")</f>
        <v>Changé</v>
      </c>
    </row>
    <row r="655" customFormat="false" ht="35.05" hidden="false" customHeight="false" outlineLevel="0" collapsed="false">
      <c r="A655" s="13" t="s">
        <v>2369</v>
      </c>
      <c r="B655" s="13" t="s">
        <v>2359</v>
      </c>
      <c r="C655" s="13" t="n">
        <v>4</v>
      </c>
      <c r="D655" s="13" t="s">
        <v>97</v>
      </c>
      <c r="E655" s="13" t="s">
        <v>260</v>
      </c>
      <c r="F655" s="13" t="s">
        <v>1298</v>
      </c>
      <c r="G655" s="13" t="s">
        <v>261</v>
      </c>
      <c r="H655" s="13" t="s">
        <v>101</v>
      </c>
      <c r="I655" s="21" t="s">
        <v>2370</v>
      </c>
      <c r="J655" s="21" t="s">
        <v>263</v>
      </c>
      <c r="K655" s="21" t="s">
        <v>2371</v>
      </c>
      <c r="L655" s="22" t="s">
        <v>36</v>
      </c>
      <c r="M655" s="21" t="s">
        <v>120</v>
      </c>
      <c r="N655" s="13" t="s">
        <v>106</v>
      </c>
      <c r="O655" s="23" t="n">
        <v>18.4</v>
      </c>
      <c r="P655" s="13" t="n">
        <v>3</v>
      </c>
      <c r="Q655" s="24" t="n">
        <v>46310.7292361111</v>
      </c>
      <c r="R655" s="22"/>
      <c r="S655" s="13" t="s">
        <v>164</v>
      </c>
      <c r="T655" s="13" t="str">
        <f aca="false">IF(S655="Oui",IF(R655=L655,"Identique","Changé"),"")</f>
        <v/>
      </c>
    </row>
    <row r="656" customFormat="false" ht="46.25" hidden="false" customHeight="false" outlineLevel="0" collapsed="false">
      <c r="A656" s="13" t="s">
        <v>2372</v>
      </c>
      <c r="B656" s="13" t="s">
        <v>2359</v>
      </c>
      <c r="C656" s="13" t="n">
        <v>5</v>
      </c>
      <c r="D656" s="13" t="s">
        <v>97</v>
      </c>
      <c r="E656" s="13" t="s">
        <v>171</v>
      </c>
      <c r="F656" s="13" t="s">
        <v>1298</v>
      </c>
      <c r="G656" s="13" t="s">
        <v>464</v>
      </c>
      <c r="H656" s="13" t="s">
        <v>101</v>
      </c>
      <c r="I656" s="21" t="s">
        <v>2373</v>
      </c>
      <c r="J656" s="21" t="s">
        <v>496</v>
      </c>
      <c r="K656" s="21" t="s">
        <v>2374</v>
      </c>
      <c r="L656" s="22" t="s">
        <v>38</v>
      </c>
      <c r="M656" s="21" t="s">
        <v>2375</v>
      </c>
      <c r="N656" s="13" t="s">
        <v>106</v>
      </c>
      <c r="O656" s="23" t="n">
        <v>19.26</v>
      </c>
      <c r="P656" s="13" t="n">
        <v>3</v>
      </c>
      <c r="Q656" s="24" t="n">
        <v>46310.7295833333</v>
      </c>
      <c r="R656" s="22"/>
      <c r="S656" s="13" t="s">
        <v>164</v>
      </c>
      <c r="T656" s="13" t="str">
        <f aca="false">IF(S656="Oui",IF(R656=L656,"Identique","Changé"),"")</f>
        <v/>
      </c>
    </row>
    <row r="657" customFormat="false" ht="57.45" hidden="false" customHeight="false" outlineLevel="0" collapsed="false">
      <c r="A657" s="13" t="s">
        <v>2376</v>
      </c>
      <c r="B657" s="13" t="s">
        <v>2377</v>
      </c>
      <c r="C657" s="13" t="n">
        <v>1</v>
      </c>
      <c r="D657" s="13" t="s">
        <v>135</v>
      </c>
      <c r="E657" s="13" t="s">
        <v>98</v>
      </c>
      <c r="F657" s="13" t="s">
        <v>2378</v>
      </c>
      <c r="G657" s="13" t="s">
        <v>100</v>
      </c>
      <c r="H657" s="13" t="s">
        <v>101</v>
      </c>
      <c r="I657" s="21" t="s">
        <v>2379</v>
      </c>
      <c r="J657" s="21" t="s">
        <v>2380</v>
      </c>
      <c r="K657" s="21" t="s">
        <v>2381</v>
      </c>
      <c r="L657" s="22" t="s">
        <v>36</v>
      </c>
      <c r="M657" s="21" t="s">
        <v>105</v>
      </c>
      <c r="N657" s="13" t="s">
        <v>106</v>
      </c>
      <c r="O657" s="23" t="n">
        <v>42.07</v>
      </c>
      <c r="P657" s="13" t="n">
        <v>1</v>
      </c>
      <c r="Q657" s="24" t="n">
        <v>46310.7302546296</v>
      </c>
      <c r="R657" s="22" t="s">
        <v>36</v>
      </c>
      <c r="S657" s="13" t="s">
        <v>107</v>
      </c>
      <c r="T657" s="13" t="str">
        <f aca="false">IF(S657="Oui",IF(R657=L657,"Identique","Changé"),"")</f>
        <v>Identique</v>
      </c>
    </row>
    <row r="658" customFormat="false" ht="35.05" hidden="false" customHeight="false" outlineLevel="0" collapsed="false">
      <c r="A658" s="13" t="s">
        <v>2382</v>
      </c>
      <c r="B658" s="13" t="s">
        <v>2377</v>
      </c>
      <c r="C658" s="13" t="n">
        <v>2</v>
      </c>
      <c r="D658" s="13" t="s">
        <v>135</v>
      </c>
      <c r="E658" s="13" t="s">
        <v>98</v>
      </c>
      <c r="F658" s="13" t="s">
        <v>2378</v>
      </c>
      <c r="G658" s="13" t="s">
        <v>109</v>
      </c>
      <c r="H658" s="13" t="s">
        <v>101</v>
      </c>
      <c r="I658" s="21" t="s">
        <v>2383</v>
      </c>
      <c r="J658" s="21" t="s">
        <v>2384</v>
      </c>
      <c r="K658" s="21" t="s">
        <v>2385</v>
      </c>
      <c r="L658" s="22" t="s">
        <v>36</v>
      </c>
      <c r="M658" s="21" t="s">
        <v>105</v>
      </c>
      <c r="N658" s="13" t="s">
        <v>106</v>
      </c>
      <c r="O658" s="23" t="n">
        <v>18.89</v>
      </c>
      <c r="P658" s="13" t="n">
        <v>1</v>
      </c>
      <c r="Q658" s="24" t="n">
        <v>46310.7305902778</v>
      </c>
      <c r="R658" s="22" t="s">
        <v>36</v>
      </c>
      <c r="S658" s="13" t="s">
        <v>107</v>
      </c>
      <c r="T658" s="13" t="str">
        <f aca="false">IF(S658="Oui",IF(R658=L658,"Identique","Changé"),"")</f>
        <v>Identique</v>
      </c>
    </row>
    <row r="659" customFormat="false" ht="46.25" hidden="false" customHeight="false" outlineLevel="0" collapsed="false">
      <c r="A659" s="13" t="s">
        <v>2386</v>
      </c>
      <c r="B659" s="13" t="s">
        <v>2377</v>
      </c>
      <c r="C659" s="13" t="n">
        <v>3</v>
      </c>
      <c r="D659" s="13" t="s">
        <v>135</v>
      </c>
      <c r="E659" s="13" t="s">
        <v>570</v>
      </c>
      <c r="F659" s="13" t="s">
        <v>2387</v>
      </c>
      <c r="G659" s="13" t="s">
        <v>571</v>
      </c>
      <c r="H659" s="13" t="s">
        <v>152</v>
      </c>
      <c r="I659" s="21" t="s">
        <v>2388</v>
      </c>
      <c r="J659" s="21" t="s">
        <v>154</v>
      </c>
      <c r="K659" s="21" t="s">
        <v>2389</v>
      </c>
      <c r="L659" s="22" t="s">
        <v>40</v>
      </c>
      <c r="M659" s="21" t="s">
        <v>156</v>
      </c>
      <c r="N659" s="13" t="s">
        <v>106</v>
      </c>
      <c r="O659" s="23" t="n">
        <v>11.67</v>
      </c>
      <c r="P659" s="13" t="n">
        <v>1</v>
      </c>
      <c r="Q659" s="24" t="n">
        <v>46310.7308449074</v>
      </c>
      <c r="R659" s="22" t="s">
        <v>40</v>
      </c>
      <c r="S659" s="13" t="s">
        <v>107</v>
      </c>
      <c r="T659" s="13" t="str">
        <f aca="false">IF(S659="Oui",IF(R659=L659,"Identique","Changé"),"")</f>
        <v>Identique</v>
      </c>
    </row>
    <row r="660" customFormat="false" ht="35.05" hidden="false" customHeight="false" outlineLevel="0" collapsed="false">
      <c r="A660" s="13" t="s">
        <v>2390</v>
      </c>
      <c r="B660" s="13" t="s">
        <v>2377</v>
      </c>
      <c r="C660" s="13" t="n">
        <v>4</v>
      </c>
      <c r="D660" s="13" t="s">
        <v>135</v>
      </c>
      <c r="E660" s="13" t="s">
        <v>401</v>
      </c>
      <c r="F660" s="13" t="s">
        <v>2387</v>
      </c>
      <c r="G660" s="13" t="s">
        <v>402</v>
      </c>
      <c r="H660" s="13" t="s">
        <v>101</v>
      </c>
      <c r="I660" s="21" t="s">
        <v>2391</v>
      </c>
      <c r="J660" s="21" t="s">
        <v>2392</v>
      </c>
      <c r="K660" s="21" t="s">
        <v>2393</v>
      </c>
      <c r="L660" s="22" t="s">
        <v>38</v>
      </c>
      <c r="M660" s="21" t="s">
        <v>2394</v>
      </c>
      <c r="N660" s="13" t="s">
        <v>106</v>
      </c>
      <c r="O660" s="23" t="n">
        <v>10.38</v>
      </c>
      <c r="P660" s="13" t="n">
        <v>1</v>
      </c>
      <c r="Q660" s="24" t="n">
        <v>46310.731087963</v>
      </c>
      <c r="R660" s="22" t="s">
        <v>36</v>
      </c>
      <c r="S660" s="13" t="s">
        <v>107</v>
      </c>
      <c r="T660" s="13" t="str">
        <f aca="false">IF(S660="Oui",IF(R660=L660,"Identique","Changé"),"")</f>
        <v>Changé</v>
      </c>
    </row>
    <row r="661" customFormat="false" ht="35.05" hidden="false" customHeight="false" outlineLevel="0" collapsed="false">
      <c r="A661" s="13" t="s">
        <v>2395</v>
      </c>
      <c r="B661" s="13" t="s">
        <v>2377</v>
      </c>
      <c r="C661" s="13" t="n">
        <v>5</v>
      </c>
      <c r="D661" s="13" t="s">
        <v>135</v>
      </c>
      <c r="E661" s="13" t="s">
        <v>114</v>
      </c>
      <c r="F661" s="13" t="s">
        <v>2378</v>
      </c>
      <c r="G661" s="13" t="s">
        <v>1305</v>
      </c>
      <c r="H661" s="13" t="s">
        <v>101</v>
      </c>
      <c r="I661" s="21" t="s">
        <v>2396</v>
      </c>
      <c r="J661" s="21" t="s">
        <v>284</v>
      </c>
      <c r="K661" s="21" t="s">
        <v>2397</v>
      </c>
      <c r="L661" s="22" t="s">
        <v>36</v>
      </c>
      <c r="M661" s="21" t="s">
        <v>120</v>
      </c>
      <c r="N661" s="13" t="s">
        <v>106</v>
      </c>
      <c r="O661" s="23" t="n">
        <v>10.15</v>
      </c>
      <c r="P661" s="13" t="n">
        <v>1</v>
      </c>
      <c r="Q661" s="24" t="n">
        <v>46310.7313310185</v>
      </c>
      <c r="R661" s="22" t="s">
        <v>36</v>
      </c>
      <c r="S661" s="13" t="s">
        <v>107</v>
      </c>
      <c r="T661" s="13" t="str">
        <f aca="false">IF(S661="Oui",IF(R661=L661,"Identique","Changé"),"")</f>
        <v>Identique</v>
      </c>
    </row>
    <row r="662" customFormat="false" ht="35.05" hidden="false" customHeight="false" outlineLevel="0" collapsed="false">
      <c r="A662" s="13" t="s">
        <v>2398</v>
      </c>
      <c r="B662" s="13" t="s">
        <v>2399</v>
      </c>
      <c r="C662" s="13" t="n">
        <v>1</v>
      </c>
      <c r="D662" s="13" t="s">
        <v>97</v>
      </c>
      <c r="E662" s="13" t="s">
        <v>185</v>
      </c>
      <c r="F662" s="13" t="s">
        <v>1473</v>
      </c>
      <c r="G662" s="13" t="s">
        <v>2131</v>
      </c>
      <c r="H662" s="13" t="s">
        <v>101</v>
      </c>
      <c r="I662" s="21" t="s">
        <v>2400</v>
      </c>
      <c r="J662" s="21" t="s">
        <v>2401</v>
      </c>
      <c r="K662" s="21" t="s">
        <v>2402</v>
      </c>
      <c r="L662" s="22" t="s">
        <v>36</v>
      </c>
      <c r="M662" s="21" t="s">
        <v>2135</v>
      </c>
      <c r="N662" s="13" t="s">
        <v>106</v>
      </c>
      <c r="O662" s="23" t="n">
        <v>24.33</v>
      </c>
      <c r="P662" s="13" t="n">
        <v>1</v>
      </c>
      <c r="Q662" s="24" t="n">
        <v>46310.7318287037</v>
      </c>
      <c r="R662" s="22" t="s">
        <v>36</v>
      </c>
      <c r="S662" s="13" t="s">
        <v>107</v>
      </c>
      <c r="T662" s="13" t="str">
        <f aca="false">IF(S662="Oui",IF(R662=L662,"Identique","Changé"),"")</f>
        <v>Identique</v>
      </c>
    </row>
    <row r="663" customFormat="false" ht="46.25" hidden="false" customHeight="false" outlineLevel="0" collapsed="false">
      <c r="A663" s="13" t="s">
        <v>2403</v>
      </c>
      <c r="B663" s="13" t="s">
        <v>2399</v>
      </c>
      <c r="C663" s="13" t="n">
        <v>2</v>
      </c>
      <c r="D663" s="13" t="s">
        <v>97</v>
      </c>
      <c r="E663" s="13" t="s">
        <v>570</v>
      </c>
      <c r="F663" s="13" t="s">
        <v>1473</v>
      </c>
      <c r="G663" s="13" t="s">
        <v>2404</v>
      </c>
      <c r="H663" s="13" t="s">
        <v>101</v>
      </c>
      <c r="I663" s="21" t="s">
        <v>2405</v>
      </c>
      <c r="J663" s="21" t="s">
        <v>2406</v>
      </c>
      <c r="K663" s="21" t="s">
        <v>2407</v>
      </c>
      <c r="L663" s="22" t="s">
        <v>36</v>
      </c>
      <c r="M663" s="21" t="s">
        <v>235</v>
      </c>
      <c r="N663" s="13" t="s">
        <v>106</v>
      </c>
      <c r="O663" s="23" t="n">
        <v>11.5</v>
      </c>
      <c r="P663" s="13" t="n">
        <v>1</v>
      </c>
      <c r="Q663" s="24" t="n">
        <v>46310.7320833333</v>
      </c>
      <c r="R663" s="22" t="s">
        <v>36</v>
      </c>
      <c r="S663" s="13" t="s">
        <v>107</v>
      </c>
      <c r="T663" s="13" t="str">
        <f aca="false">IF(S663="Oui",IF(R663=L663,"Identique","Changé"),"")</f>
        <v>Identique</v>
      </c>
    </row>
    <row r="664" customFormat="false" ht="46.25" hidden="false" customHeight="false" outlineLevel="0" collapsed="false">
      <c r="A664" s="13" t="s">
        <v>2408</v>
      </c>
      <c r="B664" s="13" t="s">
        <v>2399</v>
      </c>
      <c r="C664" s="13" t="n">
        <v>3</v>
      </c>
      <c r="D664" s="13" t="s">
        <v>97</v>
      </c>
      <c r="E664" s="13" t="s">
        <v>128</v>
      </c>
      <c r="F664" s="13" t="s">
        <v>1473</v>
      </c>
      <c r="G664" s="13" t="s">
        <v>204</v>
      </c>
      <c r="H664" s="13" t="s">
        <v>101</v>
      </c>
      <c r="I664" s="21" t="s">
        <v>2409</v>
      </c>
      <c r="J664" s="21" t="s">
        <v>206</v>
      </c>
      <c r="K664" s="21" t="s">
        <v>2410</v>
      </c>
      <c r="L664" s="22" t="s">
        <v>36</v>
      </c>
      <c r="M664" s="21" t="s">
        <v>120</v>
      </c>
      <c r="N664" s="13" t="s">
        <v>106</v>
      </c>
      <c r="O664" s="23" t="n">
        <v>22.72</v>
      </c>
      <c r="P664" s="13" t="n">
        <v>1</v>
      </c>
      <c r="Q664" s="24" t="n">
        <v>46310.7324768519</v>
      </c>
      <c r="R664" s="22" t="s">
        <v>36</v>
      </c>
      <c r="S664" s="13" t="s">
        <v>107</v>
      </c>
      <c r="T664" s="13" t="str">
        <f aca="false">IF(S664="Oui",IF(R664=L664,"Identique","Changé"),"")</f>
        <v>Identique</v>
      </c>
    </row>
    <row r="665" customFormat="false" ht="35.05" hidden="false" customHeight="false" outlineLevel="0" collapsed="false">
      <c r="A665" s="13" t="s">
        <v>2411</v>
      </c>
      <c r="B665" s="13" t="s">
        <v>2399</v>
      </c>
      <c r="C665" s="13" t="n">
        <v>4</v>
      </c>
      <c r="D665" s="13" t="s">
        <v>97</v>
      </c>
      <c r="E665" s="13" t="s">
        <v>260</v>
      </c>
      <c r="F665" s="13" t="s">
        <v>1473</v>
      </c>
      <c r="G665" s="13" t="s">
        <v>261</v>
      </c>
      <c r="H665" s="13" t="s">
        <v>101</v>
      </c>
      <c r="I665" s="21" t="s">
        <v>2412</v>
      </c>
      <c r="J665" s="21" t="s">
        <v>263</v>
      </c>
      <c r="K665" s="21" t="s">
        <v>2413</v>
      </c>
      <c r="L665" s="22" t="s">
        <v>36</v>
      </c>
      <c r="M665" s="21" t="s">
        <v>120</v>
      </c>
      <c r="N665" s="13" t="s">
        <v>106</v>
      </c>
      <c r="O665" s="23" t="n">
        <v>12.06</v>
      </c>
      <c r="P665" s="13" t="n">
        <v>1</v>
      </c>
      <c r="Q665" s="24" t="n">
        <v>46310.7327314815</v>
      </c>
      <c r="R665" s="22" t="s">
        <v>36</v>
      </c>
      <c r="S665" s="13" t="s">
        <v>107</v>
      </c>
      <c r="T665" s="13" t="str">
        <f aca="false">IF(S665="Oui",IF(R665=L665,"Identique","Changé"),"")</f>
        <v>Identique</v>
      </c>
    </row>
    <row r="666" customFormat="false" ht="46.25" hidden="false" customHeight="false" outlineLevel="0" collapsed="false">
      <c r="A666" s="13" t="s">
        <v>2414</v>
      </c>
      <c r="B666" s="13" t="s">
        <v>2399</v>
      </c>
      <c r="C666" s="13" t="n">
        <v>5</v>
      </c>
      <c r="D666" s="13" t="s">
        <v>97</v>
      </c>
      <c r="E666" s="13" t="s">
        <v>570</v>
      </c>
      <c r="F666" s="13" t="s">
        <v>1473</v>
      </c>
      <c r="G666" s="13" t="s">
        <v>2415</v>
      </c>
      <c r="H666" s="13" t="s">
        <v>101</v>
      </c>
      <c r="I666" s="21" t="s">
        <v>2416</v>
      </c>
      <c r="J666" s="21" t="s">
        <v>2406</v>
      </c>
      <c r="K666" s="21" t="s">
        <v>2417</v>
      </c>
      <c r="L666" s="22" t="s">
        <v>36</v>
      </c>
      <c r="M666" s="21" t="s">
        <v>235</v>
      </c>
      <c r="N666" s="13" t="s">
        <v>106</v>
      </c>
      <c r="O666" s="23" t="n">
        <v>9.79</v>
      </c>
      <c r="P666" s="13" t="n">
        <v>1</v>
      </c>
      <c r="Q666" s="24" t="n">
        <v>46310.732974537</v>
      </c>
      <c r="R666" s="22" t="s">
        <v>36</v>
      </c>
      <c r="S666" s="13" t="s">
        <v>107</v>
      </c>
      <c r="T666" s="13" t="str">
        <f aca="false">IF(S666="Oui",IF(R666=L666,"Identique","Changé"),"")</f>
        <v>Identique</v>
      </c>
    </row>
    <row r="667" customFormat="false" ht="46.25" hidden="false" customHeight="false" outlineLevel="0" collapsed="false">
      <c r="A667" s="13" t="s">
        <v>2418</v>
      </c>
      <c r="B667" s="13" t="s">
        <v>2419</v>
      </c>
      <c r="C667" s="13" t="n">
        <v>1</v>
      </c>
      <c r="D667" s="13" t="s">
        <v>135</v>
      </c>
      <c r="E667" s="13" t="s">
        <v>128</v>
      </c>
      <c r="F667" s="13" t="s">
        <v>2420</v>
      </c>
      <c r="G667" s="13" t="s">
        <v>204</v>
      </c>
      <c r="H667" s="13" t="s">
        <v>101</v>
      </c>
      <c r="I667" s="21" t="s">
        <v>2421</v>
      </c>
      <c r="J667" s="21" t="s">
        <v>206</v>
      </c>
      <c r="K667" s="21" t="s">
        <v>2422</v>
      </c>
      <c r="L667" s="22" t="s">
        <v>36</v>
      </c>
      <c r="M667" s="21" t="s">
        <v>120</v>
      </c>
      <c r="N667" s="13" t="s">
        <v>106</v>
      </c>
      <c r="O667" s="23" t="n">
        <v>33.7</v>
      </c>
      <c r="P667" s="13" t="n">
        <v>1</v>
      </c>
      <c r="Q667" s="24" t="n">
        <v>46310.7335648148</v>
      </c>
      <c r="R667" s="22" t="s">
        <v>36</v>
      </c>
      <c r="S667" s="13" t="s">
        <v>107</v>
      </c>
      <c r="T667" s="13" t="str">
        <f aca="false">IF(S667="Oui",IF(R667=L667,"Identique","Changé"),"")</f>
        <v>Identique</v>
      </c>
    </row>
    <row r="668" customFormat="false" ht="35.05" hidden="false" customHeight="false" outlineLevel="0" collapsed="false">
      <c r="A668" s="13" t="s">
        <v>2423</v>
      </c>
      <c r="B668" s="13" t="s">
        <v>2419</v>
      </c>
      <c r="C668" s="13" t="n">
        <v>2</v>
      </c>
      <c r="D668" s="13" t="s">
        <v>135</v>
      </c>
      <c r="E668" s="13" t="s">
        <v>114</v>
      </c>
      <c r="F668" s="13" t="s">
        <v>2420</v>
      </c>
      <c r="G668" s="13" t="s">
        <v>146</v>
      </c>
      <c r="H668" s="13" t="s">
        <v>101</v>
      </c>
      <c r="I668" s="21" t="s">
        <v>2424</v>
      </c>
      <c r="J668" s="21" t="s">
        <v>148</v>
      </c>
      <c r="K668" s="21" t="s">
        <v>2425</v>
      </c>
      <c r="L668" s="22" t="s">
        <v>36</v>
      </c>
      <c r="M668" s="21" t="s">
        <v>120</v>
      </c>
      <c r="N668" s="13" t="s">
        <v>106</v>
      </c>
      <c r="O668" s="23" t="n">
        <v>11.3</v>
      </c>
      <c r="P668" s="13" t="n">
        <v>1</v>
      </c>
      <c r="Q668" s="24" t="n">
        <v>46310.7338194445</v>
      </c>
      <c r="R668" s="22" t="s">
        <v>36</v>
      </c>
      <c r="S668" s="13" t="s">
        <v>107</v>
      </c>
      <c r="T668" s="13" t="str">
        <f aca="false">IF(S668="Oui",IF(R668=L668,"Identique","Changé"),"")</f>
        <v>Identique</v>
      </c>
    </row>
    <row r="669" customFormat="false" ht="46.25" hidden="false" customHeight="false" outlineLevel="0" collapsed="false">
      <c r="A669" s="13" t="s">
        <v>2426</v>
      </c>
      <c r="B669" s="13" t="s">
        <v>2419</v>
      </c>
      <c r="C669" s="13" t="n">
        <v>3</v>
      </c>
      <c r="D669" s="13" t="s">
        <v>135</v>
      </c>
      <c r="E669" s="13" t="s">
        <v>98</v>
      </c>
      <c r="F669" s="13" t="s">
        <v>2427</v>
      </c>
      <c r="G669" s="13" t="s">
        <v>109</v>
      </c>
      <c r="H669" s="13" t="s">
        <v>101</v>
      </c>
      <c r="I669" s="21" t="s">
        <v>2428</v>
      </c>
      <c r="J669" s="21" t="s">
        <v>996</v>
      </c>
      <c r="K669" s="21" t="s">
        <v>2429</v>
      </c>
      <c r="L669" s="22" t="s">
        <v>36</v>
      </c>
      <c r="M669" s="21" t="s">
        <v>120</v>
      </c>
      <c r="N669" s="13" t="s">
        <v>106</v>
      </c>
      <c r="O669" s="23" t="n">
        <v>12.44</v>
      </c>
      <c r="P669" s="13" t="n">
        <v>1</v>
      </c>
      <c r="Q669" s="24" t="n">
        <v>46310.7340740741</v>
      </c>
      <c r="R669" s="22" t="s">
        <v>36</v>
      </c>
      <c r="S669" s="13" t="s">
        <v>107</v>
      </c>
      <c r="T669" s="13" t="str">
        <f aca="false">IF(S669="Oui",IF(R669=L669,"Identique","Changé"),"")</f>
        <v>Identique</v>
      </c>
    </row>
    <row r="670" customFormat="false" ht="46.25" hidden="false" customHeight="false" outlineLevel="0" collapsed="false">
      <c r="A670" s="13" t="s">
        <v>2430</v>
      </c>
      <c r="B670" s="13" t="s">
        <v>2419</v>
      </c>
      <c r="C670" s="13" t="n">
        <v>4</v>
      </c>
      <c r="D670" s="13" t="s">
        <v>135</v>
      </c>
      <c r="E670" s="13" t="s">
        <v>98</v>
      </c>
      <c r="F670" s="13" t="s">
        <v>2427</v>
      </c>
      <c r="G670" s="13" t="s">
        <v>181</v>
      </c>
      <c r="H670" s="13" t="s">
        <v>152</v>
      </c>
      <c r="I670" s="21" t="s">
        <v>2431</v>
      </c>
      <c r="J670" s="21" t="s">
        <v>154</v>
      </c>
      <c r="K670" s="21" t="s">
        <v>2432</v>
      </c>
      <c r="L670" s="22" t="s">
        <v>40</v>
      </c>
      <c r="M670" s="21" t="s">
        <v>156</v>
      </c>
      <c r="N670" s="13" t="s">
        <v>106</v>
      </c>
      <c r="O670" s="23" t="n">
        <v>9.21</v>
      </c>
      <c r="P670" s="13" t="n">
        <v>1</v>
      </c>
      <c r="Q670" s="24" t="n">
        <v>46310.7343055556</v>
      </c>
      <c r="R670" s="22" t="s">
        <v>40</v>
      </c>
      <c r="S670" s="13" t="s">
        <v>107</v>
      </c>
      <c r="T670" s="13" t="str">
        <f aca="false">IF(S670="Oui",IF(R670=L670,"Identique","Changé"),"")</f>
        <v>Identique</v>
      </c>
    </row>
    <row r="671" customFormat="false" ht="46.25" hidden="false" customHeight="false" outlineLevel="0" collapsed="false">
      <c r="A671" s="13" t="s">
        <v>2433</v>
      </c>
      <c r="B671" s="13" t="s">
        <v>2419</v>
      </c>
      <c r="C671" s="13" t="n">
        <v>5</v>
      </c>
      <c r="D671" s="13" t="s">
        <v>135</v>
      </c>
      <c r="E671" s="13" t="s">
        <v>128</v>
      </c>
      <c r="F671" s="13" t="s">
        <v>2420</v>
      </c>
      <c r="G671" s="13" t="s">
        <v>193</v>
      </c>
      <c r="H671" s="13" t="s">
        <v>101</v>
      </c>
      <c r="I671" s="21" t="s">
        <v>2434</v>
      </c>
      <c r="J671" s="21" t="s">
        <v>195</v>
      </c>
      <c r="K671" s="21" t="s">
        <v>2435</v>
      </c>
      <c r="L671" s="22" t="s">
        <v>36</v>
      </c>
      <c r="M671" s="21" t="s">
        <v>120</v>
      </c>
      <c r="N671" s="13" t="s">
        <v>106</v>
      </c>
      <c r="O671" s="23" t="n">
        <v>13.16</v>
      </c>
      <c r="P671" s="13" t="n">
        <v>1</v>
      </c>
      <c r="Q671" s="24" t="n">
        <v>46310.7345833333</v>
      </c>
      <c r="R671" s="22" t="s">
        <v>36</v>
      </c>
      <c r="S671" s="13" t="s">
        <v>107</v>
      </c>
      <c r="T671" s="13" t="str">
        <f aca="false">IF(S671="Oui",IF(R671=L671,"Identique","Changé"),"")</f>
        <v>Identique</v>
      </c>
    </row>
    <row r="672" customFormat="false" ht="46.25" hidden="false" customHeight="false" outlineLevel="0" collapsed="false">
      <c r="A672" s="13" t="s">
        <v>2436</v>
      </c>
      <c r="B672" s="13" t="s">
        <v>2437</v>
      </c>
      <c r="C672" s="13" t="n">
        <v>1</v>
      </c>
      <c r="D672" s="13" t="s">
        <v>97</v>
      </c>
      <c r="E672" s="13" t="s">
        <v>570</v>
      </c>
      <c r="F672" s="13" t="s">
        <v>332</v>
      </c>
      <c r="G672" s="13" t="s">
        <v>2438</v>
      </c>
      <c r="H672" s="13" t="s">
        <v>101</v>
      </c>
      <c r="I672" s="21" t="s">
        <v>2439</v>
      </c>
      <c r="J672" s="21" t="s">
        <v>2406</v>
      </c>
      <c r="K672" s="21" t="s">
        <v>2440</v>
      </c>
      <c r="L672" s="22" t="s">
        <v>36</v>
      </c>
      <c r="M672" s="21" t="s">
        <v>235</v>
      </c>
      <c r="N672" s="13" t="s">
        <v>106</v>
      </c>
      <c r="O672" s="23" t="n">
        <v>36.39</v>
      </c>
      <c r="P672" s="13" t="n">
        <v>1</v>
      </c>
      <c r="Q672" s="24" t="n">
        <v>46310.7351967593</v>
      </c>
      <c r="R672" s="22" t="s">
        <v>38</v>
      </c>
      <c r="S672" s="13" t="s">
        <v>107</v>
      </c>
      <c r="T672" s="13" t="str">
        <f aca="false">IF(S672="Oui",IF(R672=L672,"Identique","Changé"),"")</f>
        <v>Changé</v>
      </c>
    </row>
    <row r="673" customFormat="false" ht="46.25" hidden="false" customHeight="false" outlineLevel="0" collapsed="false">
      <c r="A673" s="13" t="s">
        <v>2441</v>
      </c>
      <c r="B673" s="13" t="s">
        <v>2437</v>
      </c>
      <c r="C673" s="13" t="n">
        <v>2</v>
      </c>
      <c r="D673" s="13" t="s">
        <v>97</v>
      </c>
      <c r="E673" s="13" t="s">
        <v>570</v>
      </c>
      <c r="F673" s="13" t="s">
        <v>332</v>
      </c>
      <c r="G673" s="13" t="s">
        <v>2442</v>
      </c>
      <c r="H673" s="13" t="s">
        <v>101</v>
      </c>
      <c r="I673" s="21" t="s">
        <v>2443</v>
      </c>
      <c r="J673" s="21" t="s">
        <v>2406</v>
      </c>
      <c r="K673" s="21" t="s">
        <v>2444</v>
      </c>
      <c r="L673" s="22" t="s">
        <v>36</v>
      </c>
      <c r="M673" s="21" t="s">
        <v>235</v>
      </c>
      <c r="N673" s="13" t="s">
        <v>106</v>
      </c>
      <c r="O673" s="23" t="n">
        <v>11.5</v>
      </c>
      <c r="P673" s="13" t="n">
        <v>1</v>
      </c>
      <c r="Q673" s="24" t="n">
        <v>46310.7354398148</v>
      </c>
      <c r="R673" s="22" t="s">
        <v>36</v>
      </c>
      <c r="S673" s="13" t="s">
        <v>107</v>
      </c>
      <c r="T673" s="13" t="str">
        <f aca="false">IF(S673="Oui",IF(R673=L673,"Identique","Changé"),"")</f>
        <v>Identique</v>
      </c>
    </row>
    <row r="674" customFormat="false" ht="46.25" hidden="false" customHeight="false" outlineLevel="0" collapsed="false">
      <c r="A674" s="13" t="s">
        <v>2445</v>
      </c>
      <c r="B674" s="13" t="s">
        <v>2437</v>
      </c>
      <c r="C674" s="13" t="n">
        <v>3</v>
      </c>
      <c r="D674" s="13" t="s">
        <v>97</v>
      </c>
      <c r="E674" s="13" t="s">
        <v>128</v>
      </c>
      <c r="F674" s="13" t="s">
        <v>115</v>
      </c>
      <c r="G674" s="13" t="s">
        <v>193</v>
      </c>
      <c r="H674" s="13" t="s">
        <v>101</v>
      </c>
      <c r="I674" s="21" t="s">
        <v>2446</v>
      </c>
      <c r="J674" s="21" t="s">
        <v>195</v>
      </c>
      <c r="K674" s="21" t="s">
        <v>2447</v>
      </c>
      <c r="L674" s="22" t="s">
        <v>36</v>
      </c>
      <c r="M674" s="21" t="s">
        <v>120</v>
      </c>
      <c r="N674" s="13" t="s">
        <v>106</v>
      </c>
      <c r="O674" s="23" t="n">
        <v>16.55</v>
      </c>
      <c r="P674" s="13" t="n">
        <v>1</v>
      </c>
      <c r="Q674" s="24" t="n">
        <v>46310.7357523148</v>
      </c>
      <c r="R674" s="22" t="s">
        <v>36</v>
      </c>
      <c r="S674" s="13" t="s">
        <v>107</v>
      </c>
      <c r="T674" s="13" t="str">
        <f aca="false">IF(S674="Oui",IF(R674=L674,"Identique","Changé"),"")</f>
        <v>Identique</v>
      </c>
    </row>
    <row r="675" customFormat="false" ht="46.25" hidden="false" customHeight="false" outlineLevel="0" collapsed="false">
      <c r="A675" s="13" t="s">
        <v>2448</v>
      </c>
      <c r="B675" s="13" t="s">
        <v>2437</v>
      </c>
      <c r="C675" s="13" t="n">
        <v>4</v>
      </c>
      <c r="D675" s="13" t="s">
        <v>97</v>
      </c>
      <c r="E675" s="13" t="s">
        <v>570</v>
      </c>
      <c r="F675" s="13" t="s">
        <v>115</v>
      </c>
      <c r="G675" s="13" t="s">
        <v>2415</v>
      </c>
      <c r="H675" s="13" t="s">
        <v>101</v>
      </c>
      <c r="I675" s="21" t="s">
        <v>2449</v>
      </c>
      <c r="J675" s="21" t="s">
        <v>2406</v>
      </c>
      <c r="K675" s="21" t="s">
        <v>2450</v>
      </c>
      <c r="L675" s="22" t="s">
        <v>36</v>
      </c>
      <c r="M675" s="21" t="s">
        <v>235</v>
      </c>
      <c r="N675" s="13" t="s">
        <v>106</v>
      </c>
      <c r="O675" s="23" t="n">
        <v>10.72</v>
      </c>
      <c r="P675" s="13" t="n">
        <v>1</v>
      </c>
      <c r="Q675" s="24" t="n">
        <v>46310.7359953704</v>
      </c>
      <c r="R675" s="22" t="s">
        <v>36</v>
      </c>
      <c r="S675" s="13" t="s">
        <v>107</v>
      </c>
      <c r="T675" s="13" t="str">
        <f aca="false">IF(S675="Oui",IF(R675=L675,"Identique","Changé"),"")</f>
        <v>Identique</v>
      </c>
    </row>
    <row r="676" customFormat="false" ht="35.05" hidden="false" customHeight="false" outlineLevel="0" collapsed="false">
      <c r="A676" s="13" t="s">
        <v>2451</v>
      </c>
      <c r="B676" s="13" t="s">
        <v>2437</v>
      </c>
      <c r="C676" s="13" t="n">
        <v>5</v>
      </c>
      <c r="D676" s="13" t="s">
        <v>97</v>
      </c>
      <c r="E676" s="13" t="s">
        <v>570</v>
      </c>
      <c r="F676" s="13" t="s">
        <v>332</v>
      </c>
      <c r="G676" s="13" t="s">
        <v>2404</v>
      </c>
      <c r="H676" s="13" t="s">
        <v>101</v>
      </c>
      <c r="I676" s="21" t="s">
        <v>2452</v>
      </c>
      <c r="J676" s="21" t="s">
        <v>2406</v>
      </c>
      <c r="K676" s="21" t="s">
        <v>2453</v>
      </c>
      <c r="L676" s="22" t="s">
        <v>36</v>
      </c>
      <c r="M676" s="21" t="s">
        <v>235</v>
      </c>
      <c r="N676" s="13" t="s">
        <v>106</v>
      </c>
      <c r="O676" s="23" t="n">
        <v>19.92</v>
      </c>
      <c r="P676" s="13" t="n">
        <v>1</v>
      </c>
      <c r="Q676" s="24" t="n">
        <v>46310.7363541667</v>
      </c>
      <c r="R676" s="22" t="s">
        <v>36</v>
      </c>
      <c r="S676" s="13" t="s">
        <v>107</v>
      </c>
      <c r="T676" s="13" t="str">
        <f aca="false">IF(S676="Oui",IF(R676=L676,"Identique","Changé"),"")</f>
        <v>Identique</v>
      </c>
    </row>
    <row r="677" customFormat="false" ht="46.25" hidden="false" customHeight="false" outlineLevel="0" collapsed="false">
      <c r="A677" s="13" t="s">
        <v>2454</v>
      </c>
      <c r="B677" s="13" t="s">
        <v>2455</v>
      </c>
      <c r="C677" s="13" t="n">
        <v>1</v>
      </c>
      <c r="D677" s="13" t="s">
        <v>135</v>
      </c>
      <c r="E677" s="13" t="s">
        <v>570</v>
      </c>
      <c r="F677" s="13" t="s">
        <v>2456</v>
      </c>
      <c r="G677" s="13" t="s">
        <v>2438</v>
      </c>
      <c r="H677" s="13" t="s">
        <v>101</v>
      </c>
      <c r="I677" s="21" t="s">
        <v>2457</v>
      </c>
      <c r="J677" s="21" t="s">
        <v>2458</v>
      </c>
      <c r="K677" s="21" t="s">
        <v>2459</v>
      </c>
      <c r="L677" s="22" t="s">
        <v>36</v>
      </c>
      <c r="M677" s="21" t="s">
        <v>235</v>
      </c>
      <c r="N677" s="13" t="s">
        <v>106</v>
      </c>
      <c r="O677" s="23" t="n">
        <v>29.07</v>
      </c>
      <c r="P677" s="13" t="n">
        <v>1</v>
      </c>
      <c r="Q677" s="24" t="n">
        <v>46310.7368981482</v>
      </c>
      <c r="R677" s="22" t="s">
        <v>37</v>
      </c>
      <c r="S677" s="13" t="s">
        <v>107</v>
      </c>
      <c r="T677" s="13" t="str">
        <f aca="false">IF(S677="Oui",IF(R677=L677,"Identique","Changé"),"")</f>
        <v>Changé</v>
      </c>
    </row>
    <row r="678" customFormat="false" ht="35.05" hidden="false" customHeight="false" outlineLevel="0" collapsed="false">
      <c r="A678" s="13" t="s">
        <v>2460</v>
      </c>
      <c r="B678" s="13" t="s">
        <v>2455</v>
      </c>
      <c r="C678" s="13" t="n">
        <v>2</v>
      </c>
      <c r="D678" s="13" t="s">
        <v>135</v>
      </c>
      <c r="E678" s="13" t="s">
        <v>98</v>
      </c>
      <c r="F678" s="13" t="s">
        <v>2456</v>
      </c>
      <c r="G678" s="13" t="s">
        <v>100</v>
      </c>
      <c r="H678" s="13" t="s">
        <v>101</v>
      </c>
      <c r="I678" s="21" t="s">
        <v>2461</v>
      </c>
      <c r="J678" s="21" t="s">
        <v>2462</v>
      </c>
      <c r="K678" s="21" t="s">
        <v>2463</v>
      </c>
      <c r="L678" s="22" t="s">
        <v>36</v>
      </c>
      <c r="M678" s="21" t="s">
        <v>105</v>
      </c>
      <c r="N678" s="13" t="s">
        <v>106</v>
      </c>
      <c r="O678" s="23" t="n">
        <v>10.32</v>
      </c>
      <c r="P678" s="13" t="n">
        <v>1</v>
      </c>
      <c r="Q678" s="24" t="n">
        <v>46310.7371296296</v>
      </c>
      <c r="R678" s="22" t="s">
        <v>36</v>
      </c>
      <c r="S678" s="13" t="s">
        <v>107</v>
      </c>
      <c r="T678" s="13" t="str">
        <f aca="false">IF(S678="Oui",IF(R678=L678,"Identique","Changé"),"")</f>
        <v>Identique</v>
      </c>
    </row>
    <row r="679" customFormat="false" ht="35.05" hidden="false" customHeight="false" outlineLevel="0" collapsed="false">
      <c r="A679" s="13" t="s">
        <v>2464</v>
      </c>
      <c r="B679" s="13" t="s">
        <v>2455</v>
      </c>
      <c r="C679" s="13" t="n">
        <v>3</v>
      </c>
      <c r="D679" s="13" t="s">
        <v>135</v>
      </c>
      <c r="E679" s="13" t="s">
        <v>128</v>
      </c>
      <c r="F679" s="13" t="s">
        <v>2456</v>
      </c>
      <c r="G679" s="13" t="s">
        <v>129</v>
      </c>
      <c r="H679" s="13" t="s">
        <v>101</v>
      </c>
      <c r="I679" s="21" t="s">
        <v>2465</v>
      </c>
      <c r="J679" s="21" t="s">
        <v>199</v>
      </c>
      <c r="K679" s="21" t="s">
        <v>2466</v>
      </c>
      <c r="L679" s="22" t="s">
        <v>36</v>
      </c>
      <c r="M679" s="21" t="s">
        <v>120</v>
      </c>
      <c r="N679" s="13" t="s">
        <v>106</v>
      </c>
      <c r="O679" s="23" t="n">
        <v>9.65</v>
      </c>
      <c r="P679" s="13" t="n">
        <v>1</v>
      </c>
      <c r="Q679" s="24" t="n">
        <v>46310.7373611111</v>
      </c>
      <c r="R679" s="22" t="s">
        <v>36</v>
      </c>
      <c r="S679" s="13" t="s">
        <v>107</v>
      </c>
      <c r="T679" s="13" t="str">
        <f aca="false">IF(S679="Oui",IF(R679=L679,"Identique","Changé"),"")</f>
        <v>Identique</v>
      </c>
    </row>
    <row r="680" customFormat="false" ht="46.25" hidden="false" customHeight="false" outlineLevel="0" collapsed="false">
      <c r="A680" s="13" t="s">
        <v>2467</v>
      </c>
      <c r="B680" s="13" t="s">
        <v>2455</v>
      </c>
      <c r="C680" s="13" t="n">
        <v>4</v>
      </c>
      <c r="D680" s="13" t="s">
        <v>135</v>
      </c>
      <c r="E680" s="13" t="s">
        <v>171</v>
      </c>
      <c r="F680" s="13" t="s">
        <v>2456</v>
      </c>
      <c r="G680" s="13" t="s">
        <v>222</v>
      </c>
      <c r="H680" s="13" t="s">
        <v>101</v>
      </c>
      <c r="I680" s="21" t="s">
        <v>2468</v>
      </c>
      <c r="J680" s="21" t="s">
        <v>561</v>
      </c>
      <c r="K680" s="21" t="s">
        <v>2469</v>
      </c>
      <c r="L680" s="22" t="s">
        <v>36</v>
      </c>
      <c r="M680" s="21" t="s">
        <v>120</v>
      </c>
      <c r="N680" s="13" t="s">
        <v>106</v>
      </c>
      <c r="O680" s="23" t="n">
        <v>17.69</v>
      </c>
      <c r="P680" s="13" t="n">
        <v>1</v>
      </c>
      <c r="Q680" s="24" t="n">
        <v>46310.7376851852</v>
      </c>
      <c r="R680" s="22" t="s">
        <v>36</v>
      </c>
      <c r="S680" s="13" t="s">
        <v>107</v>
      </c>
      <c r="T680" s="13" t="str">
        <f aca="false">IF(S680="Oui",IF(R680=L680,"Identique","Changé"),"")</f>
        <v>Identique</v>
      </c>
    </row>
    <row r="681" customFormat="false" ht="57.45" hidden="false" customHeight="false" outlineLevel="0" collapsed="false">
      <c r="A681" s="13" t="s">
        <v>2470</v>
      </c>
      <c r="B681" s="13" t="s">
        <v>2455</v>
      </c>
      <c r="C681" s="13" t="n">
        <v>5</v>
      </c>
      <c r="D681" s="13" t="s">
        <v>135</v>
      </c>
      <c r="E681" s="13" t="s">
        <v>114</v>
      </c>
      <c r="F681" s="13" t="s">
        <v>2456</v>
      </c>
      <c r="G681" s="13" t="s">
        <v>116</v>
      </c>
      <c r="H681" s="13" t="s">
        <v>101</v>
      </c>
      <c r="I681" s="21" t="s">
        <v>2471</v>
      </c>
      <c r="J681" s="21" t="s">
        <v>138</v>
      </c>
      <c r="K681" s="21" t="s">
        <v>2472</v>
      </c>
      <c r="L681" s="22" t="s">
        <v>36</v>
      </c>
      <c r="M681" s="21" t="s">
        <v>120</v>
      </c>
      <c r="N681" s="13" t="s">
        <v>106</v>
      </c>
      <c r="O681" s="23" t="n">
        <v>10.58</v>
      </c>
      <c r="P681" s="13" t="n">
        <v>1</v>
      </c>
      <c r="Q681" s="24" t="n">
        <v>46310.7379282407</v>
      </c>
      <c r="R681" s="22" t="s">
        <v>36</v>
      </c>
      <c r="S681" s="13" t="s">
        <v>107</v>
      </c>
      <c r="T681" s="13" t="str">
        <f aca="false">IF(S681="Oui",IF(R681=L681,"Identique","Changé"),"")</f>
        <v>Identique</v>
      </c>
    </row>
    <row r="682" customFormat="false" ht="46.25" hidden="false" customHeight="false" outlineLevel="0" collapsed="false">
      <c r="A682" s="13" t="s">
        <v>2473</v>
      </c>
      <c r="B682" s="13" t="s">
        <v>2474</v>
      </c>
      <c r="C682" s="13" t="n">
        <v>1</v>
      </c>
      <c r="D682" s="13" t="s">
        <v>97</v>
      </c>
      <c r="E682" s="13" t="s">
        <v>570</v>
      </c>
      <c r="F682" s="13" t="s">
        <v>701</v>
      </c>
      <c r="G682" s="13" t="s">
        <v>2442</v>
      </c>
      <c r="H682" s="13" t="s">
        <v>101</v>
      </c>
      <c r="I682" s="21" t="s">
        <v>2475</v>
      </c>
      <c r="J682" s="21" t="s">
        <v>2406</v>
      </c>
      <c r="K682" s="21" t="s">
        <v>2476</v>
      </c>
      <c r="L682" s="22" t="s">
        <v>36</v>
      </c>
      <c r="M682" s="21" t="s">
        <v>235</v>
      </c>
      <c r="N682" s="13" t="s">
        <v>106</v>
      </c>
      <c r="O682" s="23" t="n">
        <v>28.98</v>
      </c>
      <c r="P682" s="13" t="n">
        <v>1</v>
      </c>
      <c r="Q682" s="24" t="n">
        <v>46310.7384490741</v>
      </c>
      <c r="R682" s="22" t="s">
        <v>36</v>
      </c>
      <c r="S682" s="13" t="s">
        <v>107</v>
      </c>
      <c r="T682" s="13" t="str">
        <f aca="false">IF(S682="Oui",IF(R682=L682,"Identique","Changé"),"")</f>
        <v>Identique</v>
      </c>
    </row>
    <row r="683" customFormat="false" ht="46.25" hidden="false" customHeight="false" outlineLevel="0" collapsed="false">
      <c r="A683" s="13" t="s">
        <v>2477</v>
      </c>
      <c r="B683" s="13" t="s">
        <v>2474</v>
      </c>
      <c r="C683" s="13" t="n">
        <v>2</v>
      </c>
      <c r="D683" s="13" t="s">
        <v>97</v>
      </c>
      <c r="E683" s="13" t="s">
        <v>98</v>
      </c>
      <c r="F683" s="13" t="s">
        <v>701</v>
      </c>
      <c r="G683" s="13" t="s">
        <v>2478</v>
      </c>
      <c r="H683" s="13" t="s">
        <v>101</v>
      </c>
      <c r="I683" s="21" t="s">
        <v>2479</v>
      </c>
      <c r="J683" s="21" t="s">
        <v>2480</v>
      </c>
      <c r="K683" s="21" t="s">
        <v>2481</v>
      </c>
      <c r="L683" s="22" t="s">
        <v>36</v>
      </c>
      <c r="M683" s="21" t="s">
        <v>2135</v>
      </c>
      <c r="N683" s="13" t="s">
        <v>106</v>
      </c>
      <c r="O683" s="23" t="n">
        <v>10.9</v>
      </c>
      <c r="P683" s="13" t="n">
        <v>1</v>
      </c>
      <c r="Q683" s="24" t="n">
        <v>46310.7386921296</v>
      </c>
      <c r="R683" s="22" t="s">
        <v>36</v>
      </c>
      <c r="S683" s="13" t="s">
        <v>107</v>
      </c>
      <c r="T683" s="13" t="str">
        <f aca="false">IF(S683="Oui",IF(R683=L683,"Identique","Changé"),"")</f>
        <v>Identique</v>
      </c>
    </row>
    <row r="684" customFormat="false" ht="46.25" hidden="false" customHeight="false" outlineLevel="0" collapsed="false">
      <c r="A684" s="13" t="s">
        <v>2482</v>
      </c>
      <c r="B684" s="13" t="s">
        <v>2474</v>
      </c>
      <c r="C684" s="13" t="n">
        <v>3</v>
      </c>
      <c r="D684" s="13" t="s">
        <v>97</v>
      </c>
      <c r="E684" s="13" t="s">
        <v>185</v>
      </c>
      <c r="F684" s="13" t="s">
        <v>524</v>
      </c>
      <c r="G684" s="13" t="s">
        <v>2483</v>
      </c>
      <c r="H684" s="13" t="s">
        <v>152</v>
      </c>
      <c r="I684" s="21" t="s">
        <v>2484</v>
      </c>
      <c r="J684" s="21" t="s">
        <v>154</v>
      </c>
      <c r="K684" s="21" t="s">
        <v>2485</v>
      </c>
      <c r="L684" s="22" t="s">
        <v>40</v>
      </c>
      <c r="M684" s="21" t="s">
        <v>156</v>
      </c>
      <c r="N684" s="13" t="s">
        <v>106</v>
      </c>
      <c r="O684" s="23" t="n">
        <v>11.65</v>
      </c>
      <c r="P684" s="13" t="n">
        <v>1</v>
      </c>
      <c r="Q684" s="24" t="n">
        <v>46310.7389583333</v>
      </c>
      <c r="R684" s="22" t="s">
        <v>40</v>
      </c>
      <c r="S684" s="13" t="s">
        <v>107</v>
      </c>
      <c r="T684" s="13" t="str">
        <f aca="false">IF(S684="Oui",IF(R684=L684,"Identique","Changé"),"")</f>
        <v>Identique</v>
      </c>
    </row>
    <row r="685" customFormat="false" ht="46.25" hidden="false" customHeight="false" outlineLevel="0" collapsed="false">
      <c r="A685" s="13" t="s">
        <v>2486</v>
      </c>
      <c r="B685" s="13" t="s">
        <v>2474</v>
      </c>
      <c r="C685" s="13" t="n">
        <v>4</v>
      </c>
      <c r="D685" s="13" t="s">
        <v>97</v>
      </c>
      <c r="E685" s="13" t="s">
        <v>98</v>
      </c>
      <c r="F685" s="13" t="s">
        <v>524</v>
      </c>
      <c r="G685" s="13" t="s">
        <v>2487</v>
      </c>
      <c r="H685" s="13" t="s">
        <v>101</v>
      </c>
      <c r="I685" s="21" t="s">
        <v>2488</v>
      </c>
      <c r="J685" s="21" t="s">
        <v>2489</v>
      </c>
      <c r="K685" s="21" t="s">
        <v>2490</v>
      </c>
      <c r="L685" s="22" t="s">
        <v>36</v>
      </c>
      <c r="M685" s="21" t="s">
        <v>427</v>
      </c>
      <c r="N685" s="13" t="s">
        <v>106</v>
      </c>
      <c r="O685" s="23" t="n">
        <v>11.07</v>
      </c>
      <c r="P685" s="13" t="n">
        <v>1</v>
      </c>
      <c r="Q685" s="24" t="n">
        <v>46310.7392013889</v>
      </c>
      <c r="R685" s="22" t="s">
        <v>36</v>
      </c>
      <c r="S685" s="13" t="s">
        <v>107</v>
      </c>
      <c r="T685" s="13" t="str">
        <f aca="false">IF(S685="Oui",IF(R685=L685,"Identique","Changé"),"")</f>
        <v>Identique</v>
      </c>
    </row>
    <row r="686" customFormat="false" ht="35.05" hidden="false" customHeight="false" outlineLevel="0" collapsed="false">
      <c r="A686" s="13" t="s">
        <v>2491</v>
      </c>
      <c r="B686" s="13" t="s">
        <v>2474</v>
      </c>
      <c r="C686" s="13" t="n">
        <v>5</v>
      </c>
      <c r="D686" s="13" t="s">
        <v>97</v>
      </c>
      <c r="E686" s="13" t="s">
        <v>114</v>
      </c>
      <c r="F686" s="13" t="s">
        <v>701</v>
      </c>
      <c r="G686" s="13" t="s">
        <v>116</v>
      </c>
      <c r="H686" s="13" t="s">
        <v>101</v>
      </c>
      <c r="I686" s="21" t="s">
        <v>2492</v>
      </c>
      <c r="J686" s="21" t="s">
        <v>118</v>
      </c>
      <c r="K686" s="21" t="s">
        <v>2493</v>
      </c>
      <c r="L686" s="22" t="s">
        <v>36</v>
      </c>
      <c r="M686" s="21" t="s">
        <v>120</v>
      </c>
      <c r="N686" s="13" t="s">
        <v>106</v>
      </c>
      <c r="O686" s="23" t="n">
        <v>9.67</v>
      </c>
      <c r="P686" s="13" t="n">
        <v>1</v>
      </c>
      <c r="Q686" s="24" t="n">
        <v>46310.7394328704</v>
      </c>
      <c r="R686" s="22" t="s">
        <v>36</v>
      </c>
      <c r="S686" s="13" t="s">
        <v>107</v>
      </c>
      <c r="T686" s="13" t="str">
        <f aca="false">IF(S686="Oui",IF(R686=L686,"Identique","Changé"),"")</f>
        <v>Identique</v>
      </c>
    </row>
    <row r="687" customFormat="false" ht="35.05" hidden="false" customHeight="false" outlineLevel="0" collapsed="false">
      <c r="A687" s="13" t="s">
        <v>2494</v>
      </c>
      <c r="B687" s="13" t="s">
        <v>2495</v>
      </c>
      <c r="C687" s="13" t="n">
        <v>1</v>
      </c>
      <c r="D687" s="13" t="s">
        <v>135</v>
      </c>
      <c r="E687" s="13" t="s">
        <v>171</v>
      </c>
      <c r="F687" s="13" t="s">
        <v>2496</v>
      </c>
      <c r="G687" s="13" t="s">
        <v>172</v>
      </c>
      <c r="H687" s="13" t="s">
        <v>101</v>
      </c>
      <c r="I687" s="21" t="s">
        <v>2497</v>
      </c>
      <c r="J687" s="21" t="s">
        <v>148</v>
      </c>
      <c r="K687" s="21" t="s">
        <v>2498</v>
      </c>
      <c r="L687" s="22" t="s">
        <v>36</v>
      </c>
      <c r="M687" s="21" t="s">
        <v>120</v>
      </c>
      <c r="N687" s="13" t="s">
        <v>106</v>
      </c>
      <c r="O687" s="23" t="n">
        <v>38.38</v>
      </c>
      <c r="P687" s="13" t="n">
        <v>1</v>
      </c>
      <c r="Q687" s="24" t="n">
        <v>46310.7400462963</v>
      </c>
      <c r="R687" s="22" t="s">
        <v>36</v>
      </c>
      <c r="S687" s="13" t="s">
        <v>107</v>
      </c>
      <c r="T687" s="13" t="str">
        <f aca="false">IF(S687="Oui",IF(R687=L687,"Identique","Changé"),"")</f>
        <v>Identique</v>
      </c>
    </row>
    <row r="688" customFormat="false" ht="35.05" hidden="false" customHeight="false" outlineLevel="0" collapsed="false">
      <c r="A688" s="13" t="s">
        <v>2499</v>
      </c>
      <c r="B688" s="13" t="s">
        <v>2495</v>
      </c>
      <c r="C688" s="13" t="n">
        <v>2</v>
      </c>
      <c r="D688" s="13" t="s">
        <v>135</v>
      </c>
      <c r="E688" s="13" t="s">
        <v>98</v>
      </c>
      <c r="F688" s="13" t="s">
        <v>2496</v>
      </c>
      <c r="G688" s="13" t="s">
        <v>2500</v>
      </c>
      <c r="H688" s="13" t="s">
        <v>101</v>
      </c>
      <c r="I688" s="21" t="s">
        <v>2501</v>
      </c>
      <c r="J688" s="21" t="s">
        <v>2502</v>
      </c>
      <c r="K688" s="21" t="s">
        <v>2503</v>
      </c>
      <c r="L688" s="22" t="s">
        <v>36</v>
      </c>
      <c r="M688" s="21" t="s">
        <v>2135</v>
      </c>
      <c r="N688" s="13" t="s">
        <v>106</v>
      </c>
      <c r="O688" s="23" t="n">
        <v>10.02</v>
      </c>
      <c r="P688" s="13" t="n">
        <v>1</v>
      </c>
      <c r="Q688" s="24" t="n">
        <v>46310.7402777778</v>
      </c>
      <c r="R688" s="22" t="s">
        <v>36</v>
      </c>
      <c r="S688" s="13" t="s">
        <v>107</v>
      </c>
      <c r="T688" s="13" t="str">
        <f aca="false">IF(S688="Oui",IF(R688=L688,"Identique","Changé"),"")</f>
        <v>Identique</v>
      </c>
    </row>
    <row r="689" customFormat="false" ht="35.05" hidden="false" customHeight="false" outlineLevel="0" collapsed="false">
      <c r="A689" s="13" t="s">
        <v>2504</v>
      </c>
      <c r="B689" s="13" t="s">
        <v>2495</v>
      </c>
      <c r="C689" s="13" t="n">
        <v>3</v>
      </c>
      <c r="D689" s="13" t="s">
        <v>135</v>
      </c>
      <c r="E689" s="13" t="s">
        <v>98</v>
      </c>
      <c r="F689" s="13" t="s">
        <v>2496</v>
      </c>
      <c r="G689" s="13" t="s">
        <v>2478</v>
      </c>
      <c r="H689" s="13" t="s">
        <v>101</v>
      </c>
      <c r="I689" s="21" t="s">
        <v>2505</v>
      </c>
      <c r="J689" s="21" t="s">
        <v>2506</v>
      </c>
      <c r="K689" s="21" t="s">
        <v>2507</v>
      </c>
      <c r="L689" s="22" t="s">
        <v>36</v>
      </c>
      <c r="M689" s="21" t="s">
        <v>2135</v>
      </c>
      <c r="N689" s="13" t="s">
        <v>106</v>
      </c>
      <c r="O689" s="23" t="n">
        <v>12.99</v>
      </c>
      <c r="P689" s="13" t="n">
        <v>1</v>
      </c>
      <c r="Q689" s="24" t="n">
        <v>46310.7405555556</v>
      </c>
      <c r="R689" s="22" t="s">
        <v>36</v>
      </c>
      <c r="S689" s="13" t="s">
        <v>107</v>
      </c>
      <c r="T689" s="13" t="str">
        <f aca="false">IF(S689="Oui",IF(R689=L689,"Identique","Changé"),"")</f>
        <v>Identique</v>
      </c>
    </row>
    <row r="690" customFormat="false" ht="46.25" hidden="false" customHeight="false" outlineLevel="0" collapsed="false">
      <c r="A690" s="13" t="s">
        <v>2508</v>
      </c>
      <c r="B690" s="13" t="s">
        <v>2495</v>
      </c>
      <c r="C690" s="13" t="n">
        <v>4</v>
      </c>
      <c r="D690" s="13" t="s">
        <v>135</v>
      </c>
      <c r="E690" s="13" t="s">
        <v>128</v>
      </c>
      <c r="F690" s="13" t="s">
        <v>2496</v>
      </c>
      <c r="G690" s="13" t="s">
        <v>129</v>
      </c>
      <c r="H690" s="13" t="s">
        <v>101</v>
      </c>
      <c r="I690" s="21" t="s">
        <v>2509</v>
      </c>
      <c r="J690" s="21" t="s">
        <v>131</v>
      </c>
      <c r="K690" s="21" t="s">
        <v>2510</v>
      </c>
      <c r="L690" s="22" t="s">
        <v>36</v>
      </c>
      <c r="M690" s="21" t="s">
        <v>120</v>
      </c>
      <c r="N690" s="13" t="s">
        <v>106</v>
      </c>
      <c r="O690" s="23" t="n">
        <v>13.4</v>
      </c>
      <c r="P690" s="13" t="n">
        <v>1</v>
      </c>
      <c r="Q690" s="24" t="n">
        <v>46310.7408217593</v>
      </c>
      <c r="R690" s="22" t="s">
        <v>36</v>
      </c>
      <c r="S690" s="13" t="s">
        <v>107</v>
      </c>
      <c r="T690" s="13" t="str">
        <f aca="false">IF(S690="Oui",IF(R690=L690,"Identique","Changé"),"")</f>
        <v>Identique</v>
      </c>
    </row>
    <row r="691" customFormat="false" ht="35.05" hidden="false" customHeight="false" outlineLevel="0" collapsed="false">
      <c r="A691" s="13" t="s">
        <v>2511</v>
      </c>
      <c r="B691" s="13" t="s">
        <v>2495</v>
      </c>
      <c r="C691" s="13" t="n">
        <v>5</v>
      </c>
      <c r="D691" s="13" t="s">
        <v>135</v>
      </c>
      <c r="E691" s="13" t="s">
        <v>171</v>
      </c>
      <c r="F691" s="13" t="s">
        <v>2496</v>
      </c>
      <c r="G691" s="13" t="s">
        <v>222</v>
      </c>
      <c r="H691" s="13" t="s">
        <v>101</v>
      </c>
      <c r="I691" s="21" t="s">
        <v>2512</v>
      </c>
      <c r="J691" s="21" t="s">
        <v>224</v>
      </c>
      <c r="K691" s="21" t="s">
        <v>2513</v>
      </c>
      <c r="L691" s="22" t="s">
        <v>36</v>
      </c>
      <c r="M691" s="21" t="s">
        <v>120</v>
      </c>
      <c r="N691" s="13" t="s">
        <v>106</v>
      </c>
      <c r="O691" s="23" t="n">
        <v>19.07</v>
      </c>
      <c r="P691" s="13" t="n">
        <v>1</v>
      </c>
      <c r="Q691" s="24" t="n">
        <v>46310.7411689815</v>
      </c>
      <c r="R691" s="22" t="s">
        <v>36</v>
      </c>
      <c r="S691" s="13" t="s">
        <v>107</v>
      </c>
      <c r="T691" s="13" t="str">
        <f aca="false">IF(S691="Oui",IF(R691=L691,"Identique","Changé"),"")</f>
        <v>Identique</v>
      </c>
    </row>
    <row r="692" customFormat="false" ht="46.25" hidden="false" customHeight="false" outlineLevel="0" collapsed="false">
      <c r="A692" s="13" t="s">
        <v>2514</v>
      </c>
      <c r="B692" s="13" t="s">
        <v>2515</v>
      </c>
      <c r="C692" s="13" t="n">
        <v>1</v>
      </c>
      <c r="D692" s="13" t="s">
        <v>97</v>
      </c>
      <c r="E692" s="13" t="s">
        <v>98</v>
      </c>
      <c r="F692" s="13" t="s">
        <v>488</v>
      </c>
      <c r="G692" s="13" t="s">
        <v>2500</v>
      </c>
      <c r="H692" s="13" t="s">
        <v>101</v>
      </c>
      <c r="I692" s="21" t="s">
        <v>2516</v>
      </c>
      <c r="J692" s="21" t="s">
        <v>2517</v>
      </c>
      <c r="K692" s="21" t="s">
        <v>2518</v>
      </c>
      <c r="L692" s="22" t="s">
        <v>36</v>
      </c>
      <c r="M692" s="21" t="s">
        <v>2135</v>
      </c>
      <c r="N692" s="13" t="s">
        <v>106</v>
      </c>
      <c r="O692" s="23" t="n">
        <v>27.97</v>
      </c>
      <c r="P692" s="13" t="n">
        <v>1</v>
      </c>
      <c r="Q692" s="24" t="n">
        <v>46310.7416782407</v>
      </c>
      <c r="R692" s="22" t="s">
        <v>36</v>
      </c>
      <c r="S692" s="13" t="s">
        <v>107</v>
      </c>
      <c r="T692" s="13" t="str">
        <f aca="false">IF(S692="Oui",IF(R692=L692,"Identique","Changé"),"")</f>
        <v>Identique</v>
      </c>
    </row>
    <row r="693" customFormat="false" ht="46.25" hidden="false" customHeight="false" outlineLevel="0" collapsed="false">
      <c r="A693" s="13" t="s">
        <v>2519</v>
      </c>
      <c r="B693" s="13" t="s">
        <v>2515</v>
      </c>
      <c r="C693" s="13" t="n">
        <v>2</v>
      </c>
      <c r="D693" s="13" t="s">
        <v>97</v>
      </c>
      <c r="E693" s="13" t="s">
        <v>122</v>
      </c>
      <c r="F693" s="13" t="s">
        <v>488</v>
      </c>
      <c r="G693" s="13" t="s">
        <v>1744</v>
      </c>
      <c r="H693" s="13" t="s">
        <v>101</v>
      </c>
      <c r="I693" s="21" t="s">
        <v>2520</v>
      </c>
      <c r="J693" s="21" t="s">
        <v>1746</v>
      </c>
      <c r="K693" s="21" t="s">
        <v>2521</v>
      </c>
      <c r="L693" s="22" t="s">
        <v>36</v>
      </c>
      <c r="M693" s="21" t="s">
        <v>235</v>
      </c>
      <c r="N693" s="13" t="s">
        <v>106</v>
      </c>
      <c r="O693" s="23" t="n">
        <v>9.44</v>
      </c>
      <c r="P693" s="13" t="n">
        <v>1</v>
      </c>
      <c r="Q693" s="24" t="n">
        <v>46310.7419097222</v>
      </c>
      <c r="R693" s="22" t="s">
        <v>37</v>
      </c>
      <c r="S693" s="13" t="s">
        <v>107</v>
      </c>
      <c r="T693" s="13" t="str">
        <f aca="false">IF(S693="Oui",IF(R693=L693,"Identique","Changé"),"")</f>
        <v>Changé</v>
      </c>
    </row>
    <row r="694" customFormat="false" ht="35.05" hidden="false" customHeight="false" outlineLevel="0" collapsed="false">
      <c r="A694" s="13" t="s">
        <v>2522</v>
      </c>
      <c r="B694" s="13" t="s">
        <v>2515</v>
      </c>
      <c r="C694" s="13" t="n">
        <v>3</v>
      </c>
      <c r="D694" s="13" t="s">
        <v>97</v>
      </c>
      <c r="E694" s="13" t="s">
        <v>171</v>
      </c>
      <c r="F694" s="13" t="s">
        <v>339</v>
      </c>
      <c r="G694" s="13" t="s">
        <v>172</v>
      </c>
      <c r="H694" s="13" t="s">
        <v>101</v>
      </c>
      <c r="I694" s="21" t="s">
        <v>2523</v>
      </c>
      <c r="J694" s="21" t="s">
        <v>174</v>
      </c>
      <c r="K694" s="21" t="s">
        <v>2524</v>
      </c>
      <c r="L694" s="22" t="s">
        <v>36</v>
      </c>
      <c r="M694" s="21" t="s">
        <v>120</v>
      </c>
      <c r="N694" s="13" t="s">
        <v>106</v>
      </c>
      <c r="O694" s="23" t="n">
        <v>9.45</v>
      </c>
      <c r="P694" s="13" t="n">
        <v>1</v>
      </c>
      <c r="Q694" s="24" t="n">
        <v>46310.7421412037</v>
      </c>
      <c r="R694" s="22" t="s">
        <v>36</v>
      </c>
      <c r="S694" s="13" t="s">
        <v>107</v>
      </c>
      <c r="T694" s="13" t="str">
        <f aca="false">IF(S694="Oui",IF(R694=L694,"Identique","Changé"),"")</f>
        <v>Identique</v>
      </c>
    </row>
    <row r="695" customFormat="false" ht="35.05" hidden="false" customHeight="false" outlineLevel="0" collapsed="false">
      <c r="A695" s="13" t="s">
        <v>2525</v>
      </c>
      <c r="B695" s="13" t="s">
        <v>2515</v>
      </c>
      <c r="C695" s="13" t="n">
        <v>4</v>
      </c>
      <c r="D695" s="13" t="s">
        <v>97</v>
      </c>
      <c r="E695" s="13" t="s">
        <v>185</v>
      </c>
      <c r="F695" s="13" t="s">
        <v>339</v>
      </c>
      <c r="G695" s="13" t="s">
        <v>2483</v>
      </c>
      <c r="H695" s="13" t="s">
        <v>152</v>
      </c>
      <c r="I695" s="21" t="s">
        <v>2526</v>
      </c>
      <c r="J695" s="21" t="s">
        <v>154</v>
      </c>
      <c r="K695" s="21" t="s">
        <v>2527</v>
      </c>
      <c r="L695" s="22" t="s">
        <v>40</v>
      </c>
      <c r="M695" s="21" t="s">
        <v>156</v>
      </c>
      <c r="N695" s="13" t="s">
        <v>106</v>
      </c>
      <c r="O695" s="23" t="n">
        <v>11.6</v>
      </c>
      <c r="P695" s="13" t="n">
        <v>1</v>
      </c>
      <c r="Q695" s="24" t="n">
        <v>46310.7423958333</v>
      </c>
      <c r="R695" s="22" t="s">
        <v>40</v>
      </c>
      <c r="S695" s="13" t="s">
        <v>107</v>
      </c>
      <c r="T695" s="13" t="str">
        <f aca="false">IF(S695="Oui",IF(R695=L695,"Identique","Changé"),"")</f>
        <v>Identique</v>
      </c>
    </row>
    <row r="696" customFormat="false" ht="214.15" hidden="false" customHeight="false" outlineLevel="0" collapsed="false">
      <c r="A696" s="13" t="s">
        <v>2528</v>
      </c>
      <c r="B696" s="13" t="s">
        <v>2515</v>
      </c>
      <c r="C696" s="13" t="n">
        <v>5</v>
      </c>
      <c r="D696" s="13" t="s">
        <v>97</v>
      </c>
      <c r="E696" s="13" t="s">
        <v>1730</v>
      </c>
      <c r="F696" s="13" t="s">
        <v>488</v>
      </c>
      <c r="G696" s="13" t="s">
        <v>1732</v>
      </c>
      <c r="H696" s="13" t="s">
        <v>101</v>
      </c>
      <c r="I696" s="21" t="s">
        <v>2529</v>
      </c>
      <c r="J696" s="21" t="s">
        <v>2530</v>
      </c>
      <c r="K696" s="21" t="s">
        <v>2531</v>
      </c>
      <c r="L696" s="22" t="s">
        <v>36</v>
      </c>
      <c r="M696" s="21" t="s">
        <v>120</v>
      </c>
      <c r="N696" s="13" t="s">
        <v>106</v>
      </c>
      <c r="O696" s="23" t="n">
        <v>11.54</v>
      </c>
      <c r="P696" s="13" t="n">
        <v>1</v>
      </c>
      <c r="Q696" s="24" t="n">
        <v>46310.742650463</v>
      </c>
      <c r="R696" s="22" t="s">
        <v>36</v>
      </c>
      <c r="S696" s="13" t="s">
        <v>107</v>
      </c>
      <c r="T696" s="13" t="str">
        <f aca="false">IF(S696="Oui",IF(R696=L696,"Identique","Changé"),"")</f>
        <v>Identique</v>
      </c>
    </row>
    <row r="697" customFormat="false" ht="35.05" hidden="false" customHeight="false" outlineLevel="0" collapsed="false">
      <c r="A697" s="13" t="s">
        <v>2532</v>
      </c>
      <c r="B697" s="13" t="s">
        <v>2533</v>
      </c>
      <c r="C697" s="13" t="n">
        <v>1</v>
      </c>
      <c r="D697" s="13" t="s">
        <v>135</v>
      </c>
      <c r="E697" s="13" t="s">
        <v>122</v>
      </c>
      <c r="F697" s="13" t="s">
        <v>2534</v>
      </c>
      <c r="G697" s="13" t="s">
        <v>123</v>
      </c>
      <c r="H697" s="13" t="s">
        <v>101</v>
      </c>
      <c r="I697" s="21" t="s">
        <v>2535</v>
      </c>
      <c r="J697" s="21" t="s">
        <v>277</v>
      </c>
      <c r="K697" s="21" t="s">
        <v>2536</v>
      </c>
      <c r="L697" s="22" t="s">
        <v>36</v>
      </c>
      <c r="M697" s="21" t="s">
        <v>120</v>
      </c>
      <c r="N697" s="13" t="s">
        <v>106</v>
      </c>
      <c r="O697" s="23" t="n">
        <v>27.1</v>
      </c>
      <c r="P697" s="13" t="n">
        <v>1</v>
      </c>
      <c r="Q697" s="24" t="n">
        <v>46310.7431481482</v>
      </c>
      <c r="R697" s="22" t="s">
        <v>36</v>
      </c>
      <c r="S697" s="13" t="s">
        <v>107</v>
      </c>
      <c r="T697" s="13" t="str">
        <f aca="false">IF(S697="Oui",IF(R697=L697,"Identique","Changé"),"")</f>
        <v>Identique</v>
      </c>
    </row>
    <row r="698" customFormat="false" ht="46.25" hidden="false" customHeight="false" outlineLevel="0" collapsed="false">
      <c r="A698" s="13" t="s">
        <v>2537</v>
      </c>
      <c r="B698" s="13" t="s">
        <v>2533</v>
      </c>
      <c r="C698" s="13" t="n">
        <v>2</v>
      </c>
      <c r="D698" s="13" t="s">
        <v>135</v>
      </c>
      <c r="E698" s="13" t="s">
        <v>570</v>
      </c>
      <c r="F698" s="13" t="s">
        <v>2534</v>
      </c>
      <c r="G698" s="13" t="s">
        <v>1739</v>
      </c>
      <c r="H698" s="13" t="s">
        <v>101</v>
      </c>
      <c r="I698" s="21" t="s">
        <v>2538</v>
      </c>
      <c r="J698" s="21" t="s">
        <v>233</v>
      </c>
      <c r="K698" s="21" t="s">
        <v>2539</v>
      </c>
      <c r="L698" s="22" t="s">
        <v>36</v>
      </c>
      <c r="M698" s="21" t="s">
        <v>235</v>
      </c>
      <c r="N698" s="13" t="s">
        <v>106</v>
      </c>
      <c r="O698" s="23" t="n">
        <v>10.7</v>
      </c>
      <c r="P698" s="13" t="n">
        <v>1</v>
      </c>
      <c r="Q698" s="24" t="n">
        <v>46310.7433912037</v>
      </c>
      <c r="R698" s="22" t="s">
        <v>36</v>
      </c>
      <c r="S698" s="13" t="s">
        <v>107</v>
      </c>
      <c r="T698" s="13" t="str">
        <f aca="false">IF(S698="Oui",IF(R698=L698,"Identique","Changé"),"")</f>
        <v>Identique</v>
      </c>
    </row>
    <row r="699" customFormat="false" ht="57.45" hidden="false" customHeight="false" outlineLevel="0" collapsed="false">
      <c r="A699" s="13" t="s">
        <v>2540</v>
      </c>
      <c r="B699" s="13" t="s">
        <v>2533</v>
      </c>
      <c r="C699" s="13" t="n">
        <v>3</v>
      </c>
      <c r="D699" s="13" t="s">
        <v>135</v>
      </c>
      <c r="E699" s="13" t="s">
        <v>1730</v>
      </c>
      <c r="F699" s="13" t="s">
        <v>2541</v>
      </c>
      <c r="G699" s="13" t="s">
        <v>1753</v>
      </c>
      <c r="H699" s="13" t="s">
        <v>101</v>
      </c>
      <c r="I699" s="21" t="s">
        <v>2542</v>
      </c>
      <c r="J699" s="21" t="s">
        <v>2543</v>
      </c>
      <c r="K699" s="21" t="s">
        <v>2544</v>
      </c>
      <c r="L699" s="22" t="s">
        <v>36</v>
      </c>
      <c r="M699" s="21" t="s">
        <v>120</v>
      </c>
      <c r="N699" s="13" t="s">
        <v>106</v>
      </c>
      <c r="O699" s="23" t="n">
        <v>9.93</v>
      </c>
      <c r="P699" s="13" t="n">
        <v>1</v>
      </c>
      <c r="Q699" s="24" t="n">
        <v>46310.7436226852</v>
      </c>
      <c r="R699" s="22" t="s">
        <v>36</v>
      </c>
      <c r="S699" s="13" t="s">
        <v>107</v>
      </c>
      <c r="T699" s="13" t="str">
        <f aca="false">IF(S699="Oui",IF(R699=L699,"Identique","Changé"),"")</f>
        <v>Identique</v>
      </c>
    </row>
    <row r="700" customFormat="false" ht="35.05" hidden="false" customHeight="false" outlineLevel="0" collapsed="false">
      <c r="A700" s="13" t="s">
        <v>2545</v>
      </c>
      <c r="B700" s="13" t="s">
        <v>2533</v>
      </c>
      <c r="C700" s="13" t="n">
        <v>4</v>
      </c>
      <c r="D700" s="13" t="s">
        <v>135</v>
      </c>
      <c r="E700" s="13" t="s">
        <v>122</v>
      </c>
      <c r="F700" s="13" t="s">
        <v>2541</v>
      </c>
      <c r="G700" s="13" t="s">
        <v>1744</v>
      </c>
      <c r="H700" s="13" t="s">
        <v>101</v>
      </c>
      <c r="I700" s="21" t="s">
        <v>2546</v>
      </c>
      <c r="J700" s="21" t="s">
        <v>1741</v>
      </c>
      <c r="K700" s="21" t="s">
        <v>2547</v>
      </c>
      <c r="L700" s="22" t="s">
        <v>36</v>
      </c>
      <c r="M700" s="21" t="s">
        <v>235</v>
      </c>
      <c r="N700" s="13" t="s">
        <v>106</v>
      </c>
      <c r="O700" s="23" t="n">
        <v>10.89</v>
      </c>
      <c r="P700" s="13" t="n">
        <v>1</v>
      </c>
      <c r="Q700" s="24" t="n">
        <v>46310.7438657407</v>
      </c>
      <c r="R700" s="22" t="s">
        <v>38</v>
      </c>
      <c r="S700" s="13" t="s">
        <v>107</v>
      </c>
      <c r="T700" s="13" t="str">
        <f aca="false">IF(S700="Oui",IF(R700=L700,"Identique","Changé"),"")</f>
        <v>Changé</v>
      </c>
    </row>
    <row r="701" customFormat="false" ht="147" hidden="false" customHeight="false" outlineLevel="0" collapsed="false">
      <c r="A701" s="13" t="s">
        <v>2548</v>
      </c>
      <c r="B701" s="13" t="s">
        <v>2533</v>
      </c>
      <c r="C701" s="13" t="n">
        <v>5</v>
      </c>
      <c r="D701" s="13" t="s">
        <v>135</v>
      </c>
      <c r="E701" s="13" t="s">
        <v>1730</v>
      </c>
      <c r="F701" s="13" t="s">
        <v>2534</v>
      </c>
      <c r="G701" s="13" t="s">
        <v>1732</v>
      </c>
      <c r="H701" s="13" t="s">
        <v>101</v>
      </c>
      <c r="I701" s="21" t="s">
        <v>2549</v>
      </c>
      <c r="J701" s="21" t="s">
        <v>2550</v>
      </c>
      <c r="K701" s="21" t="s">
        <v>2551</v>
      </c>
      <c r="L701" s="22" t="s">
        <v>36</v>
      </c>
      <c r="M701" s="21" t="s">
        <v>120</v>
      </c>
      <c r="N701" s="13" t="s">
        <v>106</v>
      </c>
      <c r="O701" s="23" t="n">
        <v>11.42</v>
      </c>
      <c r="P701" s="13" t="n">
        <v>1</v>
      </c>
      <c r="Q701" s="24" t="n">
        <v>46310.7441203704</v>
      </c>
      <c r="R701" s="22" t="s">
        <v>36</v>
      </c>
      <c r="S701" s="13" t="s">
        <v>107</v>
      </c>
      <c r="T701" s="13" t="str">
        <f aca="false">IF(S701="Oui",IF(R701=L701,"Identique","Changé"),"")</f>
        <v>Identique</v>
      </c>
    </row>
    <row r="702" customFormat="false" ht="35.05" hidden="false" customHeight="false" outlineLevel="0" collapsed="false">
      <c r="A702" s="13" t="s">
        <v>2552</v>
      </c>
      <c r="B702" s="13" t="s">
        <v>2553</v>
      </c>
      <c r="C702" s="13" t="n">
        <v>1</v>
      </c>
      <c r="D702" s="13" t="s">
        <v>97</v>
      </c>
      <c r="E702" s="13" t="s">
        <v>122</v>
      </c>
      <c r="F702" s="13" t="s">
        <v>215</v>
      </c>
      <c r="G702" s="13" t="s">
        <v>1744</v>
      </c>
      <c r="H702" s="13" t="s">
        <v>101</v>
      </c>
      <c r="I702" s="21" t="s">
        <v>2554</v>
      </c>
      <c r="J702" s="21" t="s">
        <v>1746</v>
      </c>
      <c r="K702" s="21" t="s">
        <v>2555</v>
      </c>
      <c r="L702" s="22" t="s">
        <v>36</v>
      </c>
      <c r="M702" s="21" t="s">
        <v>235</v>
      </c>
      <c r="N702" s="13" t="s">
        <v>106</v>
      </c>
      <c r="O702" s="23" t="n">
        <v>35.97</v>
      </c>
      <c r="P702" s="13" t="n">
        <v>1</v>
      </c>
      <c r="Q702" s="24" t="n">
        <v>46310.7447453704</v>
      </c>
      <c r="R702" s="22" t="s">
        <v>38</v>
      </c>
      <c r="S702" s="13" t="s">
        <v>107</v>
      </c>
      <c r="T702" s="13" t="str">
        <f aca="false">IF(S702="Oui",IF(R702=L702,"Identique","Changé"),"")</f>
        <v>Changé</v>
      </c>
    </row>
    <row r="703" customFormat="false" ht="807.45" hidden="false" customHeight="false" outlineLevel="0" collapsed="false">
      <c r="A703" s="13" t="s">
        <v>2556</v>
      </c>
      <c r="B703" s="13" t="s">
        <v>2553</v>
      </c>
      <c r="C703" s="13" t="n">
        <v>2</v>
      </c>
      <c r="D703" s="13" t="s">
        <v>97</v>
      </c>
      <c r="E703" s="13" t="s">
        <v>1730</v>
      </c>
      <c r="F703" s="13" t="s">
        <v>215</v>
      </c>
      <c r="G703" s="13" t="s">
        <v>1753</v>
      </c>
      <c r="H703" s="13" t="s">
        <v>101</v>
      </c>
      <c r="I703" s="21" t="s">
        <v>2557</v>
      </c>
      <c r="J703" s="21" t="s">
        <v>2558</v>
      </c>
      <c r="K703" s="21" t="s">
        <v>2559</v>
      </c>
      <c r="L703" s="22" t="s">
        <v>36</v>
      </c>
      <c r="M703" s="21" t="s">
        <v>2007</v>
      </c>
      <c r="N703" s="13" t="s">
        <v>1085</v>
      </c>
      <c r="O703" s="23" t="n">
        <v>14.04</v>
      </c>
      <c r="P703" s="13" t="n">
        <v>1</v>
      </c>
      <c r="Q703" s="24" t="n">
        <v>46310.7450462963</v>
      </c>
      <c r="R703" s="22" t="s">
        <v>2289</v>
      </c>
      <c r="S703" s="13" t="s">
        <v>107</v>
      </c>
      <c r="T703" s="13" t="str">
        <f aca="false">IF(S703="Oui",IF(R703=L703,"Identique","Changé"),"")</f>
        <v>Changé</v>
      </c>
    </row>
    <row r="704" customFormat="false" ht="91" hidden="false" customHeight="false" outlineLevel="0" collapsed="false">
      <c r="A704" s="13" t="s">
        <v>2560</v>
      </c>
      <c r="B704" s="13" t="s">
        <v>2553</v>
      </c>
      <c r="C704" s="13" t="n">
        <v>3</v>
      </c>
      <c r="D704" s="13" t="s">
        <v>97</v>
      </c>
      <c r="E704" s="13" t="s">
        <v>1730</v>
      </c>
      <c r="F704" s="13" t="s">
        <v>215</v>
      </c>
      <c r="G704" s="13" t="s">
        <v>1732</v>
      </c>
      <c r="H704" s="13" t="s">
        <v>101</v>
      </c>
      <c r="I704" s="21" t="s">
        <v>2561</v>
      </c>
      <c r="J704" s="21" t="s">
        <v>2562</v>
      </c>
      <c r="K704" s="21" t="s">
        <v>2563</v>
      </c>
      <c r="L704" s="22" t="s">
        <v>36</v>
      </c>
      <c r="M704" s="21" t="s">
        <v>2564</v>
      </c>
      <c r="N704" s="13" t="s">
        <v>106</v>
      </c>
      <c r="O704" s="23" t="n">
        <v>10.22</v>
      </c>
      <c r="P704" s="13" t="n">
        <v>1</v>
      </c>
      <c r="Q704" s="24" t="n">
        <v>46310.7452777778</v>
      </c>
      <c r="R704" s="22" t="s">
        <v>36</v>
      </c>
      <c r="S704" s="13" t="s">
        <v>107</v>
      </c>
      <c r="T704" s="13" t="str">
        <f aca="false">IF(S704="Oui",IF(R704=L704,"Identique","Changé"),"")</f>
        <v>Identique</v>
      </c>
    </row>
    <row r="705" customFormat="false" ht="23.85" hidden="false" customHeight="false" outlineLevel="0" collapsed="false">
      <c r="A705" s="13" t="s">
        <v>2565</v>
      </c>
      <c r="B705" s="13" t="s">
        <v>2553</v>
      </c>
      <c r="C705" s="13" t="n">
        <v>4</v>
      </c>
      <c r="D705" s="13" t="s">
        <v>97</v>
      </c>
      <c r="E705" s="13" t="s">
        <v>570</v>
      </c>
      <c r="F705" s="13" t="s">
        <v>215</v>
      </c>
      <c r="G705" s="13" t="s">
        <v>1794</v>
      </c>
      <c r="H705" s="13" t="s">
        <v>101</v>
      </c>
      <c r="I705" s="21" t="s">
        <v>2566</v>
      </c>
      <c r="J705" s="21" t="s">
        <v>2567</v>
      </c>
      <c r="K705" s="21" t="s">
        <v>2568</v>
      </c>
      <c r="L705" s="22" t="s">
        <v>38</v>
      </c>
      <c r="M705" s="21" t="s">
        <v>1822</v>
      </c>
      <c r="N705" s="13" t="s">
        <v>106</v>
      </c>
      <c r="O705" s="23" t="n">
        <v>13.78</v>
      </c>
      <c r="P705" s="13" t="n">
        <v>1</v>
      </c>
      <c r="Q705" s="24" t="n">
        <v>46310.7455555556</v>
      </c>
      <c r="R705" s="22" t="s">
        <v>38</v>
      </c>
      <c r="S705" s="13" t="s">
        <v>107</v>
      </c>
      <c r="T705" s="13" t="str">
        <f aca="false">IF(S705="Oui",IF(R705=L705,"Identique","Changé"),"")</f>
        <v>Identique</v>
      </c>
    </row>
    <row r="706" customFormat="false" ht="23.85" hidden="false" customHeight="false" outlineLevel="0" collapsed="false">
      <c r="A706" s="13" t="s">
        <v>2569</v>
      </c>
      <c r="B706" s="13" t="s">
        <v>2553</v>
      </c>
      <c r="C706" s="13" t="n">
        <v>5</v>
      </c>
      <c r="D706" s="13" t="s">
        <v>97</v>
      </c>
      <c r="E706" s="13" t="s">
        <v>570</v>
      </c>
      <c r="F706" s="13" t="s">
        <v>215</v>
      </c>
      <c r="G706" s="13" t="s">
        <v>1785</v>
      </c>
      <c r="H706" s="13" t="s">
        <v>101</v>
      </c>
      <c r="I706" s="21" t="s">
        <v>2570</v>
      </c>
      <c r="J706" s="21" t="s">
        <v>2571</v>
      </c>
      <c r="K706" s="21" t="s">
        <v>2572</v>
      </c>
      <c r="L706" s="22" t="s">
        <v>36</v>
      </c>
      <c r="M706" s="21" t="s">
        <v>235</v>
      </c>
      <c r="N706" s="13" t="s">
        <v>106</v>
      </c>
      <c r="O706" s="23" t="n">
        <v>10.22</v>
      </c>
      <c r="P706" s="13" t="n">
        <v>1</v>
      </c>
      <c r="Q706" s="24" t="n">
        <v>46310.745787037</v>
      </c>
      <c r="R706" s="22" t="s">
        <v>36</v>
      </c>
      <c r="S706" s="13" t="s">
        <v>107</v>
      </c>
      <c r="T706" s="13" t="str">
        <f aca="false">IF(S706="Oui",IF(R706=L706,"Identique","Changé"),"")</f>
        <v>Identique</v>
      </c>
    </row>
    <row r="707" customFormat="false" ht="23.85" hidden="false" customHeight="false" outlineLevel="0" collapsed="false">
      <c r="A707" s="13" t="s">
        <v>2573</v>
      </c>
      <c r="B707" s="13" t="s">
        <v>2574</v>
      </c>
      <c r="C707" s="13" t="n">
        <v>1</v>
      </c>
      <c r="D707" s="13" t="s">
        <v>135</v>
      </c>
      <c r="E707" s="13" t="s">
        <v>122</v>
      </c>
      <c r="F707" s="13" t="s">
        <v>2575</v>
      </c>
      <c r="G707" s="13" t="s">
        <v>123</v>
      </c>
      <c r="H707" s="13" t="s">
        <v>101</v>
      </c>
      <c r="I707" s="21" t="s">
        <v>2576</v>
      </c>
      <c r="J707" s="21" t="s">
        <v>125</v>
      </c>
      <c r="K707" s="21" t="s">
        <v>1105</v>
      </c>
      <c r="L707" s="22" t="s">
        <v>37</v>
      </c>
      <c r="M707" s="21" t="s">
        <v>163</v>
      </c>
      <c r="N707" s="13" t="s">
        <v>106</v>
      </c>
      <c r="O707" s="23" t="n">
        <v>20.49</v>
      </c>
      <c r="P707" s="13" t="n">
        <v>1</v>
      </c>
      <c r="Q707" s="24" t="n">
        <v>46310.7461921296</v>
      </c>
      <c r="R707" s="22" t="s">
        <v>36</v>
      </c>
      <c r="S707" s="13" t="s">
        <v>107</v>
      </c>
      <c r="T707" s="13" t="str">
        <f aca="false">IF(S707="Oui",IF(R707=L707,"Identique","Changé"),"")</f>
        <v>Changé</v>
      </c>
    </row>
    <row r="708" customFormat="false" ht="15" hidden="false" customHeight="false" outlineLevel="0" collapsed="false">
      <c r="A708" s="13" t="s">
        <v>2577</v>
      </c>
      <c r="B708" s="13" t="s">
        <v>2574</v>
      </c>
      <c r="C708" s="13" t="n">
        <v>2</v>
      </c>
      <c r="D708" s="13" t="s">
        <v>135</v>
      </c>
      <c r="E708" s="13" t="s">
        <v>570</v>
      </c>
      <c r="F708" s="13" t="s">
        <v>2575</v>
      </c>
      <c r="G708" s="13" t="s">
        <v>1790</v>
      </c>
      <c r="H708" s="13" t="s">
        <v>101</v>
      </c>
      <c r="I708" s="21" t="s">
        <v>2578</v>
      </c>
      <c r="J708" s="21" t="s">
        <v>512</v>
      </c>
      <c r="K708" s="21" t="s">
        <v>1105</v>
      </c>
      <c r="L708" s="22" t="s">
        <v>37</v>
      </c>
      <c r="M708" s="21" t="s">
        <v>163</v>
      </c>
      <c r="N708" s="13" t="s">
        <v>106</v>
      </c>
      <c r="O708" s="23" t="n">
        <v>10.9</v>
      </c>
      <c r="P708" s="13" t="n">
        <v>1</v>
      </c>
      <c r="Q708" s="24" t="n">
        <v>46310.7464351852</v>
      </c>
      <c r="R708" s="22" t="s">
        <v>36</v>
      </c>
      <c r="S708" s="13" t="s">
        <v>107</v>
      </c>
      <c r="T708" s="13" t="str">
        <f aca="false">IF(S708="Oui",IF(R708=L708,"Identique","Changé"),"")</f>
        <v>Changé</v>
      </c>
    </row>
    <row r="709" customFormat="false" ht="46.25" hidden="false" customHeight="false" outlineLevel="0" collapsed="false">
      <c r="A709" s="13" t="s">
        <v>2579</v>
      </c>
      <c r="B709" s="13" t="s">
        <v>2574</v>
      </c>
      <c r="C709" s="13" t="n">
        <v>3</v>
      </c>
      <c r="D709" s="13" t="s">
        <v>135</v>
      </c>
      <c r="E709" s="13" t="s">
        <v>98</v>
      </c>
      <c r="F709" s="13" t="s">
        <v>2580</v>
      </c>
      <c r="G709" s="13" t="s">
        <v>181</v>
      </c>
      <c r="H709" s="13" t="s">
        <v>152</v>
      </c>
      <c r="I709" s="21" t="s">
        <v>2581</v>
      </c>
      <c r="J709" s="21" t="s">
        <v>154</v>
      </c>
      <c r="K709" s="21" t="s">
        <v>2582</v>
      </c>
      <c r="L709" s="22" t="s">
        <v>40</v>
      </c>
      <c r="M709" s="21" t="s">
        <v>156</v>
      </c>
      <c r="N709" s="13" t="s">
        <v>106</v>
      </c>
      <c r="O709" s="23" t="n">
        <v>27.31</v>
      </c>
      <c r="P709" s="13" t="n">
        <v>1</v>
      </c>
      <c r="Q709" s="24" t="n">
        <v>46310.746875</v>
      </c>
      <c r="R709" s="22" t="s">
        <v>40</v>
      </c>
      <c r="S709" s="13" t="s">
        <v>107</v>
      </c>
      <c r="T709" s="13" t="str">
        <f aca="false">IF(S709="Oui",IF(R709=L709,"Identique","Changé"),"")</f>
        <v>Identique</v>
      </c>
    </row>
    <row r="710" customFormat="false" ht="35.05" hidden="false" customHeight="false" outlineLevel="0" collapsed="false">
      <c r="A710" s="13" t="s">
        <v>2583</v>
      </c>
      <c r="B710" s="13" t="s">
        <v>2574</v>
      </c>
      <c r="C710" s="13" t="n">
        <v>4</v>
      </c>
      <c r="D710" s="13" t="s">
        <v>135</v>
      </c>
      <c r="E710" s="13" t="s">
        <v>570</v>
      </c>
      <c r="F710" s="13" t="s">
        <v>2580</v>
      </c>
      <c r="G710" s="13" t="s">
        <v>1739</v>
      </c>
      <c r="H710" s="13" t="s">
        <v>101</v>
      </c>
      <c r="I710" s="21" t="s">
        <v>2584</v>
      </c>
      <c r="J710" s="21" t="s">
        <v>1765</v>
      </c>
      <c r="K710" s="21" t="s">
        <v>2585</v>
      </c>
      <c r="L710" s="22" t="s">
        <v>36</v>
      </c>
      <c r="M710" s="21" t="s">
        <v>235</v>
      </c>
      <c r="N710" s="13" t="s">
        <v>106</v>
      </c>
      <c r="O710" s="23" t="n">
        <v>12.25</v>
      </c>
      <c r="P710" s="13" t="n">
        <v>1</v>
      </c>
      <c r="Q710" s="24" t="n">
        <v>46310.7471412037</v>
      </c>
      <c r="R710" s="22"/>
      <c r="S710" s="13" t="s">
        <v>164</v>
      </c>
      <c r="T710" s="13" t="str">
        <f aca="false">IF(S710="Oui",IF(R710=L710,"Identique","Changé"),"")</f>
        <v/>
      </c>
    </row>
    <row r="711" customFormat="false" ht="35.05" hidden="false" customHeight="false" outlineLevel="0" collapsed="false">
      <c r="A711" s="13" t="s">
        <v>2586</v>
      </c>
      <c r="B711" s="13" t="s">
        <v>2574</v>
      </c>
      <c r="C711" s="13" t="n">
        <v>5</v>
      </c>
      <c r="D711" s="13" t="s">
        <v>135</v>
      </c>
      <c r="E711" s="13" t="s">
        <v>570</v>
      </c>
      <c r="F711" s="13" t="s">
        <v>2575</v>
      </c>
      <c r="G711" s="13" t="s">
        <v>1758</v>
      </c>
      <c r="H711" s="13" t="s">
        <v>101</v>
      </c>
      <c r="I711" s="21" t="s">
        <v>2587</v>
      </c>
      <c r="J711" s="21" t="s">
        <v>2588</v>
      </c>
      <c r="K711" s="21" t="s">
        <v>2589</v>
      </c>
      <c r="L711" s="22" t="s">
        <v>36</v>
      </c>
      <c r="M711" s="21" t="s">
        <v>235</v>
      </c>
      <c r="N711" s="13" t="s">
        <v>106</v>
      </c>
      <c r="O711" s="23" t="n">
        <v>15.02</v>
      </c>
      <c r="P711" s="13" t="n">
        <v>1</v>
      </c>
      <c r="Q711" s="24" t="n">
        <v>46310.7474652778</v>
      </c>
      <c r="R711" s="22"/>
      <c r="S711" s="13" t="s">
        <v>164</v>
      </c>
      <c r="T711" s="13" t="str">
        <f aca="false">IF(S711="Oui",IF(R711=L711,"Identique","Changé"),"")</f>
        <v/>
      </c>
    </row>
    <row r="712" customFormat="false" ht="57.45" hidden="false" customHeight="false" outlineLevel="0" collapsed="false">
      <c r="A712" s="13" t="s">
        <v>2590</v>
      </c>
      <c r="B712" s="13" t="s">
        <v>2591</v>
      </c>
      <c r="C712" s="13" t="n">
        <v>1</v>
      </c>
      <c r="D712" s="13" t="s">
        <v>97</v>
      </c>
      <c r="E712" s="13" t="s">
        <v>570</v>
      </c>
      <c r="F712" s="13" t="s">
        <v>728</v>
      </c>
      <c r="G712" s="13" t="s">
        <v>1780</v>
      </c>
      <c r="H712" s="13" t="s">
        <v>101</v>
      </c>
      <c r="I712" s="21" t="s">
        <v>2592</v>
      </c>
      <c r="J712" s="21" t="s">
        <v>284</v>
      </c>
      <c r="K712" s="21" t="s">
        <v>2593</v>
      </c>
      <c r="L712" s="22" t="s">
        <v>36</v>
      </c>
      <c r="M712" s="21" t="s">
        <v>120</v>
      </c>
      <c r="N712" s="13" t="s">
        <v>106</v>
      </c>
      <c r="O712" s="23" t="n">
        <v>31.88</v>
      </c>
      <c r="P712" s="13" t="n">
        <v>1</v>
      </c>
      <c r="Q712" s="24" t="n">
        <v>46310.7481712963</v>
      </c>
      <c r="R712" s="22" t="s">
        <v>36</v>
      </c>
      <c r="S712" s="13" t="s">
        <v>107</v>
      </c>
      <c r="T712" s="13" t="str">
        <f aca="false">IF(S712="Oui",IF(R712=L712,"Identique","Changé"),"")</f>
        <v>Identique</v>
      </c>
    </row>
    <row r="713" customFormat="false" ht="46.25" hidden="false" customHeight="false" outlineLevel="0" collapsed="false">
      <c r="A713" s="13" t="s">
        <v>2594</v>
      </c>
      <c r="B713" s="13" t="s">
        <v>2591</v>
      </c>
      <c r="C713" s="13" t="n">
        <v>2</v>
      </c>
      <c r="D713" s="13" t="s">
        <v>97</v>
      </c>
      <c r="E713" s="13" t="s">
        <v>570</v>
      </c>
      <c r="F713" s="13" t="s">
        <v>728</v>
      </c>
      <c r="G713" s="13" t="s">
        <v>1775</v>
      </c>
      <c r="H713" s="13" t="s">
        <v>101</v>
      </c>
      <c r="I713" s="21" t="s">
        <v>2595</v>
      </c>
      <c r="J713" s="21" t="s">
        <v>1777</v>
      </c>
      <c r="K713" s="21" t="s">
        <v>2596</v>
      </c>
      <c r="L713" s="22" t="s">
        <v>36</v>
      </c>
      <c r="M713" s="21" t="s">
        <v>120</v>
      </c>
      <c r="N713" s="13" t="s">
        <v>106</v>
      </c>
      <c r="O713" s="23" t="n">
        <v>12.73</v>
      </c>
      <c r="P713" s="13" t="n">
        <v>1</v>
      </c>
      <c r="Q713" s="24" t="n">
        <v>46310.7484375</v>
      </c>
      <c r="R713" s="22" t="s">
        <v>36</v>
      </c>
      <c r="S713" s="13" t="s">
        <v>107</v>
      </c>
      <c r="T713" s="13" t="str">
        <f aca="false">IF(S713="Oui",IF(R713=L713,"Identique","Changé"),"")</f>
        <v>Identique</v>
      </c>
    </row>
    <row r="714" customFormat="false" ht="202.95" hidden="false" customHeight="false" outlineLevel="0" collapsed="false">
      <c r="A714" s="13" t="s">
        <v>2597</v>
      </c>
      <c r="B714" s="13" t="s">
        <v>2591</v>
      </c>
      <c r="C714" s="13" t="n">
        <v>3</v>
      </c>
      <c r="D714" s="13" t="s">
        <v>97</v>
      </c>
      <c r="E714" s="13" t="s">
        <v>1730</v>
      </c>
      <c r="F714" s="13" t="s">
        <v>728</v>
      </c>
      <c r="G714" s="13" t="s">
        <v>1753</v>
      </c>
      <c r="H714" s="13" t="s">
        <v>101</v>
      </c>
      <c r="I714" s="21" t="s">
        <v>2598</v>
      </c>
      <c r="J714" s="21" t="s">
        <v>2599</v>
      </c>
      <c r="K714" s="21" t="s">
        <v>2600</v>
      </c>
      <c r="L714" s="22" t="s">
        <v>36</v>
      </c>
      <c r="M714" s="21" t="s">
        <v>120</v>
      </c>
      <c r="N714" s="13" t="s">
        <v>106</v>
      </c>
      <c r="O714" s="23" t="n">
        <v>13.23</v>
      </c>
      <c r="P714" s="13" t="n">
        <v>1</v>
      </c>
      <c r="Q714" s="24" t="n">
        <v>46310.7487152778</v>
      </c>
      <c r="R714" s="22" t="s">
        <v>36</v>
      </c>
      <c r="S714" s="13" t="s">
        <v>107</v>
      </c>
      <c r="T714" s="13" t="str">
        <f aca="false">IF(S714="Oui",IF(R714=L714,"Identique","Changé"),"")</f>
        <v>Identique</v>
      </c>
    </row>
    <row r="715" customFormat="false" ht="35.05" hidden="false" customHeight="false" outlineLevel="0" collapsed="false">
      <c r="A715" s="13" t="s">
        <v>2601</v>
      </c>
      <c r="B715" s="13" t="s">
        <v>2591</v>
      </c>
      <c r="C715" s="13" t="n">
        <v>4</v>
      </c>
      <c r="D715" s="13" t="s">
        <v>97</v>
      </c>
      <c r="E715" s="13" t="s">
        <v>114</v>
      </c>
      <c r="F715" s="13" t="s">
        <v>728</v>
      </c>
      <c r="G715" s="13" t="s">
        <v>1887</v>
      </c>
      <c r="H715" s="13" t="s">
        <v>101</v>
      </c>
      <c r="I715" s="21" t="s">
        <v>2602</v>
      </c>
      <c r="J715" s="21" t="s">
        <v>512</v>
      </c>
      <c r="K715" s="21" t="s">
        <v>2603</v>
      </c>
      <c r="L715" s="22" t="s">
        <v>36</v>
      </c>
      <c r="M715" s="21" t="s">
        <v>120</v>
      </c>
      <c r="N715" s="13" t="s">
        <v>106</v>
      </c>
      <c r="O715" s="23" t="n">
        <v>24.49</v>
      </c>
      <c r="P715" s="13" t="n">
        <v>1</v>
      </c>
      <c r="Q715" s="24" t="n">
        <v>46310.7491550926</v>
      </c>
      <c r="R715" s="22" t="s">
        <v>36</v>
      </c>
      <c r="S715" s="13" t="s">
        <v>107</v>
      </c>
      <c r="T715" s="13" t="str">
        <f aca="false">IF(S715="Oui",IF(R715=L715,"Identique","Changé"),"")</f>
        <v>Identique</v>
      </c>
    </row>
    <row r="716" customFormat="false" ht="46.25" hidden="false" customHeight="false" outlineLevel="0" collapsed="false">
      <c r="A716" s="13" t="s">
        <v>2604</v>
      </c>
      <c r="B716" s="13" t="s">
        <v>2591</v>
      </c>
      <c r="C716" s="13" t="n">
        <v>5</v>
      </c>
      <c r="D716" s="13" t="s">
        <v>97</v>
      </c>
      <c r="E716" s="13" t="s">
        <v>570</v>
      </c>
      <c r="F716" s="13" t="s">
        <v>728</v>
      </c>
      <c r="G716" s="13" t="s">
        <v>1805</v>
      </c>
      <c r="H716" s="13" t="s">
        <v>101</v>
      </c>
      <c r="I716" s="21" t="s">
        <v>2605</v>
      </c>
      <c r="J716" s="21" t="s">
        <v>284</v>
      </c>
      <c r="K716" s="21" t="s">
        <v>2606</v>
      </c>
      <c r="L716" s="22" t="s">
        <v>36</v>
      </c>
      <c r="M716" s="21" t="s">
        <v>120</v>
      </c>
      <c r="N716" s="13" t="s">
        <v>106</v>
      </c>
      <c r="O716" s="23" t="n">
        <v>50.23</v>
      </c>
      <c r="P716" s="13" t="n">
        <v>1</v>
      </c>
      <c r="Q716" s="24" t="n">
        <v>46310.7501967593</v>
      </c>
      <c r="R716" s="22" t="s">
        <v>36</v>
      </c>
      <c r="S716" s="13" t="s">
        <v>107</v>
      </c>
      <c r="T716" s="13" t="str">
        <f aca="false">IF(S716="Oui",IF(R716=L716,"Identique","Changé"),"")</f>
        <v>Identique</v>
      </c>
    </row>
    <row r="717" customFormat="false" ht="23.85" hidden="false" customHeight="false" outlineLevel="0" collapsed="false">
      <c r="A717" s="13" t="s">
        <v>2607</v>
      </c>
      <c r="B717" s="13" t="s">
        <v>2608</v>
      </c>
      <c r="C717" s="13" t="n">
        <v>1</v>
      </c>
      <c r="D717" s="13" t="s">
        <v>135</v>
      </c>
      <c r="E717" s="13" t="s">
        <v>98</v>
      </c>
      <c r="F717" s="13" t="s">
        <v>2609</v>
      </c>
      <c r="G717" s="13" t="s">
        <v>2487</v>
      </c>
      <c r="H717" s="13" t="s">
        <v>101</v>
      </c>
      <c r="I717" s="21" t="s">
        <v>2610</v>
      </c>
      <c r="J717" s="21" t="s">
        <v>2611</v>
      </c>
      <c r="K717" s="21" t="s">
        <v>2612</v>
      </c>
      <c r="L717" s="22" t="s">
        <v>36</v>
      </c>
      <c r="M717" s="21" t="s">
        <v>427</v>
      </c>
      <c r="N717" s="13" t="s">
        <v>106</v>
      </c>
      <c r="O717" s="23" t="n">
        <v>65.47</v>
      </c>
      <c r="P717" s="13" t="n">
        <v>1</v>
      </c>
      <c r="Q717" s="24" t="n">
        <v>46310.7511226852</v>
      </c>
      <c r="R717" s="22" t="s">
        <v>36</v>
      </c>
      <c r="S717" s="13" t="s">
        <v>107</v>
      </c>
      <c r="T717" s="13" t="str">
        <f aca="false">IF(S717="Oui",IF(R717=L717,"Identique","Changé"),"")</f>
        <v>Identique</v>
      </c>
    </row>
    <row r="718" customFormat="false" ht="46.25" hidden="false" customHeight="false" outlineLevel="0" collapsed="false">
      <c r="A718" s="13" t="s">
        <v>2613</v>
      </c>
      <c r="B718" s="13" t="s">
        <v>2608</v>
      </c>
      <c r="C718" s="13" t="n">
        <v>2</v>
      </c>
      <c r="D718" s="13" t="s">
        <v>135</v>
      </c>
      <c r="E718" s="13" t="s">
        <v>570</v>
      </c>
      <c r="F718" s="13" t="s">
        <v>2609</v>
      </c>
      <c r="G718" s="13" t="s">
        <v>1739</v>
      </c>
      <c r="H718" s="13" t="s">
        <v>101</v>
      </c>
      <c r="I718" s="21" t="s">
        <v>2614</v>
      </c>
      <c r="J718" s="21" t="s">
        <v>178</v>
      </c>
      <c r="K718" s="21" t="s">
        <v>2615</v>
      </c>
      <c r="L718" s="22" t="s">
        <v>36</v>
      </c>
      <c r="M718" s="21" t="s">
        <v>235</v>
      </c>
      <c r="N718" s="13" t="s">
        <v>106</v>
      </c>
      <c r="O718" s="23" t="n">
        <v>10.23</v>
      </c>
      <c r="P718" s="13" t="n">
        <v>1</v>
      </c>
      <c r="Q718" s="24" t="n">
        <v>46310.7513657407</v>
      </c>
      <c r="R718" s="22" t="s">
        <v>36</v>
      </c>
      <c r="S718" s="13" t="s">
        <v>107</v>
      </c>
      <c r="T718" s="13" t="str">
        <f aca="false">IF(S718="Oui",IF(R718=L718,"Identique","Changé"),"")</f>
        <v>Identique</v>
      </c>
    </row>
    <row r="719" customFormat="false" ht="46.25" hidden="false" customHeight="false" outlineLevel="0" collapsed="false">
      <c r="A719" s="13" t="s">
        <v>2616</v>
      </c>
      <c r="B719" s="13" t="s">
        <v>2608</v>
      </c>
      <c r="C719" s="13" t="n">
        <v>3</v>
      </c>
      <c r="D719" s="13" t="s">
        <v>135</v>
      </c>
      <c r="E719" s="13" t="s">
        <v>570</v>
      </c>
      <c r="F719" s="13" t="s">
        <v>2617</v>
      </c>
      <c r="G719" s="13" t="s">
        <v>1805</v>
      </c>
      <c r="H719" s="13" t="s">
        <v>101</v>
      </c>
      <c r="I719" s="21" t="s">
        <v>2618</v>
      </c>
      <c r="J719" s="21" t="s">
        <v>284</v>
      </c>
      <c r="K719" s="21" t="s">
        <v>2619</v>
      </c>
      <c r="L719" s="22" t="s">
        <v>36</v>
      </c>
      <c r="M719" s="21" t="s">
        <v>120</v>
      </c>
      <c r="N719" s="13" t="s">
        <v>106</v>
      </c>
      <c r="O719" s="23" t="n">
        <v>11.51</v>
      </c>
      <c r="P719" s="13" t="n">
        <v>1</v>
      </c>
      <c r="Q719" s="24" t="n">
        <v>46310.7516203704</v>
      </c>
      <c r="R719" s="22" t="s">
        <v>36</v>
      </c>
      <c r="S719" s="13" t="s">
        <v>107</v>
      </c>
      <c r="T719" s="13" t="str">
        <f aca="false">IF(S719="Oui",IF(R719=L719,"Identique","Changé"),"")</f>
        <v>Identique</v>
      </c>
    </row>
    <row r="720" customFormat="false" ht="46.25" hidden="false" customHeight="false" outlineLevel="0" collapsed="false">
      <c r="A720" s="13" t="s">
        <v>2620</v>
      </c>
      <c r="B720" s="13" t="s">
        <v>2608</v>
      </c>
      <c r="C720" s="13" t="n">
        <v>4</v>
      </c>
      <c r="D720" s="13" t="s">
        <v>135</v>
      </c>
      <c r="E720" s="13" t="s">
        <v>185</v>
      </c>
      <c r="F720" s="13" t="s">
        <v>2617</v>
      </c>
      <c r="G720" s="13" t="s">
        <v>380</v>
      </c>
      <c r="H720" s="13" t="s">
        <v>152</v>
      </c>
      <c r="I720" s="21" t="s">
        <v>2621</v>
      </c>
      <c r="J720" s="21" t="s">
        <v>154</v>
      </c>
      <c r="K720" s="21" t="s">
        <v>2622</v>
      </c>
      <c r="L720" s="22" t="s">
        <v>40</v>
      </c>
      <c r="M720" s="21" t="s">
        <v>156</v>
      </c>
      <c r="N720" s="13" t="s">
        <v>106</v>
      </c>
      <c r="O720" s="23" t="n">
        <v>12.34</v>
      </c>
      <c r="P720" s="13" t="n">
        <v>1</v>
      </c>
      <c r="Q720" s="24" t="n">
        <v>46310.7518865741</v>
      </c>
      <c r="R720" s="22" t="s">
        <v>40</v>
      </c>
      <c r="S720" s="13" t="s">
        <v>107</v>
      </c>
      <c r="T720" s="13" t="str">
        <f aca="false">IF(S720="Oui",IF(R720=L720,"Identique","Changé"),"")</f>
        <v>Identique</v>
      </c>
    </row>
    <row r="721" customFormat="false" ht="46.25" hidden="false" customHeight="false" outlineLevel="0" collapsed="false">
      <c r="A721" s="13" t="s">
        <v>2623</v>
      </c>
      <c r="B721" s="13" t="s">
        <v>2608</v>
      </c>
      <c r="C721" s="13" t="n">
        <v>5</v>
      </c>
      <c r="D721" s="13" t="s">
        <v>135</v>
      </c>
      <c r="E721" s="13" t="s">
        <v>570</v>
      </c>
      <c r="F721" s="13" t="s">
        <v>2609</v>
      </c>
      <c r="G721" s="13" t="s">
        <v>1859</v>
      </c>
      <c r="H721" s="13" t="s">
        <v>101</v>
      </c>
      <c r="I721" s="21" t="s">
        <v>2624</v>
      </c>
      <c r="J721" s="21" t="s">
        <v>178</v>
      </c>
      <c r="K721" s="21" t="s">
        <v>2625</v>
      </c>
      <c r="L721" s="22" t="s">
        <v>36</v>
      </c>
      <c r="M721" s="21" t="s">
        <v>235</v>
      </c>
      <c r="N721" s="13" t="s">
        <v>106</v>
      </c>
      <c r="O721" s="23" t="n">
        <v>9.26</v>
      </c>
      <c r="P721" s="13" t="n">
        <v>1</v>
      </c>
      <c r="Q721" s="24" t="n">
        <v>46310.7521180556</v>
      </c>
      <c r="R721" s="22" t="s">
        <v>36</v>
      </c>
      <c r="S721" s="13" t="s">
        <v>107</v>
      </c>
      <c r="T721" s="13" t="str">
        <f aca="false">IF(S721="Oui",IF(R721=L721,"Identique","Changé"),"")</f>
        <v>Identique</v>
      </c>
    </row>
    <row r="722" customFormat="false" ht="68.65" hidden="false" customHeight="false" outlineLevel="0" collapsed="false">
      <c r="A722" s="13" t="s">
        <v>2626</v>
      </c>
      <c r="B722" s="13" t="s">
        <v>2627</v>
      </c>
      <c r="C722" s="13" t="n">
        <v>1</v>
      </c>
      <c r="D722" s="13" t="s">
        <v>97</v>
      </c>
      <c r="E722" s="13" t="s">
        <v>570</v>
      </c>
      <c r="F722" s="13" t="s">
        <v>256</v>
      </c>
      <c r="G722" s="13" t="s">
        <v>1800</v>
      </c>
      <c r="H722" s="13" t="s">
        <v>101</v>
      </c>
      <c r="I722" s="21" t="s">
        <v>2628</v>
      </c>
      <c r="J722" s="21" t="s">
        <v>1741</v>
      </c>
      <c r="K722" s="21" t="s">
        <v>2629</v>
      </c>
      <c r="L722" s="22" t="s">
        <v>36</v>
      </c>
      <c r="M722" s="21" t="s">
        <v>235</v>
      </c>
      <c r="N722" s="13" t="s">
        <v>106</v>
      </c>
      <c r="O722" s="23" t="n">
        <v>32.08</v>
      </c>
      <c r="P722" s="13" t="n">
        <v>1</v>
      </c>
      <c r="Q722" s="24" t="n">
        <v>46310.7526851852</v>
      </c>
      <c r="R722" s="22" t="s">
        <v>36</v>
      </c>
      <c r="S722" s="13" t="s">
        <v>107</v>
      </c>
      <c r="T722" s="13" t="str">
        <f aca="false">IF(S722="Oui",IF(R722=L722,"Identique","Changé"),"")</f>
        <v>Identique</v>
      </c>
    </row>
    <row r="723" customFormat="false" ht="79.85" hidden="false" customHeight="false" outlineLevel="0" collapsed="false">
      <c r="A723" s="13" t="s">
        <v>2630</v>
      </c>
      <c r="B723" s="13" t="s">
        <v>2627</v>
      </c>
      <c r="C723" s="13" t="n">
        <v>2</v>
      </c>
      <c r="D723" s="13" t="s">
        <v>97</v>
      </c>
      <c r="E723" s="13" t="s">
        <v>122</v>
      </c>
      <c r="F723" s="13" t="s">
        <v>256</v>
      </c>
      <c r="G723" s="13" t="s">
        <v>1905</v>
      </c>
      <c r="H723" s="13" t="s">
        <v>101</v>
      </c>
      <c r="I723" s="21" t="s">
        <v>2631</v>
      </c>
      <c r="J723" s="21" t="s">
        <v>284</v>
      </c>
      <c r="K723" s="21" t="s">
        <v>2632</v>
      </c>
      <c r="L723" s="22" t="s">
        <v>38</v>
      </c>
      <c r="M723" s="21" t="s">
        <v>2633</v>
      </c>
      <c r="N723" s="13" t="s">
        <v>1085</v>
      </c>
      <c r="O723" s="23" t="n">
        <v>19.97</v>
      </c>
      <c r="P723" s="13" t="n">
        <v>1</v>
      </c>
      <c r="Q723" s="24" t="n">
        <v>46310.7530324074</v>
      </c>
      <c r="R723" s="22" t="s">
        <v>36</v>
      </c>
      <c r="S723" s="13" t="s">
        <v>107</v>
      </c>
      <c r="T723" s="13" t="str">
        <f aca="false">IF(S723="Oui",IF(R723=L723,"Identique","Changé"),"")</f>
        <v>Changé</v>
      </c>
    </row>
    <row r="724" customFormat="false" ht="79.85" hidden="false" customHeight="false" outlineLevel="0" collapsed="false">
      <c r="A724" s="13" t="s">
        <v>2634</v>
      </c>
      <c r="B724" s="13" t="s">
        <v>2627</v>
      </c>
      <c r="C724" s="13" t="n">
        <v>3</v>
      </c>
      <c r="D724" s="13" t="s">
        <v>97</v>
      </c>
      <c r="E724" s="13" t="s">
        <v>570</v>
      </c>
      <c r="F724" s="13" t="s">
        <v>999</v>
      </c>
      <c r="G724" s="13" t="s">
        <v>1794</v>
      </c>
      <c r="H724" s="13" t="s">
        <v>101</v>
      </c>
      <c r="I724" s="21" t="s">
        <v>2635</v>
      </c>
      <c r="J724" s="21" t="s">
        <v>1829</v>
      </c>
      <c r="K724" s="21" t="s">
        <v>2636</v>
      </c>
      <c r="L724" s="22" t="s">
        <v>37</v>
      </c>
      <c r="M724" s="21" t="s">
        <v>163</v>
      </c>
      <c r="N724" s="13" t="s">
        <v>106</v>
      </c>
      <c r="O724" s="23" t="n">
        <v>14.6</v>
      </c>
      <c r="P724" s="13" t="n">
        <v>1</v>
      </c>
      <c r="Q724" s="24" t="n">
        <v>46310.7533217593</v>
      </c>
      <c r="R724" s="22" t="s">
        <v>38</v>
      </c>
      <c r="S724" s="13" t="s">
        <v>107</v>
      </c>
      <c r="T724" s="13" t="str">
        <f aca="false">IF(S724="Oui",IF(R724=L724,"Identique","Changé"),"")</f>
        <v>Changé</v>
      </c>
    </row>
    <row r="725" customFormat="false" ht="57.45" hidden="false" customHeight="false" outlineLevel="0" collapsed="false">
      <c r="A725" s="13" t="s">
        <v>2637</v>
      </c>
      <c r="B725" s="13" t="s">
        <v>2627</v>
      </c>
      <c r="C725" s="13" t="n">
        <v>4</v>
      </c>
      <c r="D725" s="13" t="s">
        <v>97</v>
      </c>
      <c r="E725" s="13" t="s">
        <v>570</v>
      </c>
      <c r="F725" s="13" t="s">
        <v>999</v>
      </c>
      <c r="G725" s="13" t="s">
        <v>1775</v>
      </c>
      <c r="H725" s="13" t="s">
        <v>101</v>
      </c>
      <c r="I725" s="21" t="s">
        <v>2638</v>
      </c>
      <c r="J725" s="21" t="s">
        <v>1777</v>
      </c>
      <c r="K725" s="21" t="s">
        <v>2639</v>
      </c>
      <c r="L725" s="22" t="s">
        <v>36</v>
      </c>
      <c r="M725" s="21" t="s">
        <v>120</v>
      </c>
      <c r="N725" s="13" t="s">
        <v>106</v>
      </c>
      <c r="O725" s="23" t="n">
        <v>9.78</v>
      </c>
      <c r="P725" s="13" t="n">
        <v>1</v>
      </c>
      <c r="Q725" s="24" t="n">
        <v>46310.7535532407</v>
      </c>
      <c r="R725" s="22" t="s">
        <v>36</v>
      </c>
      <c r="S725" s="13" t="s">
        <v>107</v>
      </c>
      <c r="T725" s="13" t="str">
        <f aca="false">IF(S725="Oui",IF(R725=L725,"Identique","Changé"),"")</f>
        <v>Identique</v>
      </c>
    </row>
    <row r="726" customFormat="false" ht="57.45" hidden="false" customHeight="false" outlineLevel="0" collapsed="false">
      <c r="A726" s="13" t="s">
        <v>2640</v>
      </c>
      <c r="B726" s="13" t="s">
        <v>2627</v>
      </c>
      <c r="C726" s="13" t="n">
        <v>5</v>
      </c>
      <c r="D726" s="13" t="s">
        <v>97</v>
      </c>
      <c r="E726" s="13" t="s">
        <v>570</v>
      </c>
      <c r="F726" s="13" t="s">
        <v>256</v>
      </c>
      <c r="G726" s="13" t="s">
        <v>1785</v>
      </c>
      <c r="H726" s="13" t="s">
        <v>101</v>
      </c>
      <c r="I726" s="21" t="s">
        <v>2641</v>
      </c>
      <c r="J726" s="21" t="s">
        <v>2642</v>
      </c>
      <c r="K726" s="21" t="s">
        <v>2643</v>
      </c>
      <c r="L726" s="22" t="s">
        <v>36</v>
      </c>
      <c r="M726" s="21" t="s">
        <v>235</v>
      </c>
      <c r="N726" s="13" t="s">
        <v>106</v>
      </c>
      <c r="O726" s="23" t="n">
        <v>15.29</v>
      </c>
      <c r="P726" s="13" t="n">
        <v>1</v>
      </c>
      <c r="Q726" s="24" t="n">
        <v>46310.7538541667</v>
      </c>
      <c r="R726" s="22" t="s">
        <v>36</v>
      </c>
      <c r="S726" s="13" t="s">
        <v>107</v>
      </c>
      <c r="T726" s="13" t="str">
        <f aca="false">IF(S726="Oui",IF(R726=L726,"Identique","Changé"),"")</f>
        <v>Identique</v>
      </c>
    </row>
    <row r="727" customFormat="false" ht="46.25" hidden="false" customHeight="false" outlineLevel="0" collapsed="false">
      <c r="A727" s="13" t="s">
        <v>2644</v>
      </c>
      <c r="B727" s="13" t="s">
        <v>2645</v>
      </c>
      <c r="C727" s="13" t="n">
        <v>1</v>
      </c>
      <c r="D727" s="13" t="s">
        <v>135</v>
      </c>
      <c r="E727" s="13" t="s">
        <v>122</v>
      </c>
      <c r="F727" s="13" t="s">
        <v>2646</v>
      </c>
      <c r="G727" s="13" t="s">
        <v>1840</v>
      </c>
      <c r="H727" s="13" t="s">
        <v>101</v>
      </c>
      <c r="I727" s="21" t="s">
        <v>2647</v>
      </c>
      <c r="J727" s="21" t="s">
        <v>284</v>
      </c>
      <c r="K727" s="21" t="s">
        <v>2648</v>
      </c>
      <c r="L727" s="22" t="s">
        <v>38</v>
      </c>
      <c r="M727" s="21" t="s">
        <v>1843</v>
      </c>
      <c r="N727" s="13" t="s">
        <v>106</v>
      </c>
      <c r="O727" s="23" t="n">
        <v>51.64</v>
      </c>
      <c r="P727" s="13" t="n">
        <v>1</v>
      </c>
      <c r="Q727" s="24" t="n">
        <v>46310.7546296296</v>
      </c>
      <c r="R727" s="22" t="s">
        <v>36</v>
      </c>
      <c r="S727" s="13" t="s">
        <v>107</v>
      </c>
      <c r="T727" s="13" t="str">
        <f aca="false">IF(S727="Oui",IF(R727=L727,"Identique","Changé"),"")</f>
        <v>Changé</v>
      </c>
    </row>
    <row r="728" customFormat="false" ht="46.25" hidden="false" customHeight="false" outlineLevel="0" collapsed="false">
      <c r="A728" s="13" t="s">
        <v>2649</v>
      </c>
      <c r="B728" s="13" t="s">
        <v>2645</v>
      </c>
      <c r="C728" s="13" t="n">
        <v>2</v>
      </c>
      <c r="D728" s="13" t="s">
        <v>135</v>
      </c>
      <c r="E728" s="13" t="s">
        <v>570</v>
      </c>
      <c r="F728" s="13" t="s">
        <v>2646</v>
      </c>
      <c r="G728" s="13" t="s">
        <v>1758</v>
      </c>
      <c r="H728" s="13" t="s">
        <v>101</v>
      </c>
      <c r="I728" s="21" t="s">
        <v>2650</v>
      </c>
      <c r="J728" s="21" t="s">
        <v>1741</v>
      </c>
      <c r="K728" s="21" t="s">
        <v>2651</v>
      </c>
      <c r="L728" s="22" t="s">
        <v>36</v>
      </c>
      <c r="M728" s="21" t="s">
        <v>235</v>
      </c>
      <c r="N728" s="13" t="s">
        <v>106</v>
      </c>
      <c r="O728" s="23" t="n">
        <v>11.76</v>
      </c>
      <c r="P728" s="13" t="n">
        <v>1</v>
      </c>
      <c r="Q728" s="24" t="n">
        <v>46310.7548842593</v>
      </c>
      <c r="R728" s="22" t="s">
        <v>36</v>
      </c>
      <c r="S728" s="13" t="s">
        <v>107</v>
      </c>
      <c r="T728" s="13" t="str">
        <f aca="false">IF(S728="Oui",IF(R728=L728,"Identique","Changé"),"")</f>
        <v>Identique</v>
      </c>
    </row>
    <row r="729" customFormat="false" ht="35.05" hidden="false" customHeight="false" outlineLevel="0" collapsed="false">
      <c r="A729" s="13" t="s">
        <v>2652</v>
      </c>
      <c r="B729" s="13" t="s">
        <v>2645</v>
      </c>
      <c r="C729" s="13" t="n">
        <v>3</v>
      </c>
      <c r="D729" s="13" t="s">
        <v>135</v>
      </c>
      <c r="E729" s="13" t="s">
        <v>570</v>
      </c>
      <c r="F729" s="13" t="s">
        <v>2646</v>
      </c>
      <c r="G729" s="13" t="s">
        <v>1800</v>
      </c>
      <c r="H729" s="13" t="s">
        <v>101</v>
      </c>
      <c r="I729" s="21" t="s">
        <v>2653</v>
      </c>
      <c r="J729" s="21" t="s">
        <v>1741</v>
      </c>
      <c r="K729" s="21" t="s">
        <v>2654</v>
      </c>
      <c r="L729" s="22" t="s">
        <v>36</v>
      </c>
      <c r="M729" s="21" t="s">
        <v>235</v>
      </c>
      <c r="N729" s="13" t="s">
        <v>106</v>
      </c>
      <c r="O729" s="23" t="n">
        <v>11.05</v>
      </c>
      <c r="P729" s="13" t="n">
        <v>1</v>
      </c>
      <c r="Q729" s="24" t="n">
        <v>46310.7551388889</v>
      </c>
      <c r="R729" s="22" t="s">
        <v>37</v>
      </c>
      <c r="S729" s="13" t="s">
        <v>107</v>
      </c>
      <c r="T729" s="13" t="str">
        <f aca="false">IF(S729="Oui",IF(R729=L729,"Identique","Changé"),"")</f>
        <v>Changé</v>
      </c>
    </row>
    <row r="730" customFormat="false" ht="46.25" hidden="false" customHeight="false" outlineLevel="0" collapsed="false">
      <c r="A730" s="13" t="s">
        <v>2655</v>
      </c>
      <c r="B730" s="13" t="s">
        <v>2645</v>
      </c>
      <c r="C730" s="13" t="n">
        <v>4</v>
      </c>
      <c r="D730" s="13" t="s">
        <v>135</v>
      </c>
      <c r="E730" s="13" t="s">
        <v>570</v>
      </c>
      <c r="F730" s="13" t="s">
        <v>2646</v>
      </c>
      <c r="G730" s="13" t="s">
        <v>1780</v>
      </c>
      <c r="H730" s="13" t="s">
        <v>101</v>
      </c>
      <c r="I730" s="21" t="s">
        <v>2656</v>
      </c>
      <c r="J730" s="21" t="s">
        <v>284</v>
      </c>
      <c r="K730" s="21" t="s">
        <v>2657</v>
      </c>
      <c r="L730" s="22" t="s">
        <v>36</v>
      </c>
      <c r="M730" s="21" t="s">
        <v>120</v>
      </c>
      <c r="N730" s="13" t="s">
        <v>106</v>
      </c>
      <c r="O730" s="23" t="n">
        <v>12.46</v>
      </c>
      <c r="P730" s="13" t="n">
        <v>1</v>
      </c>
      <c r="Q730" s="24" t="n">
        <v>46310.7554050926</v>
      </c>
      <c r="R730" s="22" t="s">
        <v>36</v>
      </c>
      <c r="S730" s="13" t="s">
        <v>107</v>
      </c>
      <c r="T730" s="13" t="str">
        <f aca="false">IF(S730="Oui",IF(R730=L730,"Identique","Changé"),"")</f>
        <v>Identique</v>
      </c>
    </row>
    <row r="731" customFormat="false" ht="35.05" hidden="false" customHeight="false" outlineLevel="0" collapsed="false">
      <c r="A731" s="13" t="s">
        <v>2658</v>
      </c>
      <c r="B731" s="13" t="s">
        <v>2645</v>
      </c>
      <c r="C731" s="13" t="n">
        <v>5</v>
      </c>
      <c r="D731" s="13" t="s">
        <v>135</v>
      </c>
      <c r="E731" s="13" t="s">
        <v>570</v>
      </c>
      <c r="F731" s="13" t="s">
        <v>2646</v>
      </c>
      <c r="G731" s="13" t="s">
        <v>1790</v>
      </c>
      <c r="H731" s="13" t="s">
        <v>101</v>
      </c>
      <c r="I731" s="21" t="s">
        <v>2659</v>
      </c>
      <c r="J731" s="21" t="s">
        <v>512</v>
      </c>
      <c r="K731" s="21" t="s">
        <v>2660</v>
      </c>
      <c r="L731" s="22" t="s">
        <v>36</v>
      </c>
      <c r="M731" s="21" t="s">
        <v>120</v>
      </c>
      <c r="N731" s="13" t="s">
        <v>106</v>
      </c>
      <c r="O731" s="23" t="n">
        <v>13.09</v>
      </c>
      <c r="P731" s="13" t="n">
        <v>1</v>
      </c>
      <c r="Q731" s="24" t="n">
        <v>46310.7556828704</v>
      </c>
      <c r="R731" s="22" t="s">
        <v>36</v>
      </c>
      <c r="S731" s="13" t="s">
        <v>107</v>
      </c>
      <c r="T731" s="13" t="str">
        <f aca="false">IF(S731="Oui",IF(R731=L731,"Identique","Changé"),"")</f>
        <v>Identique</v>
      </c>
    </row>
    <row r="732" customFormat="false" ht="113.4" hidden="false" customHeight="false" outlineLevel="0" collapsed="false">
      <c r="A732" s="13" t="s">
        <v>2661</v>
      </c>
      <c r="B732" s="13" t="s">
        <v>2662</v>
      </c>
      <c r="C732" s="13" t="n">
        <v>1</v>
      </c>
      <c r="D732" s="13" t="s">
        <v>97</v>
      </c>
      <c r="E732" s="13" t="s">
        <v>260</v>
      </c>
      <c r="F732" s="13" t="s">
        <v>816</v>
      </c>
      <c r="G732" s="13" t="s">
        <v>1897</v>
      </c>
      <c r="H732" s="13" t="s">
        <v>101</v>
      </c>
      <c r="I732" s="21" t="s">
        <v>2663</v>
      </c>
      <c r="J732" s="21" t="s">
        <v>1899</v>
      </c>
      <c r="K732" s="21" t="s">
        <v>2664</v>
      </c>
      <c r="L732" s="22" t="s">
        <v>36</v>
      </c>
      <c r="M732" s="21" t="s">
        <v>120</v>
      </c>
      <c r="N732" s="13" t="s">
        <v>106</v>
      </c>
      <c r="O732" s="23" t="n">
        <v>43.74</v>
      </c>
      <c r="P732" s="13" t="n">
        <v>1</v>
      </c>
      <c r="Q732" s="24" t="n">
        <v>46310.7563773148</v>
      </c>
      <c r="R732" s="22" t="s">
        <v>36</v>
      </c>
      <c r="S732" s="13" t="s">
        <v>107</v>
      </c>
      <c r="T732" s="13" t="str">
        <f aca="false">IF(S732="Oui",IF(R732=L732,"Identique","Changé"),"")</f>
        <v>Identique</v>
      </c>
    </row>
    <row r="733" customFormat="false" ht="57.45" hidden="false" customHeight="false" outlineLevel="0" collapsed="false">
      <c r="A733" s="13" t="s">
        <v>2665</v>
      </c>
      <c r="B733" s="13" t="s">
        <v>2662</v>
      </c>
      <c r="C733" s="13" t="n">
        <v>2</v>
      </c>
      <c r="D733" s="13" t="s">
        <v>97</v>
      </c>
      <c r="E733" s="13" t="s">
        <v>122</v>
      </c>
      <c r="F733" s="13" t="s">
        <v>816</v>
      </c>
      <c r="G733" s="13" t="s">
        <v>1891</v>
      </c>
      <c r="H733" s="13" t="s">
        <v>101</v>
      </c>
      <c r="I733" s="21" t="s">
        <v>2666</v>
      </c>
      <c r="J733" s="21" t="s">
        <v>1741</v>
      </c>
      <c r="K733" s="21" t="s">
        <v>2667</v>
      </c>
      <c r="L733" s="22" t="s">
        <v>38</v>
      </c>
      <c r="M733" s="21" t="s">
        <v>1127</v>
      </c>
      <c r="N733" s="13" t="s">
        <v>1085</v>
      </c>
      <c r="O733" s="23" t="n">
        <v>14.51</v>
      </c>
      <c r="P733" s="13" t="n">
        <v>1</v>
      </c>
      <c r="Q733" s="24" t="n">
        <v>46310.7566666667</v>
      </c>
      <c r="R733" s="22" t="s">
        <v>36</v>
      </c>
      <c r="S733" s="13" t="s">
        <v>107</v>
      </c>
      <c r="T733" s="13" t="str">
        <f aca="false">IF(S733="Oui",IF(R733=L733,"Identique","Changé"),"")</f>
        <v>Changé</v>
      </c>
    </row>
    <row r="734" customFormat="false" ht="57.45" hidden="false" customHeight="false" outlineLevel="0" collapsed="false">
      <c r="A734" s="13" t="s">
        <v>2668</v>
      </c>
      <c r="B734" s="13" t="s">
        <v>2662</v>
      </c>
      <c r="C734" s="13" t="n">
        <v>3</v>
      </c>
      <c r="D734" s="13" t="s">
        <v>97</v>
      </c>
      <c r="E734" s="13" t="s">
        <v>185</v>
      </c>
      <c r="F734" s="13" t="s">
        <v>1416</v>
      </c>
      <c r="G734" s="13" t="s">
        <v>380</v>
      </c>
      <c r="H734" s="13" t="s">
        <v>152</v>
      </c>
      <c r="I734" s="21" t="s">
        <v>2669</v>
      </c>
      <c r="J734" s="21" t="s">
        <v>154</v>
      </c>
      <c r="K734" s="21" t="s">
        <v>2670</v>
      </c>
      <c r="L734" s="22" t="s">
        <v>40</v>
      </c>
      <c r="M734" s="21" t="s">
        <v>156</v>
      </c>
      <c r="N734" s="13" t="s">
        <v>106</v>
      </c>
      <c r="O734" s="23" t="n">
        <v>11.54</v>
      </c>
      <c r="P734" s="13" t="n">
        <v>1</v>
      </c>
      <c r="Q734" s="24" t="n">
        <v>46310.7569212963</v>
      </c>
      <c r="R734" s="22" t="s">
        <v>40</v>
      </c>
      <c r="S734" s="13" t="s">
        <v>107</v>
      </c>
      <c r="T734" s="13" t="str">
        <f aca="false">IF(S734="Oui",IF(R734=L734,"Identique","Changé"),"")</f>
        <v>Identique</v>
      </c>
    </row>
    <row r="735" customFormat="false" ht="46.25" hidden="false" customHeight="false" outlineLevel="0" collapsed="false">
      <c r="A735" s="13" t="s">
        <v>2671</v>
      </c>
      <c r="B735" s="13" t="s">
        <v>2662</v>
      </c>
      <c r="C735" s="13" t="n">
        <v>4</v>
      </c>
      <c r="D735" s="13" t="s">
        <v>97</v>
      </c>
      <c r="E735" s="13" t="s">
        <v>98</v>
      </c>
      <c r="F735" s="13" t="s">
        <v>1416</v>
      </c>
      <c r="G735" s="13" t="s">
        <v>2672</v>
      </c>
      <c r="H735" s="13" t="s">
        <v>101</v>
      </c>
      <c r="I735" s="21" t="s">
        <v>2673</v>
      </c>
      <c r="J735" s="21" t="s">
        <v>2674</v>
      </c>
      <c r="K735" s="21" t="s">
        <v>2675</v>
      </c>
      <c r="L735" s="22" t="s">
        <v>36</v>
      </c>
      <c r="M735" s="21" t="s">
        <v>427</v>
      </c>
      <c r="N735" s="13" t="s">
        <v>106</v>
      </c>
      <c r="O735" s="23" t="n">
        <v>17.34</v>
      </c>
      <c r="P735" s="13" t="n">
        <v>1</v>
      </c>
      <c r="Q735" s="24" t="n">
        <v>46310.7572453704</v>
      </c>
      <c r="R735" s="22" t="s">
        <v>36</v>
      </c>
      <c r="S735" s="13" t="s">
        <v>107</v>
      </c>
      <c r="T735" s="13" t="str">
        <f aca="false">IF(S735="Oui",IF(R735=L735,"Identique","Changé"),"")</f>
        <v>Identique</v>
      </c>
    </row>
    <row r="736" customFormat="false" ht="79.85" hidden="false" customHeight="false" outlineLevel="0" collapsed="false">
      <c r="A736" s="13" t="s">
        <v>2676</v>
      </c>
      <c r="B736" s="13" t="s">
        <v>2662</v>
      </c>
      <c r="C736" s="13" t="n">
        <v>5</v>
      </c>
      <c r="D736" s="13" t="s">
        <v>97</v>
      </c>
      <c r="E736" s="13" t="s">
        <v>122</v>
      </c>
      <c r="F736" s="13" t="s">
        <v>816</v>
      </c>
      <c r="G736" s="13" t="s">
        <v>1819</v>
      </c>
      <c r="H736" s="13" t="s">
        <v>101</v>
      </c>
      <c r="I736" s="21" t="s">
        <v>2677</v>
      </c>
      <c r="J736" s="21" t="s">
        <v>1741</v>
      </c>
      <c r="K736" s="21" t="s">
        <v>2678</v>
      </c>
      <c r="L736" s="22" t="s">
        <v>38</v>
      </c>
      <c r="M736" s="21" t="s">
        <v>1127</v>
      </c>
      <c r="N736" s="13" t="s">
        <v>1085</v>
      </c>
      <c r="O736" s="23" t="n">
        <v>16.55</v>
      </c>
      <c r="P736" s="13" t="n">
        <v>1</v>
      </c>
      <c r="Q736" s="24" t="n">
        <v>46310.7575694445</v>
      </c>
      <c r="R736" s="22" t="s">
        <v>38</v>
      </c>
      <c r="S736" s="13" t="s">
        <v>107</v>
      </c>
      <c r="T736" s="13" t="str">
        <f aca="false">IF(S736="Oui",IF(R736=L736,"Identique","Changé"),"")</f>
        <v>Identique</v>
      </c>
    </row>
    <row r="737" customFormat="false" ht="46.25" hidden="false" customHeight="false" outlineLevel="0" collapsed="false">
      <c r="A737" s="13" t="s">
        <v>2679</v>
      </c>
      <c r="B737" s="13" t="s">
        <v>2680</v>
      </c>
      <c r="C737" s="13" t="n">
        <v>1</v>
      </c>
      <c r="D737" s="13" t="s">
        <v>135</v>
      </c>
      <c r="E737" s="13" t="s">
        <v>122</v>
      </c>
      <c r="F737" s="13" t="s">
        <v>2681</v>
      </c>
      <c r="G737" s="13" t="s">
        <v>1874</v>
      </c>
      <c r="H737" s="13" t="s">
        <v>101</v>
      </c>
      <c r="I737" s="21" t="s">
        <v>2682</v>
      </c>
      <c r="J737" s="21" t="s">
        <v>2683</v>
      </c>
      <c r="K737" s="21" t="s">
        <v>2684</v>
      </c>
      <c r="L737" s="22" t="s">
        <v>36</v>
      </c>
      <c r="M737" s="21" t="s">
        <v>120</v>
      </c>
      <c r="N737" s="13" t="s">
        <v>106</v>
      </c>
      <c r="O737" s="23" t="n">
        <v>28.02</v>
      </c>
      <c r="P737" s="13" t="n">
        <v>1</v>
      </c>
      <c r="Q737" s="24" t="n">
        <v>46310.7580787037</v>
      </c>
      <c r="R737" s="22" t="s">
        <v>36</v>
      </c>
      <c r="S737" s="13" t="s">
        <v>107</v>
      </c>
      <c r="T737" s="13" t="str">
        <f aca="false">IF(S737="Oui",IF(R737=L737,"Identique","Changé"),"")</f>
        <v>Identique</v>
      </c>
    </row>
    <row r="738" customFormat="false" ht="57.45" hidden="false" customHeight="false" outlineLevel="0" collapsed="false">
      <c r="A738" s="13" t="s">
        <v>2685</v>
      </c>
      <c r="B738" s="13" t="s">
        <v>2680</v>
      </c>
      <c r="C738" s="13" t="n">
        <v>2</v>
      </c>
      <c r="D738" s="13" t="s">
        <v>135</v>
      </c>
      <c r="E738" s="13" t="s">
        <v>122</v>
      </c>
      <c r="F738" s="13" t="s">
        <v>2681</v>
      </c>
      <c r="G738" s="13" t="s">
        <v>1833</v>
      </c>
      <c r="H738" s="13" t="s">
        <v>101</v>
      </c>
      <c r="I738" s="21" t="s">
        <v>2686</v>
      </c>
      <c r="J738" s="21" t="s">
        <v>1741</v>
      </c>
      <c r="K738" s="21" t="s">
        <v>2687</v>
      </c>
      <c r="L738" s="22" t="s">
        <v>36</v>
      </c>
      <c r="M738" s="21" t="s">
        <v>235</v>
      </c>
      <c r="N738" s="13" t="s">
        <v>106</v>
      </c>
      <c r="O738" s="23" t="n">
        <v>12.54</v>
      </c>
      <c r="P738" s="13" t="n">
        <v>1</v>
      </c>
      <c r="Q738" s="24" t="n">
        <v>46310.7583333333</v>
      </c>
      <c r="R738" s="22" t="s">
        <v>36</v>
      </c>
      <c r="S738" s="13" t="s">
        <v>107</v>
      </c>
      <c r="T738" s="13" t="str">
        <f aca="false">IF(S738="Oui",IF(R738=L738,"Identique","Changé"),"")</f>
        <v>Identique</v>
      </c>
    </row>
    <row r="739" customFormat="false" ht="68.65" hidden="false" customHeight="false" outlineLevel="0" collapsed="false">
      <c r="A739" s="13" t="s">
        <v>2688</v>
      </c>
      <c r="B739" s="13" t="s">
        <v>2680</v>
      </c>
      <c r="C739" s="13" t="n">
        <v>3</v>
      </c>
      <c r="D739" s="13" t="s">
        <v>135</v>
      </c>
      <c r="E739" s="13" t="s">
        <v>122</v>
      </c>
      <c r="F739" s="13" t="s">
        <v>2681</v>
      </c>
      <c r="G739" s="13" t="s">
        <v>1848</v>
      </c>
      <c r="H739" s="13" t="s">
        <v>101</v>
      </c>
      <c r="I739" s="21" t="s">
        <v>2689</v>
      </c>
      <c r="J739" s="21" t="s">
        <v>2690</v>
      </c>
      <c r="K739" s="21" t="s">
        <v>2691</v>
      </c>
      <c r="L739" s="22" t="s">
        <v>36</v>
      </c>
      <c r="M739" s="21" t="s">
        <v>235</v>
      </c>
      <c r="N739" s="13" t="s">
        <v>106</v>
      </c>
      <c r="O739" s="23" t="n">
        <v>11.53</v>
      </c>
      <c r="P739" s="13" t="n">
        <v>1</v>
      </c>
      <c r="Q739" s="24" t="n">
        <v>46310.7585763889</v>
      </c>
      <c r="R739" s="22" t="s">
        <v>36</v>
      </c>
      <c r="S739" s="13" t="s">
        <v>107</v>
      </c>
      <c r="T739" s="13" t="str">
        <f aca="false">IF(S739="Oui",IF(R739=L739,"Identique","Changé"),"")</f>
        <v>Identique</v>
      </c>
    </row>
    <row r="740" customFormat="false" ht="46.25" hidden="false" customHeight="false" outlineLevel="0" collapsed="false">
      <c r="A740" s="13" t="s">
        <v>2692</v>
      </c>
      <c r="B740" s="13" t="s">
        <v>2680</v>
      </c>
      <c r="C740" s="13" t="n">
        <v>4</v>
      </c>
      <c r="D740" s="13" t="s">
        <v>135</v>
      </c>
      <c r="E740" s="13" t="s">
        <v>158</v>
      </c>
      <c r="F740" s="13" t="s">
        <v>2681</v>
      </c>
      <c r="G740" s="13" t="s">
        <v>1951</v>
      </c>
      <c r="H740" s="13" t="s">
        <v>101</v>
      </c>
      <c r="I740" s="21" t="s">
        <v>2693</v>
      </c>
      <c r="J740" s="21" t="s">
        <v>284</v>
      </c>
      <c r="K740" s="21" t="s">
        <v>2694</v>
      </c>
      <c r="L740" s="22" t="s">
        <v>36</v>
      </c>
      <c r="M740" s="21" t="s">
        <v>120</v>
      </c>
      <c r="N740" s="13" t="s">
        <v>106</v>
      </c>
      <c r="O740" s="23" t="n">
        <v>9.02</v>
      </c>
      <c r="P740" s="13" t="n">
        <v>1</v>
      </c>
      <c r="Q740" s="24" t="n">
        <v>46310.7587962963</v>
      </c>
      <c r="R740" s="22" t="s">
        <v>36</v>
      </c>
      <c r="S740" s="13" t="s">
        <v>107</v>
      </c>
      <c r="T740" s="13" t="str">
        <f aca="false">IF(S740="Oui",IF(R740=L740,"Identique","Changé"),"")</f>
        <v>Identique</v>
      </c>
    </row>
    <row r="741" customFormat="false" ht="46.25" hidden="false" customHeight="false" outlineLevel="0" collapsed="false">
      <c r="A741" s="13" t="s">
        <v>2695</v>
      </c>
      <c r="B741" s="13" t="s">
        <v>2680</v>
      </c>
      <c r="C741" s="13" t="n">
        <v>5</v>
      </c>
      <c r="D741" s="13" t="s">
        <v>135</v>
      </c>
      <c r="E741" s="13" t="s">
        <v>570</v>
      </c>
      <c r="F741" s="13" t="s">
        <v>2681</v>
      </c>
      <c r="G741" s="13" t="s">
        <v>1775</v>
      </c>
      <c r="H741" s="13" t="s">
        <v>101</v>
      </c>
      <c r="I741" s="21" t="s">
        <v>2696</v>
      </c>
      <c r="J741" s="21" t="s">
        <v>1777</v>
      </c>
      <c r="K741" s="21" t="s">
        <v>2697</v>
      </c>
      <c r="L741" s="22" t="s">
        <v>36</v>
      </c>
      <c r="M741" s="21" t="s">
        <v>120</v>
      </c>
      <c r="N741" s="13" t="s">
        <v>106</v>
      </c>
      <c r="O741" s="23" t="n">
        <v>9.3</v>
      </c>
      <c r="P741" s="13" t="n">
        <v>1</v>
      </c>
      <c r="Q741" s="24" t="n">
        <v>46310.7590277778</v>
      </c>
      <c r="R741" s="22" t="s">
        <v>36</v>
      </c>
      <c r="S741" s="13" t="s">
        <v>107</v>
      </c>
      <c r="T741" s="13" t="str">
        <f aca="false">IF(S741="Oui",IF(R741=L741,"Identique","Changé"),"")</f>
        <v>Identique</v>
      </c>
    </row>
    <row r="742" customFormat="false" ht="57.45" hidden="false" customHeight="false" outlineLevel="0" collapsed="false">
      <c r="A742" s="13" t="s">
        <v>2698</v>
      </c>
      <c r="B742" s="13" t="s">
        <v>2699</v>
      </c>
      <c r="C742" s="13" t="n">
        <v>1</v>
      </c>
      <c r="D742" s="13" t="s">
        <v>97</v>
      </c>
      <c r="E742" s="13" t="s">
        <v>570</v>
      </c>
      <c r="F742" s="13" t="s">
        <v>1615</v>
      </c>
      <c r="G742" s="13" t="s">
        <v>1758</v>
      </c>
      <c r="H742" s="13" t="s">
        <v>101</v>
      </c>
      <c r="I742" s="21" t="s">
        <v>2700</v>
      </c>
      <c r="J742" s="21" t="s">
        <v>2701</v>
      </c>
      <c r="K742" s="21" t="s">
        <v>2702</v>
      </c>
      <c r="L742" s="22" t="s">
        <v>36</v>
      </c>
      <c r="M742" s="21" t="s">
        <v>235</v>
      </c>
      <c r="N742" s="13" t="s">
        <v>106</v>
      </c>
      <c r="O742" s="23" t="n">
        <v>196.22</v>
      </c>
      <c r="P742" s="13" t="n">
        <v>1</v>
      </c>
      <c r="Q742" s="24" t="n">
        <v>46310.7614814815</v>
      </c>
      <c r="R742" s="22" t="s">
        <v>36</v>
      </c>
      <c r="S742" s="13" t="s">
        <v>107</v>
      </c>
      <c r="T742" s="13" t="str">
        <f aca="false">IF(S742="Oui",IF(R742=L742,"Identique","Changé"),"")</f>
        <v>Identique</v>
      </c>
    </row>
    <row r="743" customFormat="false" ht="35.05" hidden="false" customHeight="false" outlineLevel="0" collapsed="false">
      <c r="A743" s="13" t="s">
        <v>2703</v>
      </c>
      <c r="B743" s="13" t="s">
        <v>2699</v>
      </c>
      <c r="C743" s="13" t="n">
        <v>2</v>
      </c>
      <c r="D743" s="13" t="s">
        <v>97</v>
      </c>
      <c r="E743" s="13" t="s">
        <v>158</v>
      </c>
      <c r="F743" s="13" t="s">
        <v>1615</v>
      </c>
      <c r="G743" s="13" t="s">
        <v>1913</v>
      </c>
      <c r="H743" s="13" t="s">
        <v>101</v>
      </c>
      <c r="I743" s="21" t="s">
        <v>2704</v>
      </c>
      <c r="J743" s="21" t="s">
        <v>284</v>
      </c>
      <c r="K743" s="21" t="s">
        <v>2705</v>
      </c>
      <c r="L743" s="22" t="s">
        <v>36</v>
      </c>
      <c r="M743" s="21" t="s">
        <v>120</v>
      </c>
      <c r="N743" s="13" t="s">
        <v>106</v>
      </c>
      <c r="O743" s="23" t="n">
        <v>12.54</v>
      </c>
      <c r="P743" s="13" t="n">
        <v>1</v>
      </c>
      <c r="Q743" s="24" t="n">
        <v>46310.7617476852</v>
      </c>
      <c r="R743" s="22" t="s">
        <v>36</v>
      </c>
      <c r="S743" s="13" t="s">
        <v>107</v>
      </c>
      <c r="T743" s="13" t="str">
        <f aca="false">IF(S743="Oui",IF(R743=L743,"Identique","Changé"),"")</f>
        <v>Identique</v>
      </c>
    </row>
    <row r="744" customFormat="false" ht="35.05" hidden="false" customHeight="false" outlineLevel="0" collapsed="false">
      <c r="A744" s="13" t="s">
        <v>2706</v>
      </c>
      <c r="B744" s="13" t="s">
        <v>2699</v>
      </c>
      <c r="C744" s="13" t="n">
        <v>3</v>
      </c>
      <c r="D744" s="13" t="s">
        <v>97</v>
      </c>
      <c r="E744" s="13" t="s">
        <v>98</v>
      </c>
      <c r="F744" s="13" t="s">
        <v>559</v>
      </c>
      <c r="G744" s="13" t="s">
        <v>2672</v>
      </c>
      <c r="H744" s="13" t="s">
        <v>101</v>
      </c>
      <c r="I744" s="21" t="s">
        <v>2707</v>
      </c>
      <c r="J744" s="21" t="s">
        <v>2708</v>
      </c>
      <c r="K744" s="21" t="s">
        <v>2709</v>
      </c>
      <c r="L744" s="22" t="s">
        <v>36</v>
      </c>
      <c r="M744" s="21" t="s">
        <v>427</v>
      </c>
      <c r="N744" s="13" t="s">
        <v>106</v>
      </c>
      <c r="O744" s="23" t="n">
        <v>95.27</v>
      </c>
      <c r="P744" s="13" t="n">
        <v>1</v>
      </c>
      <c r="Q744" s="24" t="n">
        <v>46310.762974537</v>
      </c>
      <c r="R744" s="22" t="s">
        <v>36</v>
      </c>
      <c r="S744" s="13" t="s">
        <v>107</v>
      </c>
      <c r="T744" s="13" t="str">
        <f aca="false">IF(S744="Oui",IF(R744=L744,"Identique","Changé"),"")</f>
        <v>Identique</v>
      </c>
    </row>
    <row r="745" customFormat="false" ht="46.25" hidden="false" customHeight="false" outlineLevel="0" collapsed="false">
      <c r="A745" s="13" t="s">
        <v>2710</v>
      </c>
      <c r="B745" s="13" t="s">
        <v>2699</v>
      </c>
      <c r="C745" s="13" t="n">
        <v>4</v>
      </c>
      <c r="D745" s="13" t="s">
        <v>97</v>
      </c>
      <c r="E745" s="13" t="s">
        <v>570</v>
      </c>
      <c r="F745" s="13" t="s">
        <v>559</v>
      </c>
      <c r="G745" s="13" t="s">
        <v>1883</v>
      </c>
      <c r="H745" s="13" t="s">
        <v>152</v>
      </c>
      <c r="I745" s="21" t="s">
        <v>2711</v>
      </c>
      <c r="J745" s="21" t="s">
        <v>154</v>
      </c>
      <c r="K745" s="21" t="s">
        <v>2712</v>
      </c>
      <c r="L745" s="22" t="s">
        <v>40</v>
      </c>
      <c r="M745" s="21" t="s">
        <v>156</v>
      </c>
      <c r="N745" s="13" t="s">
        <v>106</v>
      </c>
      <c r="O745" s="23" t="n">
        <v>11.23</v>
      </c>
      <c r="P745" s="13" t="n">
        <v>1</v>
      </c>
      <c r="Q745" s="24" t="n">
        <v>46310.7632291667</v>
      </c>
      <c r="R745" s="22" t="s">
        <v>40</v>
      </c>
      <c r="S745" s="13" t="s">
        <v>107</v>
      </c>
      <c r="T745" s="13" t="str">
        <f aca="false">IF(S745="Oui",IF(R745=L745,"Identique","Changé"),"")</f>
        <v>Identique</v>
      </c>
    </row>
    <row r="746" customFormat="false" ht="46.25" hidden="false" customHeight="false" outlineLevel="0" collapsed="false">
      <c r="A746" s="13" t="s">
        <v>2713</v>
      </c>
      <c r="B746" s="13" t="s">
        <v>2699</v>
      </c>
      <c r="C746" s="13" t="n">
        <v>5</v>
      </c>
      <c r="D746" s="13" t="s">
        <v>97</v>
      </c>
      <c r="E746" s="13" t="s">
        <v>570</v>
      </c>
      <c r="F746" s="13" t="s">
        <v>1615</v>
      </c>
      <c r="G746" s="13" t="s">
        <v>1780</v>
      </c>
      <c r="H746" s="13" t="s">
        <v>101</v>
      </c>
      <c r="I746" s="21" t="s">
        <v>2714</v>
      </c>
      <c r="J746" s="21" t="s">
        <v>284</v>
      </c>
      <c r="K746" s="21" t="s">
        <v>2715</v>
      </c>
      <c r="L746" s="22" t="s">
        <v>36</v>
      </c>
      <c r="M746" s="21" t="s">
        <v>120</v>
      </c>
      <c r="N746" s="13" t="s">
        <v>106</v>
      </c>
      <c r="O746" s="23" t="n">
        <v>12.12</v>
      </c>
      <c r="P746" s="13" t="n">
        <v>1</v>
      </c>
      <c r="Q746" s="24" t="n">
        <v>46310.7634953704</v>
      </c>
      <c r="R746" s="22" t="s">
        <v>36</v>
      </c>
      <c r="S746" s="13" t="s">
        <v>107</v>
      </c>
      <c r="T746" s="13" t="str">
        <f aca="false">IF(S746="Oui",IF(R746=L746,"Identique","Changé"),"")</f>
        <v>Identique</v>
      </c>
    </row>
    <row r="747" customFormat="false" ht="35.05" hidden="false" customHeight="false" outlineLevel="0" collapsed="false">
      <c r="A747" s="13" t="s">
        <v>2716</v>
      </c>
      <c r="B747" s="13" t="s">
        <v>2717</v>
      </c>
      <c r="C747" s="13" t="n">
        <v>1</v>
      </c>
      <c r="D747" s="13" t="s">
        <v>135</v>
      </c>
      <c r="E747" s="13" t="s">
        <v>158</v>
      </c>
      <c r="F747" s="13" t="s">
        <v>2718</v>
      </c>
      <c r="G747" s="13" t="s">
        <v>1918</v>
      </c>
      <c r="H747" s="13" t="s">
        <v>101</v>
      </c>
      <c r="I747" s="21" t="s">
        <v>2719</v>
      </c>
      <c r="J747" s="21" t="s">
        <v>284</v>
      </c>
      <c r="K747" s="21" t="s">
        <v>2720</v>
      </c>
      <c r="L747" s="22" t="s">
        <v>36</v>
      </c>
      <c r="M747" s="21" t="s">
        <v>120</v>
      </c>
      <c r="N747" s="13" t="s">
        <v>106</v>
      </c>
      <c r="O747" s="23" t="n">
        <v>35.74</v>
      </c>
      <c r="P747" s="13" t="n">
        <v>1</v>
      </c>
      <c r="Q747" s="24" t="n">
        <v>46310.7640972222</v>
      </c>
      <c r="R747" s="22" t="s">
        <v>36</v>
      </c>
      <c r="S747" s="13" t="s">
        <v>107</v>
      </c>
      <c r="T747" s="13" t="str">
        <f aca="false">IF(S747="Oui",IF(R747=L747,"Identique","Changé"),"")</f>
        <v>Identique</v>
      </c>
    </row>
    <row r="748" customFormat="false" ht="35.05" hidden="false" customHeight="false" outlineLevel="0" collapsed="false">
      <c r="A748" s="13" t="s">
        <v>2721</v>
      </c>
      <c r="B748" s="13" t="s">
        <v>2717</v>
      </c>
      <c r="C748" s="13" t="n">
        <v>2</v>
      </c>
      <c r="D748" s="13" t="s">
        <v>135</v>
      </c>
      <c r="E748" s="13" t="s">
        <v>570</v>
      </c>
      <c r="F748" s="13" t="s">
        <v>2718</v>
      </c>
      <c r="G748" s="13" t="s">
        <v>1805</v>
      </c>
      <c r="H748" s="13" t="s">
        <v>101</v>
      </c>
      <c r="I748" s="21" t="s">
        <v>2722</v>
      </c>
      <c r="J748" s="21" t="s">
        <v>284</v>
      </c>
      <c r="K748" s="21" t="s">
        <v>2723</v>
      </c>
      <c r="L748" s="22" t="s">
        <v>36</v>
      </c>
      <c r="M748" s="21" t="s">
        <v>120</v>
      </c>
      <c r="N748" s="13" t="s">
        <v>106</v>
      </c>
      <c r="O748" s="23" t="n">
        <v>11.96</v>
      </c>
      <c r="P748" s="13" t="n">
        <v>1</v>
      </c>
      <c r="Q748" s="24" t="n">
        <v>46310.7643518519</v>
      </c>
      <c r="R748" s="22" t="s">
        <v>36</v>
      </c>
      <c r="S748" s="13" t="s">
        <v>107</v>
      </c>
      <c r="T748" s="13" t="str">
        <f aca="false">IF(S748="Oui",IF(R748=L748,"Identique","Changé"),"")</f>
        <v>Identique</v>
      </c>
    </row>
    <row r="749" customFormat="false" ht="46.25" hidden="false" customHeight="false" outlineLevel="0" collapsed="false">
      <c r="A749" s="13" t="s">
        <v>2724</v>
      </c>
      <c r="B749" s="13" t="s">
        <v>2717</v>
      </c>
      <c r="C749" s="13" t="n">
        <v>3</v>
      </c>
      <c r="D749" s="13" t="s">
        <v>135</v>
      </c>
      <c r="E749" s="13" t="s">
        <v>122</v>
      </c>
      <c r="F749" s="13" t="s">
        <v>2725</v>
      </c>
      <c r="G749" s="13" t="s">
        <v>1874</v>
      </c>
      <c r="H749" s="13" t="s">
        <v>101</v>
      </c>
      <c r="I749" s="21" t="s">
        <v>2726</v>
      </c>
      <c r="J749" s="21" t="s">
        <v>2683</v>
      </c>
      <c r="K749" s="21" t="s">
        <v>2727</v>
      </c>
      <c r="L749" s="22" t="s">
        <v>36</v>
      </c>
      <c r="M749" s="21" t="s">
        <v>120</v>
      </c>
      <c r="N749" s="13" t="s">
        <v>106</v>
      </c>
      <c r="O749" s="23" t="n">
        <v>9.64</v>
      </c>
      <c r="P749" s="13" t="n">
        <v>1</v>
      </c>
      <c r="Q749" s="24" t="n">
        <v>46310.7645833333</v>
      </c>
      <c r="R749" s="22" t="s">
        <v>36</v>
      </c>
      <c r="S749" s="13" t="s">
        <v>107</v>
      </c>
      <c r="T749" s="13" t="str">
        <f aca="false">IF(S749="Oui",IF(R749=L749,"Identique","Changé"),"")</f>
        <v>Identique</v>
      </c>
    </row>
    <row r="750" customFormat="false" ht="57.45" hidden="false" customHeight="false" outlineLevel="0" collapsed="false">
      <c r="A750" s="13" t="s">
        <v>2728</v>
      </c>
      <c r="B750" s="13" t="s">
        <v>2717</v>
      </c>
      <c r="C750" s="13" t="n">
        <v>4</v>
      </c>
      <c r="D750" s="13" t="s">
        <v>135</v>
      </c>
      <c r="E750" s="13" t="s">
        <v>122</v>
      </c>
      <c r="F750" s="13" t="s">
        <v>2725</v>
      </c>
      <c r="G750" s="13" t="s">
        <v>1905</v>
      </c>
      <c r="H750" s="13" t="s">
        <v>101</v>
      </c>
      <c r="I750" s="21" t="s">
        <v>2729</v>
      </c>
      <c r="J750" s="21" t="s">
        <v>284</v>
      </c>
      <c r="K750" s="21" t="s">
        <v>2730</v>
      </c>
      <c r="L750" s="22" t="s">
        <v>36</v>
      </c>
      <c r="M750" s="21" t="s">
        <v>2731</v>
      </c>
      <c r="N750" s="13" t="s">
        <v>1085</v>
      </c>
      <c r="O750" s="23" t="n">
        <v>13.8</v>
      </c>
      <c r="P750" s="13" t="n">
        <v>1</v>
      </c>
      <c r="Q750" s="24" t="n">
        <v>46310.7648726852</v>
      </c>
      <c r="R750" s="22" t="s">
        <v>37</v>
      </c>
      <c r="S750" s="13" t="s">
        <v>107</v>
      </c>
      <c r="T750" s="13" t="str">
        <f aca="false">IF(S750="Oui",IF(R750=L750,"Identique","Changé"),"")</f>
        <v>Changé</v>
      </c>
    </row>
    <row r="751" customFormat="false" ht="46.25" hidden="false" customHeight="false" outlineLevel="0" collapsed="false">
      <c r="A751" s="13" t="s">
        <v>2732</v>
      </c>
      <c r="B751" s="13" t="s">
        <v>2717</v>
      </c>
      <c r="C751" s="13" t="n">
        <v>5</v>
      </c>
      <c r="D751" s="13" t="s">
        <v>135</v>
      </c>
      <c r="E751" s="13" t="s">
        <v>570</v>
      </c>
      <c r="F751" s="13" t="s">
        <v>2718</v>
      </c>
      <c r="G751" s="13" t="s">
        <v>1785</v>
      </c>
      <c r="H751" s="13" t="s">
        <v>101</v>
      </c>
      <c r="I751" s="21" t="s">
        <v>2733</v>
      </c>
      <c r="J751" s="21" t="s">
        <v>2734</v>
      </c>
      <c r="K751" s="21" t="s">
        <v>2735</v>
      </c>
      <c r="L751" s="22" t="s">
        <v>36</v>
      </c>
      <c r="M751" s="21" t="s">
        <v>235</v>
      </c>
      <c r="N751" s="13" t="s">
        <v>106</v>
      </c>
      <c r="O751" s="23" t="n">
        <v>10.67</v>
      </c>
      <c r="P751" s="13" t="n">
        <v>1</v>
      </c>
      <c r="Q751" s="24" t="n">
        <v>46310.7651157407</v>
      </c>
      <c r="R751" s="22" t="s">
        <v>36</v>
      </c>
      <c r="S751" s="13" t="s">
        <v>107</v>
      </c>
      <c r="T751" s="13" t="str">
        <f aca="false">IF(S751="Oui",IF(R751=L751,"Identique","Changé"),"")</f>
        <v>Identique</v>
      </c>
    </row>
    <row r="752" customFormat="false" ht="57.45" hidden="false" customHeight="false" outlineLevel="0" collapsed="false">
      <c r="A752" s="13" t="s">
        <v>2736</v>
      </c>
      <c r="B752" s="13" t="s">
        <v>2737</v>
      </c>
      <c r="C752" s="13" t="n">
        <v>1</v>
      </c>
      <c r="D752" s="13" t="s">
        <v>97</v>
      </c>
      <c r="E752" s="13" t="s">
        <v>158</v>
      </c>
      <c r="F752" s="13" t="s">
        <v>1210</v>
      </c>
      <c r="G752" s="13" t="s">
        <v>1909</v>
      </c>
      <c r="H752" s="13" t="s">
        <v>101</v>
      </c>
      <c r="I752" s="21" t="s">
        <v>2738</v>
      </c>
      <c r="J752" s="21" t="s">
        <v>284</v>
      </c>
      <c r="K752" s="21" t="s">
        <v>2739</v>
      </c>
      <c r="L752" s="22" t="s">
        <v>37</v>
      </c>
      <c r="M752" s="21" t="s">
        <v>163</v>
      </c>
      <c r="N752" s="13" t="s">
        <v>106</v>
      </c>
      <c r="O752" s="23" t="n">
        <v>28.28</v>
      </c>
      <c r="P752" s="13" t="n">
        <v>1</v>
      </c>
      <c r="Q752" s="24" t="n">
        <v>46310.7656481482</v>
      </c>
      <c r="R752" s="22" t="s">
        <v>37</v>
      </c>
      <c r="S752" s="13" t="s">
        <v>107</v>
      </c>
      <c r="T752" s="13" t="str">
        <f aca="false">IF(S752="Oui",IF(R752=L752,"Identique","Changé"),"")</f>
        <v>Identique</v>
      </c>
    </row>
    <row r="753" customFormat="false" ht="46.25" hidden="false" customHeight="false" outlineLevel="0" collapsed="false">
      <c r="A753" s="13" t="s">
        <v>2740</v>
      </c>
      <c r="B753" s="13" t="s">
        <v>2737</v>
      </c>
      <c r="C753" s="13" t="n">
        <v>2</v>
      </c>
      <c r="D753" s="13" t="s">
        <v>97</v>
      </c>
      <c r="E753" s="13" t="s">
        <v>570</v>
      </c>
      <c r="F753" s="13" t="s">
        <v>1210</v>
      </c>
      <c r="G753" s="13" t="s">
        <v>1790</v>
      </c>
      <c r="H753" s="13" t="s">
        <v>101</v>
      </c>
      <c r="I753" s="21" t="s">
        <v>2741</v>
      </c>
      <c r="J753" s="21" t="s">
        <v>512</v>
      </c>
      <c r="K753" s="21" t="s">
        <v>2742</v>
      </c>
      <c r="L753" s="22" t="s">
        <v>36</v>
      </c>
      <c r="M753" s="21" t="s">
        <v>120</v>
      </c>
      <c r="N753" s="13" t="s">
        <v>106</v>
      </c>
      <c r="O753" s="23" t="n">
        <v>10.61</v>
      </c>
      <c r="P753" s="13" t="n">
        <v>1</v>
      </c>
      <c r="Q753" s="24" t="n">
        <v>46310.7658796296</v>
      </c>
      <c r="R753" s="22" t="s">
        <v>36</v>
      </c>
      <c r="S753" s="13" t="s">
        <v>107</v>
      </c>
      <c r="T753" s="13" t="str">
        <f aca="false">IF(S753="Oui",IF(R753=L753,"Identique","Changé"),"")</f>
        <v>Identique</v>
      </c>
    </row>
    <row r="754" customFormat="false" ht="35.05" hidden="false" customHeight="false" outlineLevel="0" collapsed="false">
      <c r="A754" s="13" t="s">
        <v>2743</v>
      </c>
      <c r="B754" s="13" t="s">
        <v>2737</v>
      </c>
      <c r="C754" s="13" t="n">
        <v>3</v>
      </c>
      <c r="D754" s="13" t="s">
        <v>97</v>
      </c>
      <c r="E754" s="13" t="s">
        <v>570</v>
      </c>
      <c r="F754" s="13" t="s">
        <v>1210</v>
      </c>
      <c r="G754" s="13" t="s">
        <v>1794</v>
      </c>
      <c r="H754" s="13" t="s">
        <v>101</v>
      </c>
      <c r="I754" s="21" t="s">
        <v>2744</v>
      </c>
      <c r="J754" s="21" t="s">
        <v>2745</v>
      </c>
      <c r="K754" s="21" t="s">
        <v>2746</v>
      </c>
      <c r="L754" s="22" t="s">
        <v>42</v>
      </c>
      <c r="M754" s="21" t="s">
        <v>1693</v>
      </c>
      <c r="N754" s="13" t="s">
        <v>106</v>
      </c>
      <c r="O754" s="23" t="n">
        <v>216.35</v>
      </c>
      <c r="P754" s="13" t="n">
        <v>1</v>
      </c>
      <c r="Q754" s="24" t="n">
        <v>46310.7684953704</v>
      </c>
      <c r="R754" s="22" t="s">
        <v>38</v>
      </c>
      <c r="S754" s="13" t="s">
        <v>107</v>
      </c>
      <c r="T754" s="13" t="str">
        <f aca="false">IF(S754="Oui",IF(R754=L754,"Identique","Changé"),"")</f>
        <v>Changé</v>
      </c>
    </row>
    <row r="755" customFormat="false" ht="46.25" hidden="false" customHeight="false" outlineLevel="0" collapsed="false">
      <c r="A755" s="13" t="s">
        <v>2747</v>
      </c>
      <c r="B755" s="13" t="s">
        <v>2737</v>
      </c>
      <c r="C755" s="13" t="n">
        <v>4</v>
      </c>
      <c r="D755" s="13" t="s">
        <v>97</v>
      </c>
      <c r="E755" s="13" t="s">
        <v>570</v>
      </c>
      <c r="F755" s="13" t="s">
        <v>1210</v>
      </c>
      <c r="G755" s="13" t="s">
        <v>1800</v>
      </c>
      <c r="H755" s="13" t="s">
        <v>101</v>
      </c>
      <c r="I755" s="21" t="s">
        <v>2748</v>
      </c>
      <c r="J755" s="21" t="s">
        <v>1741</v>
      </c>
      <c r="K755" s="21" t="s">
        <v>2749</v>
      </c>
      <c r="L755" s="22" t="s">
        <v>36</v>
      </c>
      <c r="M755" s="21" t="s">
        <v>235</v>
      </c>
      <c r="N755" s="13" t="s">
        <v>106</v>
      </c>
      <c r="O755" s="23" t="n">
        <v>10.33</v>
      </c>
      <c r="P755" s="13" t="n">
        <v>1</v>
      </c>
      <c r="Q755" s="24" t="n">
        <v>46310.7687384259</v>
      </c>
      <c r="R755" s="22" t="s">
        <v>38</v>
      </c>
      <c r="S755" s="13" t="s">
        <v>107</v>
      </c>
      <c r="T755" s="13" t="str">
        <f aca="false">IF(S755="Oui",IF(R755=L755,"Identique","Changé"),"")</f>
        <v>Changé</v>
      </c>
    </row>
    <row r="756" customFormat="false" ht="35.05" hidden="false" customHeight="false" outlineLevel="0" collapsed="false">
      <c r="A756" s="13" t="s">
        <v>2750</v>
      </c>
      <c r="B756" s="13" t="s">
        <v>2737</v>
      </c>
      <c r="C756" s="13" t="n">
        <v>5</v>
      </c>
      <c r="D756" s="13" t="s">
        <v>97</v>
      </c>
      <c r="E756" s="13" t="s">
        <v>122</v>
      </c>
      <c r="F756" s="13" t="s">
        <v>1210</v>
      </c>
      <c r="G756" s="13" t="s">
        <v>1891</v>
      </c>
      <c r="H756" s="13" t="s">
        <v>101</v>
      </c>
      <c r="I756" s="21" t="s">
        <v>2751</v>
      </c>
      <c r="J756" s="21" t="s">
        <v>1741</v>
      </c>
      <c r="K756" s="21" t="s">
        <v>2752</v>
      </c>
      <c r="L756" s="22" t="s">
        <v>36</v>
      </c>
      <c r="M756" s="21" t="s">
        <v>235</v>
      </c>
      <c r="N756" s="13" t="s">
        <v>106</v>
      </c>
      <c r="O756" s="23" t="n">
        <v>9.7</v>
      </c>
      <c r="P756" s="13" t="n">
        <v>1</v>
      </c>
      <c r="Q756" s="24" t="n">
        <v>46310.7689699074</v>
      </c>
      <c r="R756" s="22" t="s">
        <v>36</v>
      </c>
      <c r="S756" s="13" t="s">
        <v>107</v>
      </c>
      <c r="T756" s="13" t="str">
        <f aca="false">IF(S756="Oui",IF(R756=L756,"Identique","Changé"),"")</f>
        <v>Identique</v>
      </c>
    </row>
    <row r="757" customFormat="false" ht="35.05" hidden="false" customHeight="false" outlineLevel="0" collapsed="false">
      <c r="A757" s="13" t="s">
        <v>2753</v>
      </c>
      <c r="B757" s="13" t="s">
        <v>2754</v>
      </c>
      <c r="C757" s="13" t="n">
        <v>1</v>
      </c>
      <c r="D757" s="13" t="s">
        <v>135</v>
      </c>
      <c r="E757" s="13" t="s">
        <v>158</v>
      </c>
      <c r="F757" s="13" t="s">
        <v>2755</v>
      </c>
      <c r="G757" s="13" t="s">
        <v>1913</v>
      </c>
      <c r="H757" s="13" t="s">
        <v>101</v>
      </c>
      <c r="I757" s="21" t="s">
        <v>2756</v>
      </c>
      <c r="J757" s="21" t="s">
        <v>284</v>
      </c>
      <c r="K757" s="21" t="s">
        <v>2757</v>
      </c>
      <c r="L757" s="22" t="s">
        <v>37</v>
      </c>
      <c r="M757" s="21" t="s">
        <v>163</v>
      </c>
      <c r="N757" s="13" t="s">
        <v>106</v>
      </c>
      <c r="O757" s="23" t="n">
        <v>23.91</v>
      </c>
      <c r="P757" s="13" t="n">
        <v>1</v>
      </c>
      <c r="Q757" s="24" t="n">
        <v>46310.7694328704</v>
      </c>
      <c r="R757" s="22" t="s">
        <v>36</v>
      </c>
      <c r="S757" s="13" t="s">
        <v>107</v>
      </c>
      <c r="T757" s="13" t="str">
        <f aca="false">IF(S757="Oui",IF(R757=L757,"Identique","Changé"),"")</f>
        <v>Changé</v>
      </c>
    </row>
    <row r="758" customFormat="false" ht="46.25" hidden="false" customHeight="false" outlineLevel="0" collapsed="false">
      <c r="A758" s="13" t="s">
        <v>2758</v>
      </c>
      <c r="B758" s="13" t="s">
        <v>2754</v>
      </c>
      <c r="C758" s="13" t="n">
        <v>2</v>
      </c>
      <c r="D758" s="13" t="s">
        <v>135</v>
      </c>
      <c r="E758" s="13" t="s">
        <v>158</v>
      </c>
      <c r="F758" s="13" t="s">
        <v>2755</v>
      </c>
      <c r="G758" s="13" t="s">
        <v>159</v>
      </c>
      <c r="H758" s="13" t="s">
        <v>101</v>
      </c>
      <c r="I758" s="21" t="s">
        <v>2759</v>
      </c>
      <c r="J758" s="21" t="s">
        <v>178</v>
      </c>
      <c r="K758" s="21" t="s">
        <v>2760</v>
      </c>
      <c r="L758" s="22" t="s">
        <v>37</v>
      </c>
      <c r="M758" s="21" t="s">
        <v>163</v>
      </c>
      <c r="N758" s="13" t="s">
        <v>106</v>
      </c>
      <c r="O758" s="23" t="n">
        <v>11.89</v>
      </c>
      <c r="P758" s="13" t="n">
        <v>1</v>
      </c>
      <c r="Q758" s="24" t="n">
        <v>46310.7696990741</v>
      </c>
      <c r="R758" s="22" t="s">
        <v>37</v>
      </c>
      <c r="S758" s="13" t="s">
        <v>107</v>
      </c>
      <c r="T758" s="13" t="str">
        <f aca="false">IF(S758="Oui",IF(R758=L758,"Identique","Changé"),"")</f>
        <v>Identique</v>
      </c>
    </row>
    <row r="759" customFormat="false" ht="35.05" hidden="false" customHeight="false" outlineLevel="0" collapsed="false">
      <c r="A759" s="13" t="s">
        <v>2761</v>
      </c>
      <c r="B759" s="13" t="s">
        <v>2754</v>
      </c>
      <c r="C759" s="13" t="n">
        <v>3</v>
      </c>
      <c r="D759" s="13" t="s">
        <v>135</v>
      </c>
      <c r="E759" s="13" t="s">
        <v>185</v>
      </c>
      <c r="F759" s="13" t="s">
        <v>2762</v>
      </c>
      <c r="G759" s="13" t="s">
        <v>363</v>
      </c>
      <c r="H759" s="13" t="s">
        <v>152</v>
      </c>
      <c r="I759" s="21" t="s">
        <v>2763</v>
      </c>
      <c r="J759" s="21" t="s">
        <v>154</v>
      </c>
      <c r="K759" s="21" t="s">
        <v>2764</v>
      </c>
      <c r="L759" s="22" t="s">
        <v>40</v>
      </c>
      <c r="M759" s="21" t="s">
        <v>156</v>
      </c>
      <c r="N759" s="13" t="s">
        <v>106</v>
      </c>
      <c r="O759" s="23" t="n">
        <v>14.03</v>
      </c>
      <c r="P759" s="13" t="n">
        <v>1</v>
      </c>
      <c r="Q759" s="24" t="n">
        <v>46310.77</v>
      </c>
      <c r="R759" s="22" t="s">
        <v>40</v>
      </c>
      <c r="S759" s="13" t="s">
        <v>107</v>
      </c>
      <c r="T759" s="13" t="str">
        <f aca="false">IF(S759="Oui",IF(R759=L759,"Identique","Changé"),"")</f>
        <v>Identique</v>
      </c>
    </row>
    <row r="760" customFormat="false" ht="46.25" hidden="false" customHeight="false" outlineLevel="0" collapsed="false">
      <c r="A760" s="13" t="s">
        <v>2765</v>
      </c>
      <c r="B760" s="13" t="s">
        <v>2754</v>
      </c>
      <c r="C760" s="13" t="n">
        <v>4</v>
      </c>
      <c r="D760" s="13" t="s">
        <v>135</v>
      </c>
      <c r="E760" s="13" t="s">
        <v>122</v>
      </c>
      <c r="F760" s="13" t="s">
        <v>2762</v>
      </c>
      <c r="G760" s="13" t="s">
        <v>1840</v>
      </c>
      <c r="H760" s="13" t="s">
        <v>101</v>
      </c>
      <c r="I760" s="21" t="s">
        <v>2766</v>
      </c>
      <c r="J760" s="21" t="s">
        <v>284</v>
      </c>
      <c r="K760" s="21" t="s">
        <v>2767</v>
      </c>
      <c r="L760" s="22" t="s">
        <v>37</v>
      </c>
      <c r="M760" s="21" t="s">
        <v>163</v>
      </c>
      <c r="N760" s="13" t="s">
        <v>106</v>
      </c>
      <c r="O760" s="23" t="n">
        <v>10.72</v>
      </c>
      <c r="P760" s="13" t="n">
        <v>1</v>
      </c>
      <c r="Q760" s="24" t="n">
        <v>46310.7702546296</v>
      </c>
      <c r="R760" s="22" t="s">
        <v>37</v>
      </c>
      <c r="S760" s="13" t="s">
        <v>107</v>
      </c>
      <c r="T760" s="13" t="str">
        <f aca="false">IF(S760="Oui",IF(R760=L760,"Identique","Changé"),"")</f>
        <v>Identique</v>
      </c>
    </row>
    <row r="761" customFormat="false" ht="46.25" hidden="false" customHeight="false" outlineLevel="0" collapsed="false">
      <c r="A761" s="13" t="s">
        <v>2768</v>
      </c>
      <c r="B761" s="13" t="s">
        <v>2754</v>
      </c>
      <c r="C761" s="13" t="n">
        <v>5</v>
      </c>
      <c r="D761" s="13" t="s">
        <v>135</v>
      </c>
      <c r="E761" s="13" t="s">
        <v>114</v>
      </c>
      <c r="F761" s="13" t="s">
        <v>2755</v>
      </c>
      <c r="G761" s="13" t="s">
        <v>1887</v>
      </c>
      <c r="H761" s="13" t="s">
        <v>101</v>
      </c>
      <c r="I761" s="21" t="s">
        <v>2769</v>
      </c>
      <c r="J761" s="21" t="s">
        <v>512</v>
      </c>
      <c r="K761" s="21" t="s">
        <v>2770</v>
      </c>
      <c r="L761" s="22" t="s">
        <v>37</v>
      </c>
      <c r="M761" s="21" t="s">
        <v>163</v>
      </c>
      <c r="N761" s="13" t="s">
        <v>106</v>
      </c>
      <c r="O761" s="23" t="n">
        <v>10.45</v>
      </c>
      <c r="P761" s="13" t="n">
        <v>1</v>
      </c>
      <c r="Q761" s="24" t="n">
        <v>46310.7704976852</v>
      </c>
      <c r="R761" s="22" t="s">
        <v>36</v>
      </c>
      <c r="S761" s="13" t="s">
        <v>107</v>
      </c>
      <c r="T761" s="13" t="str">
        <f aca="false">IF(S761="Oui",IF(R761=L761,"Identique","Changé"),"")</f>
        <v>Changé</v>
      </c>
    </row>
    <row r="762" customFormat="false" ht="79.85" hidden="false" customHeight="false" outlineLevel="0" collapsed="false">
      <c r="A762" s="13" t="s">
        <v>2771</v>
      </c>
      <c r="B762" s="13" t="s">
        <v>2772</v>
      </c>
      <c r="C762" s="13" t="n">
        <v>1</v>
      </c>
      <c r="D762" s="13" t="s">
        <v>97</v>
      </c>
      <c r="E762" s="13" t="s">
        <v>122</v>
      </c>
      <c r="F762" s="13" t="s">
        <v>115</v>
      </c>
      <c r="G762" s="13" t="s">
        <v>1840</v>
      </c>
      <c r="H762" s="13" t="s">
        <v>101</v>
      </c>
      <c r="I762" s="21" t="s">
        <v>2773</v>
      </c>
      <c r="J762" s="21" t="s">
        <v>284</v>
      </c>
      <c r="K762" s="21" t="s">
        <v>2774</v>
      </c>
      <c r="L762" s="22" t="s">
        <v>36</v>
      </c>
      <c r="M762" s="21" t="s">
        <v>120</v>
      </c>
      <c r="N762" s="13" t="s">
        <v>106</v>
      </c>
      <c r="O762" s="23" t="n">
        <v>39.77</v>
      </c>
      <c r="P762" s="13" t="n">
        <v>1</v>
      </c>
      <c r="Q762" s="24" t="n">
        <v>46310.7711689815</v>
      </c>
      <c r="R762" s="22" t="s">
        <v>37</v>
      </c>
      <c r="S762" s="13" t="s">
        <v>107</v>
      </c>
      <c r="T762" s="13" t="str">
        <f aca="false">IF(S762="Oui",IF(R762=L762,"Identique","Changé"),"")</f>
        <v>Changé</v>
      </c>
    </row>
    <row r="763" customFormat="false" ht="35.05" hidden="false" customHeight="false" outlineLevel="0" collapsed="false">
      <c r="A763" s="13" t="s">
        <v>2775</v>
      </c>
      <c r="B763" s="13" t="s">
        <v>2772</v>
      </c>
      <c r="C763" s="13" t="n">
        <v>2</v>
      </c>
      <c r="D763" s="13" t="s">
        <v>97</v>
      </c>
      <c r="E763" s="13" t="s">
        <v>122</v>
      </c>
      <c r="F763" s="13" t="s">
        <v>115</v>
      </c>
      <c r="G763" s="13" t="s">
        <v>1833</v>
      </c>
      <c r="H763" s="13" t="s">
        <v>101</v>
      </c>
      <c r="I763" s="21" t="s">
        <v>2776</v>
      </c>
      <c r="J763" s="21" t="s">
        <v>1741</v>
      </c>
      <c r="K763" s="21" t="s">
        <v>2777</v>
      </c>
      <c r="L763" s="22" t="s">
        <v>36</v>
      </c>
      <c r="M763" s="21" t="s">
        <v>235</v>
      </c>
      <c r="N763" s="13" t="s">
        <v>106</v>
      </c>
      <c r="O763" s="23" t="n">
        <v>9.06</v>
      </c>
      <c r="P763" s="13" t="n">
        <v>1</v>
      </c>
      <c r="Q763" s="24" t="n">
        <v>46310.771400463</v>
      </c>
      <c r="R763" s="22" t="s">
        <v>37</v>
      </c>
      <c r="S763" s="13" t="s">
        <v>107</v>
      </c>
      <c r="T763" s="13" t="str">
        <f aca="false">IF(S763="Oui",IF(R763=L763,"Identique","Changé"),"")</f>
        <v>Changé</v>
      </c>
    </row>
    <row r="764" customFormat="false" ht="46.25" hidden="false" customHeight="false" outlineLevel="0" collapsed="false">
      <c r="A764" s="13" t="s">
        <v>2778</v>
      </c>
      <c r="B764" s="13" t="s">
        <v>2772</v>
      </c>
      <c r="C764" s="13" t="n">
        <v>3</v>
      </c>
      <c r="D764" s="13" t="s">
        <v>97</v>
      </c>
      <c r="E764" s="13" t="s">
        <v>158</v>
      </c>
      <c r="F764" s="13" t="s">
        <v>115</v>
      </c>
      <c r="G764" s="13" t="s">
        <v>1918</v>
      </c>
      <c r="H764" s="13" t="s">
        <v>101</v>
      </c>
      <c r="I764" s="21" t="s">
        <v>2779</v>
      </c>
      <c r="J764" s="21" t="s">
        <v>284</v>
      </c>
      <c r="K764" s="21" t="s">
        <v>2780</v>
      </c>
      <c r="L764" s="22" t="s">
        <v>36</v>
      </c>
      <c r="M764" s="21" t="s">
        <v>120</v>
      </c>
      <c r="N764" s="13" t="s">
        <v>106</v>
      </c>
      <c r="O764" s="23" t="n">
        <v>10.6</v>
      </c>
      <c r="P764" s="13" t="n">
        <v>1</v>
      </c>
      <c r="Q764" s="24" t="n">
        <v>46310.7716435185</v>
      </c>
      <c r="R764" s="22" t="s">
        <v>36</v>
      </c>
      <c r="S764" s="13" t="s">
        <v>107</v>
      </c>
      <c r="T764" s="13" t="str">
        <f aca="false">IF(S764="Oui",IF(R764=L764,"Identique","Changé"),"")</f>
        <v>Identique</v>
      </c>
    </row>
    <row r="765" customFormat="false" ht="68.65" hidden="false" customHeight="false" outlineLevel="0" collapsed="false">
      <c r="A765" s="13" t="s">
        <v>2781</v>
      </c>
      <c r="B765" s="13" t="s">
        <v>2772</v>
      </c>
      <c r="C765" s="13" t="n">
        <v>4</v>
      </c>
      <c r="D765" s="13" t="s">
        <v>97</v>
      </c>
      <c r="E765" s="13" t="s">
        <v>122</v>
      </c>
      <c r="F765" s="13" t="s">
        <v>115</v>
      </c>
      <c r="G765" s="13" t="s">
        <v>1848</v>
      </c>
      <c r="H765" s="13" t="s">
        <v>101</v>
      </c>
      <c r="I765" s="21" t="s">
        <v>2782</v>
      </c>
      <c r="J765" s="21" t="s">
        <v>2690</v>
      </c>
      <c r="K765" s="21" t="s">
        <v>2783</v>
      </c>
      <c r="L765" s="22" t="s">
        <v>36</v>
      </c>
      <c r="M765" s="21" t="s">
        <v>235</v>
      </c>
      <c r="N765" s="13" t="s">
        <v>106</v>
      </c>
      <c r="O765" s="23" t="n">
        <v>10.63</v>
      </c>
      <c r="P765" s="13" t="n">
        <v>1</v>
      </c>
      <c r="Q765" s="24" t="n">
        <v>46310.7718865741</v>
      </c>
      <c r="R765" s="22" t="s">
        <v>37</v>
      </c>
      <c r="S765" s="13" t="s">
        <v>107</v>
      </c>
      <c r="T765" s="13" t="str">
        <f aca="false">IF(S765="Oui",IF(R765=L765,"Identique","Changé"),"")</f>
        <v>Changé</v>
      </c>
    </row>
    <row r="766" customFormat="false" ht="46.25" hidden="false" customHeight="false" outlineLevel="0" collapsed="false">
      <c r="A766" s="13" t="s">
        <v>2784</v>
      </c>
      <c r="B766" s="13" t="s">
        <v>2772</v>
      </c>
      <c r="C766" s="13" t="n">
        <v>5</v>
      </c>
      <c r="D766" s="13" t="s">
        <v>97</v>
      </c>
      <c r="E766" s="13" t="s">
        <v>158</v>
      </c>
      <c r="F766" s="13" t="s">
        <v>115</v>
      </c>
      <c r="G766" s="13" t="s">
        <v>1951</v>
      </c>
      <c r="H766" s="13" t="s">
        <v>101</v>
      </c>
      <c r="I766" s="21" t="s">
        <v>2785</v>
      </c>
      <c r="J766" s="21" t="s">
        <v>512</v>
      </c>
      <c r="K766" s="21" t="s">
        <v>2786</v>
      </c>
      <c r="L766" s="22" t="s">
        <v>36</v>
      </c>
      <c r="M766" s="21" t="s">
        <v>120</v>
      </c>
      <c r="N766" s="13" t="s">
        <v>106</v>
      </c>
      <c r="O766" s="23" t="n">
        <v>8.13</v>
      </c>
      <c r="P766" s="13" t="n">
        <v>1</v>
      </c>
      <c r="Q766" s="24" t="n">
        <v>46310.7721064815</v>
      </c>
      <c r="R766" s="22" t="s">
        <v>36</v>
      </c>
      <c r="S766" s="13" t="s">
        <v>107</v>
      </c>
      <c r="T766" s="13" t="str">
        <f aca="false">IF(S766="Oui",IF(R766=L766,"Identique","Changé"),"")</f>
        <v>Identique</v>
      </c>
    </row>
    <row r="767" customFormat="false" ht="35.05" hidden="false" customHeight="false" outlineLevel="0" collapsed="false">
      <c r="A767" s="13" t="s">
        <v>2787</v>
      </c>
      <c r="B767" s="13" t="s">
        <v>2788</v>
      </c>
      <c r="C767" s="13" t="n">
        <v>1</v>
      </c>
      <c r="D767" s="13" t="s">
        <v>135</v>
      </c>
      <c r="E767" s="13" t="s">
        <v>570</v>
      </c>
      <c r="F767" s="13" t="s">
        <v>2789</v>
      </c>
      <c r="G767" s="13" t="s">
        <v>1811</v>
      </c>
      <c r="H767" s="13" t="s">
        <v>101</v>
      </c>
      <c r="I767" s="21" t="s">
        <v>2790</v>
      </c>
      <c r="J767" s="21" t="s">
        <v>1649</v>
      </c>
      <c r="K767" s="21" t="s">
        <v>2791</v>
      </c>
      <c r="L767" s="22" t="s">
        <v>36</v>
      </c>
      <c r="M767" s="21" t="s">
        <v>235</v>
      </c>
      <c r="N767" s="13" t="s">
        <v>106</v>
      </c>
      <c r="O767" s="23" t="n">
        <v>41.07</v>
      </c>
      <c r="P767" s="13" t="n">
        <v>1</v>
      </c>
      <c r="Q767" s="24" t="n">
        <v>46310.7727430556</v>
      </c>
      <c r="R767" s="22" t="s">
        <v>36</v>
      </c>
      <c r="S767" s="13" t="s">
        <v>107</v>
      </c>
      <c r="T767" s="13" t="str">
        <f aca="false">IF(S767="Oui",IF(R767=L767,"Identique","Changé"),"")</f>
        <v>Identique</v>
      </c>
    </row>
    <row r="768" customFormat="false" ht="35.05" hidden="false" customHeight="false" outlineLevel="0" collapsed="false">
      <c r="A768" s="13" t="s">
        <v>2792</v>
      </c>
      <c r="B768" s="13" t="s">
        <v>2788</v>
      </c>
      <c r="C768" s="13" t="n">
        <v>2</v>
      </c>
      <c r="D768" s="13" t="s">
        <v>135</v>
      </c>
      <c r="E768" s="13" t="s">
        <v>570</v>
      </c>
      <c r="F768" s="13" t="s">
        <v>2789</v>
      </c>
      <c r="G768" s="13" t="s">
        <v>1859</v>
      </c>
      <c r="H768" s="13" t="s">
        <v>101</v>
      </c>
      <c r="I768" s="21" t="s">
        <v>2793</v>
      </c>
      <c r="J768" s="21" t="s">
        <v>1649</v>
      </c>
      <c r="K768" s="21" t="s">
        <v>2794</v>
      </c>
      <c r="L768" s="22" t="s">
        <v>36</v>
      </c>
      <c r="M768" s="21" t="s">
        <v>235</v>
      </c>
      <c r="N768" s="13" t="s">
        <v>106</v>
      </c>
      <c r="O768" s="23" t="n">
        <v>11.94</v>
      </c>
      <c r="P768" s="13" t="n">
        <v>1</v>
      </c>
      <c r="Q768" s="24" t="n">
        <v>46310.7730092593</v>
      </c>
      <c r="R768" s="22" t="s">
        <v>36</v>
      </c>
      <c r="S768" s="13" t="s">
        <v>107</v>
      </c>
      <c r="T768" s="13" t="str">
        <f aca="false">IF(S768="Oui",IF(R768=L768,"Identique","Changé"),"")</f>
        <v>Identique</v>
      </c>
    </row>
    <row r="769" customFormat="false" ht="46.25" hidden="false" customHeight="false" outlineLevel="0" collapsed="false">
      <c r="A769" s="13" t="s">
        <v>2795</v>
      </c>
      <c r="B769" s="13" t="s">
        <v>2788</v>
      </c>
      <c r="C769" s="13" t="n">
        <v>3</v>
      </c>
      <c r="D769" s="13" t="s">
        <v>135</v>
      </c>
      <c r="E769" s="13" t="s">
        <v>171</v>
      </c>
      <c r="F769" s="13" t="s">
        <v>2796</v>
      </c>
      <c r="G769" s="13" t="s">
        <v>1998</v>
      </c>
      <c r="H769" s="13" t="s">
        <v>101</v>
      </c>
      <c r="I769" s="21" t="s">
        <v>2797</v>
      </c>
      <c r="J769" s="21" t="s">
        <v>2798</v>
      </c>
      <c r="K769" s="21" t="s">
        <v>2799</v>
      </c>
      <c r="L769" s="22" t="s">
        <v>36</v>
      </c>
      <c r="M769" s="21" t="s">
        <v>120</v>
      </c>
      <c r="N769" s="13" t="s">
        <v>106</v>
      </c>
      <c r="O769" s="23" t="n">
        <v>9.5</v>
      </c>
      <c r="P769" s="13" t="n">
        <v>1</v>
      </c>
      <c r="Q769" s="24" t="n">
        <v>46310.7732407407</v>
      </c>
      <c r="R769" s="22" t="s">
        <v>36</v>
      </c>
      <c r="S769" s="13" t="s">
        <v>107</v>
      </c>
      <c r="T769" s="13" t="str">
        <f aca="false">IF(S769="Oui",IF(R769=L769,"Identique","Changé"),"")</f>
        <v>Identique</v>
      </c>
    </row>
    <row r="770" customFormat="false" ht="46.25" hidden="false" customHeight="false" outlineLevel="0" collapsed="false">
      <c r="A770" s="13" t="s">
        <v>2800</v>
      </c>
      <c r="B770" s="13" t="s">
        <v>2788</v>
      </c>
      <c r="C770" s="13" t="n">
        <v>4</v>
      </c>
      <c r="D770" s="13" t="s">
        <v>135</v>
      </c>
      <c r="E770" s="13" t="s">
        <v>185</v>
      </c>
      <c r="F770" s="13" t="s">
        <v>2796</v>
      </c>
      <c r="G770" s="13" t="s">
        <v>363</v>
      </c>
      <c r="H770" s="13" t="s">
        <v>152</v>
      </c>
      <c r="I770" s="21" t="s">
        <v>2801</v>
      </c>
      <c r="J770" s="21" t="s">
        <v>154</v>
      </c>
      <c r="K770" s="21" t="s">
        <v>2802</v>
      </c>
      <c r="L770" s="22" t="s">
        <v>40</v>
      </c>
      <c r="M770" s="21" t="s">
        <v>156</v>
      </c>
      <c r="N770" s="13" t="s">
        <v>106</v>
      </c>
      <c r="O770" s="23" t="n">
        <v>9.05</v>
      </c>
      <c r="P770" s="13" t="n">
        <v>1</v>
      </c>
      <c r="Q770" s="24" t="n">
        <v>46310.7734606482</v>
      </c>
      <c r="R770" s="22" t="s">
        <v>40</v>
      </c>
      <c r="S770" s="13" t="s">
        <v>107</v>
      </c>
      <c r="T770" s="13" t="str">
        <f aca="false">IF(S770="Oui",IF(R770=L770,"Identique","Changé"),"")</f>
        <v>Identique</v>
      </c>
    </row>
    <row r="771" customFormat="false" ht="57.45" hidden="false" customHeight="false" outlineLevel="0" collapsed="false">
      <c r="A771" s="13" t="s">
        <v>2803</v>
      </c>
      <c r="B771" s="13" t="s">
        <v>2788</v>
      </c>
      <c r="C771" s="13" t="n">
        <v>5</v>
      </c>
      <c r="D771" s="13" t="s">
        <v>135</v>
      </c>
      <c r="E771" s="13" t="s">
        <v>122</v>
      </c>
      <c r="F771" s="13" t="s">
        <v>2789</v>
      </c>
      <c r="G771" s="13" t="s">
        <v>1905</v>
      </c>
      <c r="H771" s="13" t="s">
        <v>101</v>
      </c>
      <c r="I771" s="21" t="s">
        <v>2804</v>
      </c>
      <c r="J771" s="21" t="s">
        <v>284</v>
      </c>
      <c r="K771" s="21" t="s">
        <v>2805</v>
      </c>
      <c r="L771" s="22" t="s">
        <v>37</v>
      </c>
      <c r="M771" s="21" t="s">
        <v>163</v>
      </c>
      <c r="N771" s="13" t="s">
        <v>106</v>
      </c>
      <c r="O771" s="23" t="n">
        <v>12.47</v>
      </c>
      <c r="P771" s="13" t="n">
        <v>1</v>
      </c>
      <c r="Q771" s="24" t="n">
        <v>46310.7737152778</v>
      </c>
      <c r="R771" s="22" t="s">
        <v>37</v>
      </c>
      <c r="S771" s="13" t="s">
        <v>107</v>
      </c>
      <c r="T771" s="13" t="str">
        <f aca="false">IF(S771="Oui",IF(R771=L771,"Identique","Changé"),"")</f>
        <v>Identique</v>
      </c>
    </row>
    <row r="772" customFormat="false" ht="79.85" hidden="false" customHeight="false" outlineLevel="0" collapsed="false">
      <c r="A772" s="13" t="s">
        <v>2806</v>
      </c>
      <c r="B772" s="13" t="s">
        <v>2807</v>
      </c>
      <c r="C772" s="13" t="n">
        <v>1</v>
      </c>
      <c r="D772" s="13" t="s">
        <v>97</v>
      </c>
      <c r="E772" s="13" t="s">
        <v>122</v>
      </c>
      <c r="F772" s="13" t="s">
        <v>524</v>
      </c>
      <c r="G772" s="13" t="s">
        <v>1874</v>
      </c>
      <c r="H772" s="13" t="s">
        <v>101</v>
      </c>
      <c r="I772" s="21" t="s">
        <v>2808</v>
      </c>
      <c r="J772" s="21" t="s">
        <v>1876</v>
      </c>
      <c r="K772" s="21" t="s">
        <v>2809</v>
      </c>
      <c r="L772" s="22" t="s">
        <v>36</v>
      </c>
      <c r="M772" s="21" t="s">
        <v>1878</v>
      </c>
      <c r="N772" s="13" t="s">
        <v>1085</v>
      </c>
      <c r="O772" s="23" t="n">
        <v>43.35</v>
      </c>
      <c r="P772" s="13" t="n">
        <v>2</v>
      </c>
      <c r="Q772" s="24" t="n">
        <v>46310.7790509259</v>
      </c>
      <c r="R772" s="22" t="s">
        <v>2289</v>
      </c>
      <c r="S772" s="13" t="s">
        <v>107</v>
      </c>
      <c r="T772" s="13" t="str">
        <f aca="false">IF(S772="Oui",IF(R772=L772,"Identique","Changé"),"")</f>
        <v>Changé</v>
      </c>
    </row>
    <row r="773" customFormat="false" ht="35.05" hidden="false" customHeight="false" outlineLevel="0" collapsed="false">
      <c r="A773" s="13" t="s">
        <v>2810</v>
      </c>
      <c r="B773" s="13" t="s">
        <v>2807</v>
      </c>
      <c r="C773" s="13" t="n">
        <v>2</v>
      </c>
      <c r="D773" s="13" t="s">
        <v>97</v>
      </c>
      <c r="E773" s="13" t="s">
        <v>122</v>
      </c>
      <c r="F773" s="13" t="s">
        <v>524</v>
      </c>
      <c r="G773" s="13" t="s">
        <v>1819</v>
      </c>
      <c r="H773" s="13" t="s">
        <v>101</v>
      </c>
      <c r="I773" s="21" t="s">
        <v>2811</v>
      </c>
      <c r="J773" s="21" t="s">
        <v>1741</v>
      </c>
      <c r="K773" s="21" t="s">
        <v>2812</v>
      </c>
      <c r="L773" s="22" t="s">
        <v>38</v>
      </c>
      <c r="M773" s="21" t="s">
        <v>1822</v>
      </c>
      <c r="N773" s="13" t="s">
        <v>106</v>
      </c>
      <c r="O773" s="23" t="n">
        <v>12.24</v>
      </c>
      <c r="P773" s="13" t="n">
        <v>2</v>
      </c>
      <c r="Q773" s="24" t="n">
        <v>46310.7793055556</v>
      </c>
      <c r="R773" s="22" t="s">
        <v>36</v>
      </c>
      <c r="S773" s="13" t="s">
        <v>107</v>
      </c>
      <c r="T773" s="13" t="str">
        <f aca="false">IF(S773="Oui",IF(R773=L773,"Identique","Changé"),"")</f>
        <v>Changé</v>
      </c>
    </row>
    <row r="774" customFormat="false" ht="35.05" hidden="false" customHeight="false" outlineLevel="0" collapsed="false">
      <c r="A774" s="13" t="s">
        <v>2813</v>
      </c>
      <c r="B774" s="13" t="s">
        <v>2807</v>
      </c>
      <c r="C774" s="13" t="n">
        <v>3</v>
      </c>
      <c r="D774" s="13" t="s">
        <v>97</v>
      </c>
      <c r="E774" s="13" t="s">
        <v>260</v>
      </c>
      <c r="F774" s="13" t="s">
        <v>167</v>
      </c>
      <c r="G774" s="13" t="s">
        <v>1897</v>
      </c>
      <c r="H774" s="13" t="s">
        <v>101</v>
      </c>
      <c r="I774" s="21" t="s">
        <v>2814</v>
      </c>
      <c r="J774" s="21" t="s">
        <v>1899</v>
      </c>
      <c r="K774" s="21" t="s">
        <v>2815</v>
      </c>
      <c r="L774" s="22" t="s">
        <v>36</v>
      </c>
      <c r="M774" s="21" t="s">
        <v>120</v>
      </c>
      <c r="N774" s="13" t="s">
        <v>106</v>
      </c>
      <c r="O774" s="23" t="n">
        <v>15.76</v>
      </c>
      <c r="P774" s="13" t="n">
        <v>2</v>
      </c>
      <c r="Q774" s="24" t="n">
        <v>46310.7796064815</v>
      </c>
      <c r="R774" s="22" t="s">
        <v>37</v>
      </c>
      <c r="S774" s="13" t="s">
        <v>107</v>
      </c>
      <c r="T774" s="13" t="str">
        <f aca="false">IF(S774="Oui",IF(R774=L774,"Identique","Changé"),"")</f>
        <v>Changé</v>
      </c>
    </row>
    <row r="775" customFormat="false" ht="35.05" hidden="false" customHeight="false" outlineLevel="0" collapsed="false">
      <c r="A775" s="13" t="s">
        <v>2816</v>
      </c>
      <c r="B775" s="13" t="s">
        <v>2807</v>
      </c>
      <c r="C775" s="13" t="n">
        <v>4</v>
      </c>
      <c r="D775" s="13" t="s">
        <v>97</v>
      </c>
      <c r="E775" s="13" t="s">
        <v>114</v>
      </c>
      <c r="F775" s="13" t="s">
        <v>167</v>
      </c>
      <c r="G775" s="13" t="s">
        <v>1887</v>
      </c>
      <c r="H775" s="13" t="s">
        <v>101</v>
      </c>
      <c r="I775" s="21" t="s">
        <v>2817</v>
      </c>
      <c r="J775" s="21" t="s">
        <v>512</v>
      </c>
      <c r="K775" s="21" t="s">
        <v>2818</v>
      </c>
      <c r="L775" s="22" t="s">
        <v>36</v>
      </c>
      <c r="M775" s="21" t="s">
        <v>120</v>
      </c>
      <c r="N775" s="13" t="s">
        <v>106</v>
      </c>
      <c r="O775" s="23" t="n">
        <v>16.96</v>
      </c>
      <c r="P775" s="13" t="n">
        <v>2</v>
      </c>
      <c r="Q775" s="24" t="n">
        <v>46310.7799305556</v>
      </c>
      <c r="R775" s="22" t="s">
        <v>36</v>
      </c>
      <c r="S775" s="13" t="s">
        <v>107</v>
      </c>
      <c r="T775" s="13" t="str">
        <f aca="false">IF(S775="Oui",IF(R775=L775,"Identique","Changé"),"")</f>
        <v>Identique</v>
      </c>
    </row>
    <row r="776" customFormat="false" ht="46.25" hidden="false" customHeight="false" outlineLevel="0" collapsed="false">
      <c r="A776" s="13" t="s">
        <v>2819</v>
      </c>
      <c r="B776" s="13" t="s">
        <v>2807</v>
      </c>
      <c r="C776" s="13" t="n">
        <v>5</v>
      </c>
      <c r="D776" s="13" t="s">
        <v>97</v>
      </c>
      <c r="E776" s="13" t="s">
        <v>122</v>
      </c>
      <c r="F776" s="13" t="s">
        <v>524</v>
      </c>
      <c r="G776" s="13" t="s">
        <v>1848</v>
      </c>
      <c r="H776" s="13" t="s">
        <v>101</v>
      </c>
      <c r="I776" s="21" t="s">
        <v>2820</v>
      </c>
      <c r="J776" s="21" t="s">
        <v>1850</v>
      </c>
      <c r="K776" s="21" t="s">
        <v>2821</v>
      </c>
      <c r="L776" s="22" t="s">
        <v>36</v>
      </c>
      <c r="M776" s="21" t="s">
        <v>235</v>
      </c>
      <c r="N776" s="13" t="s">
        <v>106</v>
      </c>
      <c r="O776" s="23" t="n">
        <v>11.07</v>
      </c>
      <c r="P776" s="13" t="n">
        <v>2</v>
      </c>
      <c r="Q776" s="24" t="n">
        <v>46310.7801736111</v>
      </c>
      <c r="R776" s="22" t="s">
        <v>38</v>
      </c>
      <c r="S776" s="13" t="s">
        <v>107</v>
      </c>
      <c r="T776" s="13" t="str">
        <f aca="false">IF(S776="Oui",IF(R776=L776,"Identique","Changé"),"")</f>
        <v>Changé</v>
      </c>
    </row>
    <row r="777" customFormat="false" ht="57.45" hidden="false" customHeight="false" outlineLevel="0" collapsed="false">
      <c r="A777" s="13" t="s">
        <v>2822</v>
      </c>
      <c r="B777" s="13" t="s">
        <v>2823</v>
      </c>
      <c r="C777" s="13" t="n">
        <v>1</v>
      </c>
      <c r="D777" s="13" t="s">
        <v>135</v>
      </c>
      <c r="E777" s="13" t="s">
        <v>570</v>
      </c>
      <c r="F777" s="13" t="s">
        <v>2824</v>
      </c>
      <c r="G777" s="13" t="s">
        <v>1811</v>
      </c>
      <c r="H777" s="13" t="s">
        <v>101</v>
      </c>
      <c r="I777" s="21" t="s">
        <v>2825</v>
      </c>
      <c r="J777" s="21" t="s">
        <v>1741</v>
      </c>
      <c r="K777" s="21" t="s">
        <v>2826</v>
      </c>
      <c r="L777" s="22" t="s">
        <v>36</v>
      </c>
      <c r="M777" s="21" t="s">
        <v>235</v>
      </c>
      <c r="N777" s="13" t="s">
        <v>106</v>
      </c>
      <c r="O777" s="23" t="n">
        <v>62.08</v>
      </c>
      <c r="P777" s="13" t="n">
        <v>1</v>
      </c>
      <c r="Q777" s="24" t="n">
        <v>46310.7810648148</v>
      </c>
      <c r="R777" s="22" t="s">
        <v>36</v>
      </c>
      <c r="S777" s="13" t="s">
        <v>107</v>
      </c>
      <c r="T777" s="13" t="str">
        <f aca="false">IF(S777="Oui",IF(R777=L777,"Identique","Changé"),"")</f>
        <v>Identique</v>
      </c>
    </row>
    <row r="778" customFormat="false" ht="68.65" hidden="false" customHeight="false" outlineLevel="0" collapsed="false">
      <c r="A778" s="13" t="s">
        <v>2827</v>
      </c>
      <c r="B778" s="13" t="s">
        <v>2823</v>
      </c>
      <c r="C778" s="13" t="n">
        <v>2</v>
      </c>
      <c r="D778" s="13" t="s">
        <v>135</v>
      </c>
      <c r="E778" s="13" t="s">
        <v>122</v>
      </c>
      <c r="F778" s="13" t="s">
        <v>2824</v>
      </c>
      <c r="G778" s="13" t="s">
        <v>1395</v>
      </c>
      <c r="H778" s="13" t="s">
        <v>101</v>
      </c>
      <c r="I778" s="21" t="s">
        <v>2828</v>
      </c>
      <c r="J778" s="21" t="s">
        <v>512</v>
      </c>
      <c r="K778" s="21" t="s">
        <v>2829</v>
      </c>
      <c r="L778" s="22" t="s">
        <v>36</v>
      </c>
      <c r="M778" s="21" t="s">
        <v>1398</v>
      </c>
      <c r="N778" s="13" t="s">
        <v>1085</v>
      </c>
      <c r="O778" s="23" t="n">
        <v>15.6</v>
      </c>
      <c r="P778" s="13" t="n">
        <v>1</v>
      </c>
      <c r="Q778" s="24" t="n">
        <v>46310.7813657407</v>
      </c>
      <c r="R778" s="22" t="s">
        <v>37</v>
      </c>
      <c r="S778" s="13" t="s">
        <v>107</v>
      </c>
      <c r="T778" s="13" t="str">
        <f aca="false">IF(S778="Oui",IF(R778=L778,"Identique","Changé"),"")</f>
        <v>Changé</v>
      </c>
    </row>
    <row r="779" customFormat="false" ht="57.45" hidden="false" customHeight="false" outlineLevel="0" collapsed="false">
      <c r="A779" s="13" t="s">
        <v>2830</v>
      </c>
      <c r="B779" s="13" t="s">
        <v>2823</v>
      </c>
      <c r="C779" s="13" t="n">
        <v>3</v>
      </c>
      <c r="D779" s="13" t="s">
        <v>135</v>
      </c>
      <c r="E779" s="13" t="s">
        <v>158</v>
      </c>
      <c r="F779" s="13" t="s">
        <v>2824</v>
      </c>
      <c r="G779" s="13" t="s">
        <v>1909</v>
      </c>
      <c r="H779" s="13" t="s">
        <v>101</v>
      </c>
      <c r="I779" s="21" t="s">
        <v>2831</v>
      </c>
      <c r="J779" s="21" t="s">
        <v>284</v>
      </c>
      <c r="K779" s="21" t="s">
        <v>2832</v>
      </c>
      <c r="L779" s="22" t="s">
        <v>37</v>
      </c>
      <c r="M779" s="21" t="s">
        <v>163</v>
      </c>
      <c r="N779" s="13" t="s">
        <v>106</v>
      </c>
      <c r="O779" s="23" t="n">
        <v>13.89</v>
      </c>
      <c r="P779" s="13" t="n">
        <v>1</v>
      </c>
      <c r="Q779" s="24" t="n">
        <v>46310.7816550926</v>
      </c>
      <c r="R779" s="22" t="s">
        <v>36</v>
      </c>
      <c r="S779" s="13" t="s">
        <v>107</v>
      </c>
      <c r="T779" s="13" t="str">
        <f aca="false">IF(S779="Oui",IF(R779=L779,"Identique","Changé"),"")</f>
        <v>Changé</v>
      </c>
    </row>
    <row r="780" customFormat="false" ht="46.25" hidden="false" customHeight="false" outlineLevel="0" collapsed="false">
      <c r="A780" s="13" t="s">
        <v>2833</v>
      </c>
      <c r="B780" s="13" t="s">
        <v>2823</v>
      </c>
      <c r="C780" s="13" t="n">
        <v>4</v>
      </c>
      <c r="D780" s="13" t="s">
        <v>135</v>
      </c>
      <c r="E780" s="13" t="s">
        <v>122</v>
      </c>
      <c r="F780" s="13" t="s">
        <v>2824</v>
      </c>
      <c r="G780" s="13" t="s">
        <v>1891</v>
      </c>
      <c r="H780" s="13" t="s">
        <v>101</v>
      </c>
      <c r="I780" s="21" t="s">
        <v>2834</v>
      </c>
      <c r="J780" s="21" t="s">
        <v>1741</v>
      </c>
      <c r="K780" s="21" t="s">
        <v>2835</v>
      </c>
      <c r="L780" s="22" t="s">
        <v>36</v>
      </c>
      <c r="M780" s="21" t="s">
        <v>235</v>
      </c>
      <c r="N780" s="13" t="s">
        <v>106</v>
      </c>
      <c r="O780" s="23" t="n">
        <v>75.31</v>
      </c>
      <c r="P780" s="13" t="n">
        <v>1</v>
      </c>
      <c r="Q780" s="24" t="n">
        <v>46310.782650463</v>
      </c>
      <c r="R780" s="22" t="s">
        <v>36</v>
      </c>
      <c r="S780" s="13" t="s">
        <v>107</v>
      </c>
      <c r="T780" s="13" t="str">
        <f aca="false">IF(S780="Oui",IF(R780=L780,"Identique","Changé"),"")</f>
        <v>Identique</v>
      </c>
    </row>
    <row r="781" customFormat="false" ht="46.25" hidden="false" customHeight="false" outlineLevel="0" collapsed="false">
      <c r="A781" s="13" t="s">
        <v>2836</v>
      </c>
      <c r="B781" s="13" t="s">
        <v>2823</v>
      </c>
      <c r="C781" s="13" t="n">
        <v>5</v>
      </c>
      <c r="D781" s="13" t="s">
        <v>135</v>
      </c>
      <c r="E781" s="13" t="s">
        <v>158</v>
      </c>
      <c r="F781" s="13" t="s">
        <v>2824</v>
      </c>
      <c r="G781" s="13" t="s">
        <v>1918</v>
      </c>
      <c r="H781" s="13" t="s">
        <v>101</v>
      </c>
      <c r="I781" s="21" t="s">
        <v>2837</v>
      </c>
      <c r="J781" s="21" t="s">
        <v>284</v>
      </c>
      <c r="K781" s="21" t="s">
        <v>2838</v>
      </c>
      <c r="L781" s="22" t="s">
        <v>36</v>
      </c>
      <c r="M781" s="21" t="s">
        <v>120</v>
      </c>
      <c r="N781" s="13" t="s">
        <v>106</v>
      </c>
      <c r="O781" s="23" t="n">
        <v>20.48</v>
      </c>
      <c r="P781" s="13" t="n">
        <v>1</v>
      </c>
      <c r="Q781" s="24" t="n">
        <v>46310.783125</v>
      </c>
      <c r="R781" s="22" t="s">
        <v>36</v>
      </c>
      <c r="S781" s="13" t="s">
        <v>107</v>
      </c>
      <c r="T781" s="13" t="str">
        <f aca="false">IF(S781="Oui",IF(R781=L781,"Identique","Changé"),"")</f>
        <v>Identique</v>
      </c>
    </row>
    <row r="782" customFormat="false" ht="57.45" hidden="false" customHeight="false" outlineLevel="0" collapsed="false">
      <c r="A782" s="13" t="s">
        <v>2839</v>
      </c>
      <c r="B782" s="13" t="s">
        <v>2840</v>
      </c>
      <c r="C782" s="13" t="n">
        <v>1</v>
      </c>
      <c r="D782" s="13" t="s">
        <v>97</v>
      </c>
      <c r="E782" s="13" t="s">
        <v>158</v>
      </c>
      <c r="F782" s="13" t="s">
        <v>339</v>
      </c>
      <c r="G782" s="13" t="s">
        <v>159</v>
      </c>
      <c r="H782" s="13" t="s">
        <v>101</v>
      </c>
      <c r="I782" s="21" t="s">
        <v>2841</v>
      </c>
      <c r="J782" s="21" t="s">
        <v>345</v>
      </c>
      <c r="K782" s="21" t="s">
        <v>2842</v>
      </c>
      <c r="L782" s="22" t="s">
        <v>36</v>
      </c>
      <c r="M782" s="21" t="s">
        <v>235</v>
      </c>
      <c r="N782" s="13" t="s">
        <v>106</v>
      </c>
      <c r="O782" s="23" t="n">
        <v>47.47</v>
      </c>
      <c r="P782" s="13" t="n">
        <v>2</v>
      </c>
      <c r="Q782" s="24" t="n">
        <v>46310.7885300926</v>
      </c>
      <c r="R782" s="22" t="s">
        <v>37</v>
      </c>
      <c r="S782" s="13" t="s">
        <v>107</v>
      </c>
      <c r="T782" s="13" t="str">
        <f aca="false">IF(S782="Oui",IF(R782=L782,"Identique","Changé"),"")</f>
        <v>Changé</v>
      </c>
    </row>
    <row r="783" customFormat="false" ht="57.45" hidden="false" customHeight="false" outlineLevel="0" collapsed="false">
      <c r="A783" s="13" t="s">
        <v>2843</v>
      </c>
      <c r="B783" s="13" t="s">
        <v>2840</v>
      </c>
      <c r="C783" s="13" t="n">
        <v>2</v>
      </c>
      <c r="D783" s="13" t="s">
        <v>97</v>
      </c>
      <c r="E783" s="13" t="s">
        <v>158</v>
      </c>
      <c r="F783" s="13" t="s">
        <v>339</v>
      </c>
      <c r="G783" s="13" t="s">
        <v>1909</v>
      </c>
      <c r="H783" s="13" t="s">
        <v>101</v>
      </c>
      <c r="I783" s="21" t="s">
        <v>2844</v>
      </c>
      <c r="J783" s="21" t="s">
        <v>284</v>
      </c>
      <c r="K783" s="21" t="s">
        <v>2845</v>
      </c>
      <c r="L783" s="22" t="s">
        <v>37</v>
      </c>
      <c r="M783" s="21" t="s">
        <v>163</v>
      </c>
      <c r="N783" s="13" t="s">
        <v>106</v>
      </c>
      <c r="O783" s="23" t="n">
        <v>7.94</v>
      </c>
      <c r="P783" s="13" t="n">
        <v>2</v>
      </c>
      <c r="Q783" s="24" t="n">
        <v>46310.7887384259</v>
      </c>
      <c r="R783" s="22" t="s">
        <v>36</v>
      </c>
      <c r="S783" s="13" t="s">
        <v>107</v>
      </c>
      <c r="T783" s="13" t="str">
        <f aca="false">IF(S783="Oui",IF(R783=L783,"Identique","Changé"),"")</f>
        <v>Changé</v>
      </c>
    </row>
    <row r="784" customFormat="false" ht="79.85" hidden="false" customHeight="false" outlineLevel="0" collapsed="false">
      <c r="A784" s="13" t="s">
        <v>2846</v>
      </c>
      <c r="B784" s="13" t="s">
        <v>2840</v>
      </c>
      <c r="C784" s="13" t="n">
        <v>3</v>
      </c>
      <c r="D784" s="13" t="s">
        <v>97</v>
      </c>
      <c r="E784" s="13" t="s">
        <v>570</v>
      </c>
      <c r="F784" s="13" t="s">
        <v>627</v>
      </c>
      <c r="G784" s="13" t="s">
        <v>1824</v>
      </c>
      <c r="H784" s="13" t="s">
        <v>152</v>
      </c>
      <c r="I784" s="21" t="s">
        <v>2847</v>
      </c>
      <c r="J784" s="21" t="s">
        <v>154</v>
      </c>
      <c r="K784" s="21" t="s">
        <v>2848</v>
      </c>
      <c r="L784" s="22" t="s">
        <v>41</v>
      </c>
      <c r="M784" s="21" t="s">
        <v>2849</v>
      </c>
      <c r="N784" s="13" t="s">
        <v>1085</v>
      </c>
      <c r="O784" s="23" t="n">
        <v>30.21</v>
      </c>
      <c r="P784" s="13" t="n">
        <v>2</v>
      </c>
      <c r="Q784" s="24" t="n">
        <v>46310.789212963</v>
      </c>
      <c r="R784" s="22" t="s">
        <v>40</v>
      </c>
      <c r="S784" s="13" t="s">
        <v>107</v>
      </c>
      <c r="T784" s="13" t="str">
        <f aca="false">IF(S784="Oui",IF(R784=L784,"Identique","Changé"),"")</f>
        <v>Changé</v>
      </c>
    </row>
    <row r="785" customFormat="false" ht="68.65" hidden="false" customHeight="false" outlineLevel="0" collapsed="false">
      <c r="A785" s="13" t="s">
        <v>2850</v>
      </c>
      <c r="B785" s="13" t="s">
        <v>2840</v>
      </c>
      <c r="C785" s="13" t="n">
        <v>4</v>
      </c>
      <c r="D785" s="13" t="s">
        <v>97</v>
      </c>
      <c r="E785" s="13" t="s">
        <v>570</v>
      </c>
      <c r="F785" s="13" t="s">
        <v>627</v>
      </c>
      <c r="G785" s="13" t="s">
        <v>1859</v>
      </c>
      <c r="H785" s="13" t="s">
        <v>101</v>
      </c>
      <c r="I785" s="21" t="s">
        <v>2851</v>
      </c>
      <c r="J785" s="21" t="s">
        <v>1741</v>
      </c>
      <c r="K785" s="21" t="s">
        <v>2852</v>
      </c>
      <c r="L785" s="22" t="s">
        <v>36</v>
      </c>
      <c r="M785" s="21" t="s">
        <v>235</v>
      </c>
      <c r="N785" s="13" t="s">
        <v>106</v>
      </c>
      <c r="O785" s="23" t="n">
        <v>8.44</v>
      </c>
      <c r="P785" s="13" t="n">
        <v>2</v>
      </c>
      <c r="Q785" s="24" t="n">
        <v>46310.7894212963</v>
      </c>
      <c r="R785" s="22" t="s">
        <v>36</v>
      </c>
      <c r="S785" s="13" t="s">
        <v>107</v>
      </c>
      <c r="T785" s="13" t="str">
        <f aca="false">IF(S785="Oui",IF(R785=L785,"Identique","Changé"),"")</f>
        <v>Identique</v>
      </c>
    </row>
    <row r="786" customFormat="false" ht="57.45" hidden="false" customHeight="false" outlineLevel="0" collapsed="false">
      <c r="A786" s="13" t="s">
        <v>2853</v>
      </c>
      <c r="B786" s="13" t="s">
        <v>2840</v>
      </c>
      <c r="C786" s="13" t="n">
        <v>5</v>
      </c>
      <c r="D786" s="13" t="s">
        <v>97</v>
      </c>
      <c r="E786" s="13" t="s">
        <v>128</v>
      </c>
      <c r="F786" s="13" t="s">
        <v>339</v>
      </c>
      <c r="G786" s="13" t="s">
        <v>1975</v>
      </c>
      <c r="H786" s="13" t="s">
        <v>101</v>
      </c>
      <c r="I786" s="21" t="s">
        <v>2854</v>
      </c>
      <c r="J786" s="21" t="s">
        <v>284</v>
      </c>
      <c r="K786" s="21" t="s">
        <v>2855</v>
      </c>
      <c r="L786" s="22" t="s">
        <v>36</v>
      </c>
      <c r="M786" s="21" t="s">
        <v>120</v>
      </c>
      <c r="N786" s="13" t="s">
        <v>106</v>
      </c>
      <c r="O786" s="23" t="n">
        <v>7.5</v>
      </c>
      <c r="P786" s="13" t="n">
        <v>2</v>
      </c>
      <c r="Q786" s="24" t="n">
        <v>46310.7896412037</v>
      </c>
      <c r="R786" s="22" t="s">
        <v>36</v>
      </c>
      <c r="S786" s="13" t="s">
        <v>107</v>
      </c>
      <c r="T786" s="13" t="str">
        <f aca="false">IF(S786="Oui",IF(R786=L786,"Identique","Changé"),"")</f>
        <v>Identique</v>
      </c>
    </row>
    <row r="787" customFormat="false" ht="57.45" hidden="false" customHeight="false" outlineLevel="0" collapsed="false">
      <c r="A787" s="13" t="s">
        <v>2856</v>
      </c>
      <c r="B787" s="13" t="s">
        <v>2857</v>
      </c>
      <c r="C787" s="13" t="n">
        <v>1</v>
      </c>
      <c r="D787" s="13" t="s">
        <v>135</v>
      </c>
      <c r="E787" s="13" t="s">
        <v>122</v>
      </c>
      <c r="F787" s="13" t="s">
        <v>2858</v>
      </c>
      <c r="G787" s="13" t="s">
        <v>1833</v>
      </c>
      <c r="H787" s="13" t="s">
        <v>101</v>
      </c>
      <c r="I787" s="21" t="s">
        <v>2859</v>
      </c>
      <c r="J787" s="21" t="s">
        <v>1741</v>
      </c>
      <c r="K787" s="21" t="s">
        <v>2860</v>
      </c>
      <c r="L787" s="22" t="s">
        <v>36</v>
      </c>
      <c r="M787" s="21" t="s">
        <v>235</v>
      </c>
      <c r="N787" s="13" t="s">
        <v>106</v>
      </c>
      <c r="O787" s="23" t="n">
        <v>32.47</v>
      </c>
      <c r="P787" s="13" t="n">
        <v>1</v>
      </c>
      <c r="Q787" s="24" t="n">
        <v>46310.7902083333</v>
      </c>
      <c r="R787" s="22" t="s">
        <v>36</v>
      </c>
      <c r="S787" s="13" t="s">
        <v>107</v>
      </c>
      <c r="T787" s="13" t="str">
        <f aca="false">IF(S787="Oui",IF(R787=L787,"Identique","Changé"),"")</f>
        <v>Identique</v>
      </c>
    </row>
    <row r="788" customFormat="false" ht="348.5" hidden="false" customHeight="false" outlineLevel="0" collapsed="false">
      <c r="A788" s="13" t="s">
        <v>2861</v>
      </c>
      <c r="B788" s="13" t="s">
        <v>2857</v>
      </c>
      <c r="C788" s="13" t="n">
        <v>2</v>
      </c>
      <c r="D788" s="13" t="s">
        <v>135</v>
      </c>
      <c r="E788" s="13" t="s">
        <v>1730</v>
      </c>
      <c r="F788" s="13" t="s">
        <v>2858</v>
      </c>
      <c r="G788" s="13" t="s">
        <v>2003</v>
      </c>
      <c r="H788" s="13" t="s">
        <v>101</v>
      </c>
      <c r="I788" s="21" t="s">
        <v>2862</v>
      </c>
      <c r="J788" s="21" t="s">
        <v>2863</v>
      </c>
      <c r="K788" s="21" t="s">
        <v>2864</v>
      </c>
      <c r="L788" s="22" t="s">
        <v>36</v>
      </c>
      <c r="M788" s="21" t="s">
        <v>2007</v>
      </c>
      <c r="N788" s="13" t="s">
        <v>1085</v>
      </c>
      <c r="O788" s="23" t="n">
        <v>11.95</v>
      </c>
      <c r="P788" s="13" t="n">
        <v>1</v>
      </c>
      <c r="Q788" s="24" t="n">
        <v>46310.790462963</v>
      </c>
      <c r="R788" s="22" t="s">
        <v>2289</v>
      </c>
      <c r="S788" s="13" t="s">
        <v>107</v>
      </c>
      <c r="T788" s="13" t="str">
        <f aca="false">IF(S788="Oui",IF(R788=L788,"Identique","Changé"),"")</f>
        <v>Changé</v>
      </c>
    </row>
    <row r="789" customFormat="false" ht="46.25" hidden="false" customHeight="false" outlineLevel="0" collapsed="false">
      <c r="A789" s="13" t="s">
        <v>2865</v>
      </c>
      <c r="B789" s="13" t="s">
        <v>2857</v>
      </c>
      <c r="C789" s="13" t="n">
        <v>3</v>
      </c>
      <c r="D789" s="13" t="s">
        <v>135</v>
      </c>
      <c r="E789" s="13" t="s">
        <v>122</v>
      </c>
      <c r="F789" s="13" t="s">
        <v>2858</v>
      </c>
      <c r="G789" s="13" t="s">
        <v>231</v>
      </c>
      <c r="H789" s="13" t="s">
        <v>101</v>
      </c>
      <c r="I789" s="21" t="s">
        <v>2866</v>
      </c>
      <c r="J789" s="21" t="s">
        <v>1662</v>
      </c>
      <c r="K789" s="21" t="s">
        <v>2867</v>
      </c>
      <c r="L789" s="22" t="s">
        <v>36</v>
      </c>
      <c r="M789" s="21" t="s">
        <v>120</v>
      </c>
      <c r="N789" s="13" t="s">
        <v>106</v>
      </c>
      <c r="O789" s="23" t="n">
        <v>9.79</v>
      </c>
      <c r="P789" s="13" t="n">
        <v>1</v>
      </c>
      <c r="Q789" s="24" t="n">
        <v>46310.7906944445</v>
      </c>
      <c r="R789" s="22" t="s">
        <v>36</v>
      </c>
      <c r="S789" s="13" t="s">
        <v>107</v>
      </c>
      <c r="T789" s="13" t="str">
        <f aca="false">IF(S789="Oui",IF(R789=L789,"Identique","Changé"),"")</f>
        <v>Identique</v>
      </c>
    </row>
    <row r="790" customFormat="false" ht="57.45" hidden="false" customHeight="false" outlineLevel="0" collapsed="false">
      <c r="A790" s="13" t="s">
        <v>2868</v>
      </c>
      <c r="B790" s="13" t="s">
        <v>2857</v>
      </c>
      <c r="C790" s="13" t="n">
        <v>4</v>
      </c>
      <c r="D790" s="13" t="s">
        <v>135</v>
      </c>
      <c r="E790" s="13" t="s">
        <v>122</v>
      </c>
      <c r="F790" s="13" t="s">
        <v>2858</v>
      </c>
      <c r="G790" s="13" t="s">
        <v>1395</v>
      </c>
      <c r="H790" s="13" t="s">
        <v>101</v>
      </c>
      <c r="I790" s="21" t="s">
        <v>2869</v>
      </c>
      <c r="J790" s="21" t="s">
        <v>512</v>
      </c>
      <c r="K790" s="21" t="s">
        <v>2870</v>
      </c>
      <c r="L790" s="22" t="s">
        <v>36</v>
      </c>
      <c r="M790" s="21" t="s">
        <v>120</v>
      </c>
      <c r="N790" s="13" t="s">
        <v>106</v>
      </c>
      <c r="O790" s="23" t="n">
        <v>11.63</v>
      </c>
      <c r="P790" s="13" t="n">
        <v>1</v>
      </c>
      <c r="Q790" s="24" t="n">
        <v>46310.7909490741</v>
      </c>
      <c r="R790" s="22" t="s">
        <v>37</v>
      </c>
      <c r="S790" s="13" t="s">
        <v>107</v>
      </c>
      <c r="T790" s="13" t="str">
        <f aca="false">IF(S790="Oui",IF(R790=L790,"Identique","Changé"),"")</f>
        <v>Changé</v>
      </c>
    </row>
    <row r="791" customFormat="false" ht="35.05" hidden="false" customHeight="false" outlineLevel="0" collapsed="false">
      <c r="A791" s="13" t="s">
        <v>2871</v>
      </c>
      <c r="B791" s="13" t="s">
        <v>2857</v>
      </c>
      <c r="C791" s="13" t="n">
        <v>5</v>
      </c>
      <c r="D791" s="13" t="s">
        <v>135</v>
      </c>
      <c r="E791" s="13" t="s">
        <v>158</v>
      </c>
      <c r="F791" s="13" t="s">
        <v>2858</v>
      </c>
      <c r="G791" s="13" t="s">
        <v>1951</v>
      </c>
      <c r="H791" s="13" t="s">
        <v>101</v>
      </c>
      <c r="I791" s="21" t="s">
        <v>2872</v>
      </c>
      <c r="J791" s="21" t="s">
        <v>512</v>
      </c>
      <c r="K791" s="21" t="s">
        <v>2873</v>
      </c>
      <c r="L791" s="22" t="s">
        <v>36</v>
      </c>
      <c r="M791" s="21" t="s">
        <v>120</v>
      </c>
      <c r="N791" s="13" t="s">
        <v>106</v>
      </c>
      <c r="O791" s="23" t="n">
        <v>9.58</v>
      </c>
      <c r="P791" s="13" t="n">
        <v>1</v>
      </c>
      <c r="Q791" s="24" t="n">
        <v>46310.7911921296</v>
      </c>
      <c r="R791" s="22" t="s">
        <v>36</v>
      </c>
      <c r="S791" s="13" t="s">
        <v>107</v>
      </c>
      <c r="T791" s="13" t="str">
        <f aca="false">IF(S791="Oui",IF(R791=L791,"Identique","Changé"),"")</f>
        <v>Identique</v>
      </c>
    </row>
    <row r="792" customFormat="false" ht="113.4" hidden="false" customHeight="false" outlineLevel="0" collapsed="false">
      <c r="A792" s="13" t="s">
        <v>2874</v>
      </c>
      <c r="B792" s="13" t="s">
        <v>2875</v>
      </c>
      <c r="C792" s="13" t="n">
        <v>1</v>
      </c>
      <c r="D792" s="13" t="s">
        <v>97</v>
      </c>
      <c r="E792" s="13" t="s">
        <v>1730</v>
      </c>
      <c r="F792" s="13" t="s">
        <v>946</v>
      </c>
      <c r="G792" s="13" t="s">
        <v>2009</v>
      </c>
      <c r="H792" s="13" t="s">
        <v>101</v>
      </c>
      <c r="I792" s="21" t="s">
        <v>2876</v>
      </c>
      <c r="J792" s="21" t="s">
        <v>2877</v>
      </c>
      <c r="K792" s="21" t="s">
        <v>2878</v>
      </c>
      <c r="L792" s="22" t="s">
        <v>36</v>
      </c>
      <c r="M792" s="21" t="s">
        <v>120</v>
      </c>
      <c r="N792" s="13" t="s">
        <v>106</v>
      </c>
      <c r="O792" s="23" t="n">
        <v>29.41</v>
      </c>
      <c r="P792" s="13" t="n">
        <v>1</v>
      </c>
      <c r="Q792" s="24" t="n">
        <v>46310.7917592593</v>
      </c>
      <c r="R792" s="22" t="s">
        <v>36</v>
      </c>
      <c r="S792" s="13" t="s">
        <v>107</v>
      </c>
      <c r="T792" s="13" t="str">
        <f aca="false">IF(S792="Oui",IF(R792=L792,"Identique","Changé"),"")</f>
        <v>Identique</v>
      </c>
    </row>
    <row r="793" customFormat="false" ht="35.05" hidden="false" customHeight="false" outlineLevel="0" collapsed="false">
      <c r="A793" s="13" t="s">
        <v>2879</v>
      </c>
      <c r="B793" s="13" t="s">
        <v>2875</v>
      </c>
      <c r="C793" s="13" t="n">
        <v>2</v>
      </c>
      <c r="D793" s="13" t="s">
        <v>97</v>
      </c>
      <c r="E793" s="13" t="s">
        <v>158</v>
      </c>
      <c r="F793" s="13" t="s">
        <v>946</v>
      </c>
      <c r="G793" s="13" t="s">
        <v>1913</v>
      </c>
      <c r="H793" s="13" t="s">
        <v>101</v>
      </c>
      <c r="I793" s="21" t="s">
        <v>2880</v>
      </c>
      <c r="J793" s="21" t="s">
        <v>284</v>
      </c>
      <c r="K793" s="21" t="s">
        <v>2881</v>
      </c>
      <c r="L793" s="22" t="s">
        <v>36</v>
      </c>
      <c r="M793" s="21" t="s">
        <v>120</v>
      </c>
      <c r="N793" s="13" t="s">
        <v>106</v>
      </c>
      <c r="O793" s="23" t="n">
        <v>12.56</v>
      </c>
      <c r="P793" s="13" t="n">
        <v>1</v>
      </c>
      <c r="Q793" s="24" t="n">
        <v>46310.792025463</v>
      </c>
      <c r="R793" s="22" t="s">
        <v>42</v>
      </c>
      <c r="S793" s="13" t="s">
        <v>107</v>
      </c>
      <c r="T793" s="13" t="str">
        <f aca="false">IF(S793="Oui",IF(R793=L793,"Identique","Changé"),"")</f>
        <v>Changé</v>
      </c>
    </row>
    <row r="794" customFormat="false" ht="46.25" hidden="false" customHeight="false" outlineLevel="0" collapsed="false">
      <c r="A794" s="13" t="s">
        <v>2882</v>
      </c>
      <c r="B794" s="13" t="s">
        <v>2875</v>
      </c>
      <c r="C794" s="13" t="n">
        <v>3</v>
      </c>
      <c r="D794" s="13" t="s">
        <v>97</v>
      </c>
      <c r="E794" s="13" t="s">
        <v>122</v>
      </c>
      <c r="F794" s="13" t="s">
        <v>1151</v>
      </c>
      <c r="G794" s="13" t="s">
        <v>1819</v>
      </c>
      <c r="H794" s="13" t="s">
        <v>101</v>
      </c>
      <c r="I794" s="21" t="s">
        <v>2883</v>
      </c>
      <c r="J794" s="21" t="s">
        <v>1741</v>
      </c>
      <c r="K794" s="21" t="s">
        <v>2884</v>
      </c>
      <c r="L794" s="22" t="s">
        <v>36</v>
      </c>
      <c r="M794" s="21" t="s">
        <v>235</v>
      </c>
      <c r="N794" s="13" t="s">
        <v>106</v>
      </c>
      <c r="O794" s="23" t="n">
        <v>9.94</v>
      </c>
      <c r="P794" s="13" t="n">
        <v>1</v>
      </c>
      <c r="Q794" s="24" t="n">
        <v>46310.7922569444</v>
      </c>
      <c r="R794" s="22" t="s">
        <v>42</v>
      </c>
      <c r="S794" s="13" t="s">
        <v>107</v>
      </c>
      <c r="T794" s="13" t="str">
        <f aca="false">IF(S794="Oui",IF(R794=L794,"Identique","Changé"),"")</f>
        <v>Changé</v>
      </c>
    </row>
    <row r="795" customFormat="false" ht="46.25" hidden="false" customHeight="false" outlineLevel="0" collapsed="false">
      <c r="A795" s="13" t="s">
        <v>2885</v>
      </c>
      <c r="B795" s="13" t="s">
        <v>2875</v>
      </c>
      <c r="C795" s="13" t="n">
        <v>4</v>
      </c>
      <c r="D795" s="13" t="s">
        <v>97</v>
      </c>
      <c r="E795" s="13" t="s">
        <v>570</v>
      </c>
      <c r="F795" s="13" t="s">
        <v>1151</v>
      </c>
      <c r="G795" s="13" t="s">
        <v>1980</v>
      </c>
      <c r="H795" s="13" t="s">
        <v>152</v>
      </c>
      <c r="I795" s="21" t="s">
        <v>2886</v>
      </c>
      <c r="J795" s="21" t="s">
        <v>154</v>
      </c>
      <c r="K795" s="21" t="s">
        <v>2887</v>
      </c>
      <c r="L795" s="22" t="s">
        <v>40</v>
      </c>
      <c r="M795" s="21" t="s">
        <v>156</v>
      </c>
      <c r="N795" s="13" t="s">
        <v>106</v>
      </c>
      <c r="O795" s="23" t="n">
        <v>9.2</v>
      </c>
      <c r="P795" s="13" t="n">
        <v>1</v>
      </c>
      <c r="Q795" s="24" t="n">
        <v>46310.7924884259</v>
      </c>
      <c r="R795" s="22" t="s">
        <v>42</v>
      </c>
      <c r="S795" s="13" t="s">
        <v>107</v>
      </c>
      <c r="T795" s="13" t="str">
        <f aca="false">IF(S795="Oui",IF(R795=L795,"Identique","Changé"),"")</f>
        <v>Changé</v>
      </c>
    </row>
    <row r="796" customFormat="false" ht="68.65" hidden="false" customHeight="false" outlineLevel="0" collapsed="false">
      <c r="A796" s="13" t="s">
        <v>2888</v>
      </c>
      <c r="B796" s="13" t="s">
        <v>2875</v>
      </c>
      <c r="C796" s="13" t="n">
        <v>5</v>
      </c>
      <c r="D796" s="13" t="s">
        <v>97</v>
      </c>
      <c r="E796" s="13" t="s">
        <v>171</v>
      </c>
      <c r="F796" s="13" t="s">
        <v>946</v>
      </c>
      <c r="G796" s="13" t="s">
        <v>519</v>
      </c>
      <c r="H796" s="13" t="s">
        <v>101</v>
      </c>
      <c r="I796" s="21" t="s">
        <v>2889</v>
      </c>
      <c r="J796" s="21" t="s">
        <v>284</v>
      </c>
      <c r="K796" s="21" t="s">
        <v>2890</v>
      </c>
      <c r="L796" s="22" t="s">
        <v>37</v>
      </c>
      <c r="M796" s="21" t="s">
        <v>163</v>
      </c>
      <c r="N796" s="13" t="s">
        <v>106</v>
      </c>
      <c r="O796" s="23" t="n">
        <v>10.98</v>
      </c>
      <c r="P796" s="13" t="n">
        <v>1</v>
      </c>
      <c r="Q796" s="24" t="n">
        <v>46310.7927199074</v>
      </c>
      <c r="R796" s="22" t="s">
        <v>42</v>
      </c>
      <c r="S796" s="13" t="s">
        <v>107</v>
      </c>
      <c r="T796" s="13" t="str">
        <f aca="false">IF(S796="Oui",IF(R796=L796,"Identique","Changé"),"")</f>
        <v>Changé</v>
      </c>
    </row>
    <row r="797" customFormat="false" ht="68.65" hidden="false" customHeight="false" outlineLevel="0" collapsed="false">
      <c r="A797" s="13" t="s">
        <v>2891</v>
      </c>
      <c r="B797" s="13" t="s">
        <v>2892</v>
      </c>
      <c r="C797" s="13" t="n">
        <v>1</v>
      </c>
      <c r="D797" s="13" t="s">
        <v>135</v>
      </c>
      <c r="E797" s="13" t="s">
        <v>570</v>
      </c>
      <c r="F797" s="13" t="s">
        <v>2893</v>
      </c>
      <c r="G797" s="13" t="s">
        <v>1811</v>
      </c>
      <c r="H797" s="13" t="s">
        <v>101</v>
      </c>
      <c r="I797" s="21" t="s">
        <v>2894</v>
      </c>
      <c r="J797" s="21" t="s">
        <v>1741</v>
      </c>
      <c r="K797" s="21" t="s">
        <v>2895</v>
      </c>
      <c r="L797" s="22" t="s">
        <v>37</v>
      </c>
      <c r="M797" s="21" t="s">
        <v>163</v>
      </c>
      <c r="N797" s="13" t="s">
        <v>106</v>
      </c>
      <c r="O797" s="23" t="n">
        <v>21.26</v>
      </c>
      <c r="P797" s="13" t="n">
        <v>1</v>
      </c>
      <c r="Q797" s="24" t="n">
        <v>46310.7932060185</v>
      </c>
      <c r="R797" s="22"/>
      <c r="S797" s="13" t="s">
        <v>164</v>
      </c>
      <c r="T797" s="13" t="str">
        <f aca="false">IF(S797="Oui",IF(R797=L797,"Identique","Changé"),"")</f>
        <v/>
      </c>
    </row>
    <row r="798" customFormat="false" ht="57.45" hidden="false" customHeight="false" outlineLevel="0" collapsed="false">
      <c r="A798" s="13" t="s">
        <v>2896</v>
      </c>
      <c r="B798" s="13" t="s">
        <v>2892</v>
      </c>
      <c r="C798" s="13" t="n">
        <v>2</v>
      </c>
      <c r="D798" s="13" t="s">
        <v>135</v>
      </c>
      <c r="E798" s="13" t="s">
        <v>128</v>
      </c>
      <c r="F798" s="13" t="s">
        <v>2893</v>
      </c>
      <c r="G798" s="13" t="s">
        <v>2024</v>
      </c>
      <c r="H798" s="13" t="s">
        <v>101</v>
      </c>
      <c r="I798" s="21" t="s">
        <v>2897</v>
      </c>
      <c r="J798" s="21" t="s">
        <v>131</v>
      </c>
      <c r="K798" s="21" t="s">
        <v>2898</v>
      </c>
      <c r="L798" s="22" t="s">
        <v>37</v>
      </c>
      <c r="M798" s="21" t="s">
        <v>163</v>
      </c>
      <c r="N798" s="13" t="s">
        <v>106</v>
      </c>
      <c r="O798" s="23" t="n">
        <v>12.08</v>
      </c>
      <c r="P798" s="13" t="n">
        <v>1</v>
      </c>
      <c r="Q798" s="24" t="n">
        <v>46310.7934606482</v>
      </c>
      <c r="R798" s="22"/>
      <c r="S798" s="13" t="s">
        <v>164</v>
      </c>
      <c r="T798" s="13" t="str">
        <f aca="false">IF(S798="Oui",IF(R798=L798,"Identique","Changé"),"")</f>
        <v/>
      </c>
    </row>
    <row r="799" customFormat="false" ht="35.05" hidden="false" customHeight="false" outlineLevel="0" collapsed="false">
      <c r="A799" s="13" t="s">
        <v>2899</v>
      </c>
      <c r="B799" s="13" t="s">
        <v>2892</v>
      </c>
      <c r="C799" s="13" t="n">
        <v>3</v>
      </c>
      <c r="D799" s="13" t="s">
        <v>135</v>
      </c>
      <c r="E799" s="13" t="s">
        <v>122</v>
      </c>
      <c r="F799" s="13" t="s">
        <v>2900</v>
      </c>
      <c r="G799" s="13" t="s">
        <v>231</v>
      </c>
      <c r="H799" s="13" t="s">
        <v>101</v>
      </c>
      <c r="I799" s="21" t="s">
        <v>2901</v>
      </c>
      <c r="J799" s="21" t="s">
        <v>1662</v>
      </c>
      <c r="K799" s="21" t="s">
        <v>2902</v>
      </c>
      <c r="L799" s="22" t="s">
        <v>36</v>
      </c>
      <c r="M799" s="21" t="s">
        <v>120</v>
      </c>
      <c r="N799" s="13" t="s">
        <v>106</v>
      </c>
      <c r="O799" s="23" t="n">
        <v>20.73</v>
      </c>
      <c r="P799" s="13" t="n">
        <v>1</v>
      </c>
      <c r="Q799" s="24" t="n">
        <v>46310.7938194444</v>
      </c>
      <c r="R799" s="22"/>
      <c r="S799" s="13" t="s">
        <v>164</v>
      </c>
      <c r="T799" s="13" t="str">
        <f aca="false">IF(S799="Oui",IF(R799=L799,"Identique","Changé"),"")</f>
        <v/>
      </c>
    </row>
    <row r="800" customFormat="false" ht="46.25" hidden="false" customHeight="false" outlineLevel="0" collapsed="false">
      <c r="A800" s="13" t="s">
        <v>2903</v>
      </c>
      <c r="B800" s="13" t="s">
        <v>2892</v>
      </c>
      <c r="C800" s="13" t="n">
        <v>4</v>
      </c>
      <c r="D800" s="13" t="s">
        <v>135</v>
      </c>
      <c r="E800" s="13" t="s">
        <v>128</v>
      </c>
      <c r="F800" s="13" t="s">
        <v>2900</v>
      </c>
      <c r="G800" s="13" t="s">
        <v>1975</v>
      </c>
      <c r="H800" s="13" t="s">
        <v>101</v>
      </c>
      <c r="I800" s="21" t="s">
        <v>2904</v>
      </c>
      <c r="J800" s="21" t="s">
        <v>284</v>
      </c>
      <c r="K800" s="21" t="s">
        <v>2905</v>
      </c>
      <c r="L800" s="22" t="s">
        <v>36</v>
      </c>
      <c r="M800" s="21" t="s">
        <v>120</v>
      </c>
      <c r="N800" s="13" t="s">
        <v>106</v>
      </c>
      <c r="O800" s="23" t="n">
        <v>10.84</v>
      </c>
      <c r="P800" s="13" t="n">
        <v>1</v>
      </c>
      <c r="Q800" s="24" t="n">
        <v>46310.7940856482</v>
      </c>
      <c r="R800" s="22"/>
      <c r="S800" s="13" t="s">
        <v>164</v>
      </c>
      <c r="T800" s="13" t="str">
        <f aca="false">IF(S800="Oui",IF(R800=L800,"Identique","Changé"),"")</f>
        <v/>
      </c>
    </row>
    <row r="801" customFormat="false" ht="68.65" hidden="false" customHeight="false" outlineLevel="0" collapsed="false">
      <c r="A801" s="13" t="s">
        <v>2906</v>
      </c>
      <c r="B801" s="13" t="s">
        <v>2892</v>
      </c>
      <c r="C801" s="13" t="n">
        <v>5</v>
      </c>
      <c r="D801" s="13" t="s">
        <v>135</v>
      </c>
      <c r="E801" s="13" t="s">
        <v>260</v>
      </c>
      <c r="F801" s="13" t="s">
        <v>2893</v>
      </c>
      <c r="G801" s="13" t="s">
        <v>1897</v>
      </c>
      <c r="H801" s="13" t="s">
        <v>101</v>
      </c>
      <c r="I801" s="21" t="s">
        <v>2907</v>
      </c>
      <c r="J801" s="21" t="s">
        <v>1899</v>
      </c>
      <c r="K801" s="21" t="s">
        <v>2908</v>
      </c>
      <c r="L801" s="22" t="s">
        <v>36</v>
      </c>
      <c r="M801" s="21" t="s">
        <v>120</v>
      </c>
      <c r="N801" s="13" t="s">
        <v>106</v>
      </c>
      <c r="O801" s="23" t="n">
        <v>18.62</v>
      </c>
      <c r="P801" s="13" t="n">
        <v>1</v>
      </c>
      <c r="Q801" s="24" t="n">
        <v>46310.7944212963</v>
      </c>
      <c r="R801" s="22"/>
      <c r="S801" s="13" t="s">
        <v>164</v>
      </c>
      <c r="T801" s="13" t="str">
        <f aca="false">IF(S801="Oui",IF(R801=L801,"Identique","Changé"),"")</f>
        <v/>
      </c>
    </row>
    <row r="802" customFormat="false" ht="57.45" hidden="false" customHeight="false" outlineLevel="0" collapsed="false">
      <c r="A802" s="13" t="s">
        <v>2909</v>
      </c>
      <c r="B802" s="13" t="s">
        <v>2910</v>
      </c>
      <c r="C802" s="13" t="n">
        <v>1</v>
      </c>
      <c r="D802" s="13" t="s">
        <v>97</v>
      </c>
      <c r="E802" s="13" t="s">
        <v>260</v>
      </c>
      <c r="F802" s="13" t="s">
        <v>1094</v>
      </c>
      <c r="G802" s="13" t="s">
        <v>2019</v>
      </c>
      <c r="H802" s="13" t="s">
        <v>101</v>
      </c>
      <c r="I802" s="21" t="s">
        <v>2911</v>
      </c>
      <c r="J802" s="21" t="s">
        <v>512</v>
      </c>
      <c r="K802" s="21" t="s">
        <v>2912</v>
      </c>
      <c r="L802" s="22" t="s">
        <v>36</v>
      </c>
      <c r="M802" s="21" t="s">
        <v>120</v>
      </c>
      <c r="N802" s="13" t="s">
        <v>106</v>
      </c>
      <c r="O802" s="23" t="n">
        <v>34.55</v>
      </c>
      <c r="P802" s="13" t="n">
        <v>3</v>
      </c>
      <c r="Q802" s="24" t="n">
        <v>46310.8046990741</v>
      </c>
      <c r="R802" s="22"/>
      <c r="S802" s="13" t="s">
        <v>164</v>
      </c>
      <c r="T802" s="13" t="str">
        <f aca="false">IF(S802="Oui",IF(R802=L802,"Identique","Changé"),"")</f>
        <v/>
      </c>
    </row>
    <row r="803" customFormat="false" ht="113.4" hidden="false" customHeight="false" outlineLevel="0" collapsed="false">
      <c r="A803" s="13" t="s">
        <v>2913</v>
      </c>
      <c r="B803" s="13" t="s">
        <v>2910</v>
      </c>
      <c r="C803" s="13" t="n">
        <v>2</v>
      </c>
      <c r="D803" s="13" t="s">
        <v>97</v>
      </c>
      <c r="E803" s="13" t="s">
        <v>1730</v>
      </c>
      <c r="F803" s="13" t="s">
        <v>1094</v>
      </c>
      <c r="G803" s="13" t="s">
        <v>2009</v>
      </c>
      <c r="H803" s="13" t="s">
        <v>101</v>
      </c>
      <c r="I803" s="21" t="s">
        <v>2914</v>
      </c>
      <c r="J803" s="21" t="s">
        <v>2915</v>
      </c>
      <c r="K803" s="21" t="s">
        <v>2916</v>
      </c>
      <c r="L803" s="22" t="s">
        <v>36</v>
      </c>
      <c r="M803" s="21" t="s">
        <v>120</v>
      </c>
      <c r="N803" s="13" t="s">
        <v>106</v>
      </c>
      <c r="O803" s="23" t="n">
        <v>15.22</v>
      </c>
      <c r="P803" s="13" t="n">
        <v>3</v>
      </c>
      <c r="Q803" s="24" t="n">
        <v>46310.805</v>
      </c>
      <c r="R803" s="22"/>
      <c r="S803" s="13" t="s">
        <v>164</v>
      </c>
      <c r="T803" s="13" t="str">
        <f aca="false">IF(S803="Oui",IF(R803=L803,"Identique","Changé"),"")</f>
        <v/>
      </c>
    </row>
    <row r="804" customFormat="false" ht="46.25" hidden="false" customHeight="false" outlineLevel="0" collapsed="false">
      <c r="A804" s="13" t="s">
        <v>2917</v>
      </c>
      <c r="B804" s="13" t="s">
        <v>2910</v>
      </c>
      <c r="C804" s="13" t="n">
        <v>3</v>
      </c>
      <c r="D804" s="13" t="s">
        <v>97</v>
      </c>
      <c r="E804" s="13" t="s">
        <v>171</v>
      </c>
      <c r="F804" s="13" t="s">
        <v>1094</v>
      </c>
      <c r="G804" s="13" t="s">
        <v>1998</v>
      </c>
      <c r="H804" s="13" t="s">
        <v>101</v>
      </c>
      <c r="I804" s="21" t="s">
        <v>2918</v>
      </c>
      <c r="J804" s="21" t="s">
        <v>2000</v>
      </c>
      <c r="K804" s="21" t="s">
        <v>2919</v>
      </c>
      <c r="L804" s="22" t="s">
        <v>36</v>
      </c>
      <c r="M804" s="21" t="s">
        <v>120</v>
      </c>
      <c r="N804" s="13" t="s">
        <v>106</v>
      </c>
      <c r="O804" s="23" t="n">
        <v>10.42</v>
      </c>
      <c r="P804" s="13" t="n">
        <v>3</v>
      </c>
      <c r="Q804" s="24" t="n">
        <v>46310.8052430556</v>
      </c>
      <c r="R804" s="22"/>
      <c r="S804" s="13" t="s">
        <v>164</v>
      </c>
      <c r="T804" s="13" t="str">
        <f aca="false">IF(S804="Oui",IF(R804=L804,"Identique","Changé"),"")</f>
        <v/>
      </c>
    </row>
    <row r="805" customFormat="false" ht="46.25" hidden="false" customHeight="false" outlineLevel="0" collapsed="false">
      <c r="A805" s="13" t="s">
        <v>2920</v>
      </c>
      <c r="B805" s="13" t="s">
        <v>2910</v>
      </c>
      <c r="C805" s="13" t="n">
        <v>4</v>
      </c>
      <c r="D805" s="13" t="s">
        <v>97</v>
      </c>
      <c r="E805" s="13" t="s">
        <v>122</v>
      </c>
      <c r="F805" s="13" t="s">
        <v>1094</v>
      </c>
      <c r="G805" s="13" t="s">
        <v>282</v>
      </c>
      <c r="H805" s="13" t="s">
        <v>101</v>
      </c>
      <c r="I805" s="21" t="s">
        <v>2921</v>
      </c>
      <c r="J805" s="21" t="s">
        <v>512</v>
      </c>
      <c r="K805" s="21" t="s">
        <v>2922</v>
      </c>
      <c r="L805" s="22" t="s">
        <v>36</v>
      </c>
      <c r="M805" s="21" t="s">
        <v>120</v>
      </c>
      <c r="N805" s="13" t="s">
        <v>106</v>
      </c>
      <c r="O805" s="23" t="n">
        <v>12.09</v>
      </c>
      <c r="P805" s="13" t="n">
        <v>3</v>
      </c>
      <c r="Q805" s="24" t="n">
        <v>46310.8055092593</v>
      </c>
      <c r="R805" s="22"/>
      <c r="S805" s="13" t="s">
        <v>164</v>
      </c>
      <c r="T805" s="13" t="str">
        <f aca="false">IF(S805="Oui",IF(R805=L805,"Identique","Changé"),"")</f>
        <v/>
      </c>
    </row>
    <row r="806" customFormat="false" ht="57.45" hidden="false" customHeight="false" outlineLevel="0" collapsed="false">
      <c r="A806" s="13" t="s">
        <v>2923</v>
      </c>
      <c r="B806" s="13" t="s">
        <v>2910</v>
      </c>
      <c r="C806" s="13" t="n">
        <v>5</v>
      </c>
      <c r="D806" s="13" t="s">
        <v>97</v>
      </c>
      <c r="E806" s="13" t="s">
        <v>122</v>
      </c>
      <c r="F806" s="13" t="s">
        <v>1094</v>
      </c>
      <c r="G806" s="13" t="s">
        <v>1395</v>
      </c>
      <c r="H806" s="13" t="s">
        <v>101</v>
      </c>
      <c r="I806" s="21" t="s">
        <v>2924</v>
      </c>
      <c r="J806" s="21" t="s">
        <v>512</v>
      </c>
      <c r="K806" s="21" t="s">
        <v>2925</v>
      </c>
      <c r="L806" s="22" t="s">
        <v>36</v>
      </c>
      <c r="M806" s="21" t="s">
        <v>120</v>
      </c>
      <c r="N806" s="13" t="s">
        <v>106</v>
      </c>
      <c r="O806" s="23" t="n">
        <v>17.01</v>
      </c>
      <c r="P806" s="13" t="n">
        <v>3</v>
      </c>
      <c r="Q806" s="24" t="n">
        <v>46310.8058333333</v>
      </c>
      <c r="R806" s="22"/>
      <c r="S806" s="13" t="s">
        <v>164</v>
      </c>
      <c r="T806" s="13" t="str">
        <f aca="false">IF(S806="Oui",IF(R806=L806,"Identique","Changé"),"")</f>
        <v/>
      </c>
    </row>
    <row r="807" customFormat="false" ht="46.25" hidden="false" customHeight="false" outlineLevel="0" collapsed="false">
      <c r="A807" s="13" t="s">
        <v>2926</v>
      </c>
      <c r="B807" s="13" t="s">
        <v>2927</v>
      </c>
      <c r="C807" s="13" t="n">
        <v>1</v>
      </c>
      <c r="D807" s="13" t="s">
        <v>135</v>
      </c>
      <c r="E807" s="13" t="s">
        <v>260</v>
      </c>
      <c r="F807" s="13" t="s">
        <v>2928</v>
      </c>
      <c r="G807" s="13" t="s">
        <v>2057</v>
      </c>
      <c r="H807" s="13" t="s">
        <v>101</v>
      </c>
      <c r="I807" s="21" t="s">
        <v>2929</v>
      </c>
      <c r="J807" s="21" t="s">
        <v>2930</v>
      </c>
      <c r="K807" s="21" t="s">
        <v>2931</v>
      </c>
      <c r="L807" s="22" t="s">
        <v>36</v>
      </c>
      <c r="M807" s="21" t="s">
        <v>120</v>
      </c>
      <c r="N807" s="13" t="s">
        <v>106</v>
      </c>
      <c r="O807" s="23" t="n">
        <v>30.17</v>
      </c>
      <c r="P807" s="13" t="n">
        <v>1</v>
      </c>
      <c r="Q807" s="24" t="n">
        <v>46310.806412037</v>
      </c>
      <c r="R807" s="22"/>
      <c r="S807" s="13" t="s">
        <v>164</v>
      </c>
      <c r="T807" s="13" t="str">
        <f aca="false">IF(S807="Oui",IF(R807=L807,"Identique","Changé"),"")</f>
        <v/>
      </c>
    </row>
    <row r="808" customFormat="false" ht="35.05" hidden="false" customHeight="false" outlineLevel="0" collapsed="false">
      <c r="A808" s="13" t="s">
        <v>2932</v>
      </c>
      <c r="B808" s="13" t="s">
        <v>2927</v>
      </c>
      <c r="C808" s="13" t="n">
        <v>2</v>
      </c>
      <c r="D808" s="13" t="s">
        <v>135</v>
      </c>
      <c r="E808" s="13" t="s">
        <v>260</v>
      </c>
      <c r="F808" s="13" t="s">
        <v>2928</v>
      </c>
      <c r="G808" s="13" t="s">
        <v>2047</v>
      </c>
      <c r="H808" s="13" t="s">
        <v>101</v>
      </c>
      <c r="I808" s="21" t="s">
        <v>2933</v>
      </c>
      <c r="J808" s="21" t="s">
        <v>512</v>
      </c>
      <c r="K808" s="21" t="s">
        <v>2934</v>
      </c>
      <c r="L808" s="22" t="s">
        <v>36</v>
      </c>
      <c r="M808" s="21" t="s">
        <v>120</v>
      </c>
      <c r="N808" s="13" t="s">
        <v>106</v>
      </c>
      <c r="O808" s="23" t="n">
        <v>12.67</v>
      </c>
      <c r="P808" s="13" t="n">
        <v>1</v>
      </c>
      <c r="Q808" s="24" t="n">
        <v>46310.8067013889</v>
      </c>
      <c r="R808" s="22"/>
      <c r="S808" s="13" t="s">
        <v>164</v>
      </c>
      <c r="T808" s="13" t="str">
        <f aca="false">IF(S808="Oui",IF(R808=L808,"Identique","Changé"),"")</f>
        <v/>
      </c>
    </row>
    <row r="809" customFormat="false" ht="57.45" hidden="false" customHeight="false" outlineLevel="0" collapsed="false">
      <c r="A809" s="13" t="s">
        <v>2935</v>
      </c>
      <c r="B809" s="13" t="s">
        <v>2927</v>
      </c>
      <c r="C809" s="13" t="n">
        <v>3</v>
      </c>
      <c r="D809" s="13" t="s">
        <v>135</v>
      </c>
      <c r="E809" s="13" t="s">
        <v>122</v>
      </c>
      <c r="F809" s="13" t="s">
        <v>2936</v>
      </c>
      <c r="G809" s="13" t="s">
        <v>2036</v>
      </c>
      <c r="H809" s="13" t="s">
        <v>152</v>
      </c>
      <c r="I809" s="21" t="s">
        <v>2937</v>
      </c>
      <c r="J809" s="21" t="s">
        <v>154</v>
      </c>
      <c r="K809" s="21" t="s">
        <v>2938</v>
      </c>
      <c r="L809" s="22" t="s">
        <v>40</v>
      </c>
      <c r="M809" s="21" t="s">
        <v>156</v>
      </c>
      <c r="N809" s="13" t="s">
        <v>106</v>
      </c>
      <c r="O809" s="23" t="n">
        <v>11.22</v>
      </c>
      <c r="P809" s="13" t="n">
        <v>1</v>
      </c>
      <c r="Q809" s="24" t="n">
        <v>46310.8069444444</v>
      </c>
      <c r="R809" s="22"/>
      <c r="S809" s="13" t="s">
        <v>164</v>
      </c>
      <c r="T809" s="13" t="str">
        <f aca="false">IF(S809="Oui",IF(R809=L809,"Identique","Changé"),"")</f>
        <v/>
      </c>
    </row>
    <row r="810" customFormat="false" ht="292.5" hidden="false" customHeight="false" outlineLevel="0" collapsed="false">
      <c r="A810" s="13" t="s">
        <v>2939</v>
      </c>
      <c r="B810" s="13" t="s">
        <v>2927</v>
      </c>
      <c r="C810" s="13" t="n">
        <v>4</v>
      </c>
      <c r="D810" s="13" t="s">
        <v>135</v>
      </c>
      <c r="E810" s="13" t="s">
        <v>1730</v>
      </c>
      <c r="F810" s="13" t="s">
        <v>2936</v>
      </c>
      <c r="G810" s="13" t="s">
        <v>2003</v>
      </c>
      <c r="H810" s="13" t="s">
        <v>101</v>
      </c>
      <c r="I810" s="21" t="s">
        <v>2940</v>
      </c>
      <c r="J810" s="21" t="s">
        <v>2941</v>
      </c>
      <c r="K810" s="21" t="s">
        <v>2942</v>
      </c>
      <c r="L810" s="22" t="s">
        <v>36</v>
      </c>
      <c r="M810" s="21" t="s">
        <v>2943</v>
      </c>
      <c r="N810" s="13" t="s">
        <v>106</v>
      </c>
      <c r="O810" s="23" t="n">
        <v>11.28</v>
      </c>
      <c r="P810" s="13" t="n">
        <v>1</v>
      </c>
      <c r="Q810" s="24" t="n">
        <v>46310.8071990741</v>
      </c>
      <c r="R810" s="22"/>
      <c r="S810" s="13" t="s">
        <v>164</v>
      </c>
      <c r="T810" s="13" t="str">
        <f aca="false">IF(S810="Oui",IF(R810=L810,"Identique","Changé"),"")</f>
        <v/>
      </c>
    </row>
    <row r="811" customFormat="false" ht="46.25" hidden="false" customHeight="false" outlineLevel="0" collapsed="false">
      <c r="A811" s="13" t="s">
        <v>2944</v>
      </c>
      <c r="B811" s="13" t="s">
        <v>2927</v>
      </c>
      <c r="C811" s="13" t="n">
        <v>5</v>
      </c>
      <c r="D811" s="13" t="s">
        <v>135</v>
      </c>
      <c r="E811" s="13" t="s">
        <v>158</v>
      </c>
      <c r="F811" s="13" t="s">
        <v>2928</v>
      </c>
      <c r="G811" s="13" t="s">
        <v>159</v>
      </c>
      <c r="H811" s="13" t="s">
        <v>101</v>
      </c>
      <c r="I811" s="21" t="s">
        <v>2945</v>
      </c>
      <c r="J811" s="21" t="s">
        <v>2946</v>
      </c>
      <c r="K811" s="21" t="s">
        <v>2947</v>
      </c>
      <c r="L811" s="22" t="s">
        <v>37</v>
      </c>
      <c r="M811" s="21" t="s">
        <v>163</v>
      </c>
      <c r="N811" s="13" t="s">
        <v>106</v>
      </c>
      <c r="O811" s="23" t="n">
        <v>10.23</v>
      </c>
      <c r="P811" s="13" t="n">
        <v>1</v>
      </c>
      <c r="Q811" s="24" t="n">
        <v>46310.8074305556</v>
      </c>
      <c r="R811" s="22"/>
      <c r="S811" s="13" t="s">
        <v>164</v>
      </c>
      <c r="T811" s="13" t="str">
        <f aca="false">IF(S811="Oui",IF(R811=L811,"Identique","Changé"),"")</f>
        <v/>
      </c>
    </row>
    <row r="812" customFormat="false" ht="35.05" hidden="false" customHeight="false" outlineLevel="0" collapsed="false">
      <c r="A812" s="13" t="s">
        <v>2948</v>
      </c>
      <c r="B812" s="13" t="s">
        <v>2949</v>
      </c>
      <c r="C812" s="13" t="n">
        <v>1</v>
      </c>
      <c r="D812" s="13" t="s">
        <v>97</v>
      </c>
      <c r="E812" s="13" t="s">
        <v>122</v>
      </c>
      <c r="F812" s="13" t="s">
        <v>999</v>
      </c>
      <c r="G812" s="13" t="s">
        <v>231</v>
      </c>
      <c r="H812" s="13" t="s">
        <v>101</v>
      </c>
      <c r="I812" s="21" t="s">
        <v>2950</v>
      </c>
      <c r="J812" s="21" t="s">
        <v>161</v>
      </c>
      <c r="K812" s="21" t="s">
        <v>2951</v>
      </c>
      <c r="L812" s="22" t="s">
        <v>36</v>
      </c>
      <c r="M812" s="21" t="s">
        <v>235</v>
      </c>
      <c r="N812" s="13" t="s">
        <v>106</v>
      </c>
      <c r="O812" s="23" t="n">
        <v>33.46</v>
      </c>
      <c r="P812" s="13" t="n">
        <v>1</v>
      </c>
      <c r="Q812" s="24" t="n">
        <v>46310.8079976852</v>
      </c>
      <c r="R812" s="22"/>
      <c r="S812" s="13" t="s">
        <v>164</v>
      </c>
      <c r="T812" s="13" t="str">
        <f aca="false">IF(S812="Oui",IF(R812=L812,"Identique","Changé"),"")</f>
        <v/>
      </c>
    </row>
    <row r="813" customFormat="false" ht="35.05" hidden="false" customHeight="false" outlineLevel="0" collapsed="false">
      <c r="A813" s="13" t="s">
        <v>2952</v>
      </c>
      <c r="B813" s="13" t="s">
        <v>2949</v>
      </c>
      <c r="C813" s="13" t="n">
        <v>2</v>
      </c>
      <c r="D813" s="13" t="s">
        <v>97</v>
      </c>
      <c r="E813" s="13" t="s">
        <v>260</v>
      </c>
      <c r="F813" s="13" t="s">
        <v>999</v>
      </c>
      <c r="G813" s="13" t="s">
        <v>2047</v>
      </c>
      <c r="H813" s="13" t="s">
        <v>101</v>
      </c>
      <c r="I813" s="21" t="s">
        <v>2953</v>
      </c>
      <c r="J813" s="21" t="s">
        <v>512</v>
      </c>
      <c r="K813" s="21" t="s">
        <v>2954</v>
      </c>
      <c r="L813" s="22" t="s">
        <v>36</v>
      </c>
      <c r="M813" s="21" t="s">
        <v>120</v>
      </c>
      <c r="N813" s="13" t="s">
        <v>106</v>
      </c>
      <c r="O813" s="23" t="n">
        <v>10.45</v>
      </c>
      <c r="P813" s="13" t="n">
        <v>1</v>
      </c>
      <c r="Q813" s="24" t="n">
        <v>46310.8082407407</v>
      </c>
      <c r="R813" s="22"/>
      <c r="S813" s="13" t="s">
        <v>164</v>
      </c>
      <c r="T813" s="13" t="str">
        <f aca="false">IF(S813="Oui",IF(R813=L813,"Identique","Changé"),"")</f>
        <v/>
      </c>
    </row>
    <row r="814" customFormat="false" ht="35.05" hidden="false" customHeight="false" outlineLevel="0" collapsed="false">
      <c r="A814" s="13" t="s">
        <v>2955</v>
      </c>
      <c r="B814" s="13" t="s">
        <v>2949</v>
      </c>
      <c r="C814" s="13" t="n">
        <v>3</v>
      </c>
      <c r="D814" s="13" t="s">
        <v>97</v>
      </c>
      <c r="E814" s="13" t="s">
        <v>128</v>
      </c>
      <c r="F814" s="13" t="s">
        <v>999</v>
      </c>
      <c r="G814" s="13" t="s">
        <v>1975</v>
      </c>
      <c r="H814" s="13" t="s">
        <v>101</v>
      </c>
      <c r="I814" s="21" t="s">
        <v>2956</v>
      </c>
      <c r="J814" s="21" t="s">
        <v>284</v>
      </c>
      <c r="K814" s="21" t="s">
        <v>2957</v>
      </c>
      <c r="L814" s="22" t="s">
        <v>36</v>
      </c>
      <c r="M814" s="21" t="s">
        <v>120</v>
      </c>
      <c r="N814" s="13" t="s">
        <v>106</v>
      </c>
      <c r="O814" s="23" t="n">
        <v>10.64</v>
      </c>
      <c r="P814" s="13" t="n">
        <v>1</v>
      </c>
      <c r="Q814" s="24" t="n">
        <v>46310.8084953704</v>
      </c>
      <c r="R814" s="22"/>
      <c r="S814" s="13" t="s">
        <v>164</v>
      </c>
      <c r="T814" s="13" t="str">
        <f aca="false">IF(S814="Oui",IF(R814=L814,"Identique","Changé"),"")</f>
        <v/>
      </c>
    </row>
    <row r="815" customFormat="false" ht="35.05" hidden="false" customHeight="false" outlineLevel="0" collapsed="false">
      <c r="A815" s="13" t="s">
        <v>2958</v>
      </c>
      <c r="B815" s="13" t="s">
        <v>2949</v>
      </c>
      <c r="C815" s="13" t="n">
        <v>4</v>
      </c>
      <c r="D815" s="13" t="s">
        <v>97</v>
      </c>
      <c r="E815" s="13" t="s">
        <v>128</v>
      </c>
      <c r="F815" s="13" t="s">
        <v>999</v>
      </c>
      <c r="G815" s="13" t="s">
        <v>2071</v>
      </c>
      <c r="H815" s="13" t="s">
        <v>101</v>
      </c>
      <c r="I815" s="21" t="s">
        <v>2959</v>
      </c>
      <c r="J815" s="21" t="s">
        <v>195</v>
      </c>
      <c r="K815" s="21" t="s">
        <v>2960</v>
      </c>
      <c r="L815" s="22" t="s">
        <v>37</v>
      </c>
      <c r="M815" s="21" t="s">
        <v>163</v>
      </c>
      <c r="N815" s="13" t="s">
        <v>106</v>
      </c>
      <c r="O815" s="23" t="n">
        <v>11.54</v>
      </c>
      <c r="P815" s="13" t="n">
        <v>1</v>
      </c>
      <c r="Q815" s="24" t="n">
        <v>46310.8087615741</v>
      </c>
      <c r="R815" s="22"/>
      <c r="S815" s="13" t="s">
        <v>164</v>
      </c>
      <c r="T815" s="13" t="str">
        <f aca="false">IF(S815="Oui",IF(R815=L815,"Identique","Changé"),"")</f>
        <v/>
      </c>
    </row>
    <row r="816" customFormat="false" ht="35.05" hidden="false" customHeight="false" outlineLevel="0" collapsed="false">
      <c r="A816" s="13" t="s">
        <v>2961</v>
      </c>
      <c r="B816" s="13" t="s">
        <v>2949</v>
      </c>
      <c r="C816" s="13" t="n">
        <v>5</v>
      </c>
      <c r="D816" s="13" t="s">
        <v>97</v>
      </c>
      <c r="E816" s="13" t="s">
        <v>260</v>
      </c>
      <c r="F816" s="13" t="s">
        <v>999</v>
      </c>
      <c r="G816" s="13" t="s">
        <v>2057</v>
      </c>
      <c r="H816" s="13" t="s">
        <v>101</v>
      </c>
      <c r="I816" s="21" t="s">
        <v>2962</v>
      </c>
      <c r="J816" s="21" t="s">
        <v>512</v>
      </c>
      <c r="K816" s="21" t="s">
        <v>2963</v>
      </c>
      <c r="L816" s="22" t="s">
        <v>36</v>
      </c>
      <c r="M816" s="21" t="s">
        <v>120</v>
      </c>
      <c r="N816" s="13" t="s">
        <v>106</v>
      </c>
      <c r="O816" s="23" t="n">
        <v>9.63</v>
      </c>
      <c r="P816" s="13" t="n">
        <v>1</v>
      </c>
      <c r="Q816" s="24" t="n">
        <v>46310.8089930556</v>
      </c>
      <c r="R816" s="22"/>
      <c r="S816" s="13" t="s">
        <v>164</v>
      </c>
      <c r="T816" s="13" t="str">
        <f aca="false">IF(S816="Oui",IF(R816=L816,"Identique","Changé"),"")</f>
        <v/>
      </c>
    </row>
    <row r="817" customFormat="false" ht="191.75" hidden="false" customHeight="false" outlineLevel="0" collapsed="false">
      <c r="A817" s="13" t="s">
        <v>2964</v>
      </c>
      <c r="B817" s="13" t="s">
        <v>2965</v>
      </c>
      <c r="C817" s="13" t="n">
        <v>1</v>
      </c>
      <c r="D817" s="13" t="s">
        <v>135</v>
      </c>
      <c r="E817" s="13" t="s">
        <v>1730</v>
      </c>
      <c r="F817" s="13" t="s">
        <v>2966</v>
      </c>
      <c r="G817" s="13" t="s">
        <v>2009</v>
      </c>
      <c r="H817" s="13" t="s">
        <v>101</v>
      </c>
      <c r="I817" s="21" t="s">
        <v>2967</v>
      </c>
      <c r="J817" s="21" t="s">
        <v>2968</v>
      </c>
      <c r="K817" s="21" t="s">
        <v>2969</v>
      </c>
      <c r="L817" s="22" t="s">
        <v>36</v>
      </c>
      <c r="M817" s="21" t="s">
        <v>2970</v>
      </c>
      <c r="N817" s="13" t="s">
        <v>106</v>
      </c>
      <c r="O817" s="23" t="n">
        <v>43.85</v>
      </c>
      <c r="P817" s="13" t="n">
        <v>1</v>
      </c>
      <c r="Q817" s="24" t="n">
        <v>46310.8096990741</v>
      </c>
      <c r="R817" s="22"/>
      <c r="S817" s="13" t="s">
        <v>164</v>
      </c>
      <c r="T817" s="13" t="str">
        <f aca="false">IF(S817="Oui",IF(R817=L817,"Identique","Changé"),"")</f>
        <v/>
      </c>
    </row>
    <row r="818" customFormat="false" ht="46.25" hidden="false" customHeight="false" outlineLevel="0" collapsed="false">
      <c r="A818" s="13" t="s">
        <v>2971</v>
      </c>
      <c r="B818" s="13" t="s">
        <v>2965</v>
      </c>
      <c r="C818" s="13" t="n">
        <v>2</v>
      </c>
      <c r="D818" s="13" t="s">
        <v>135</v>
      </c>
      <c r="E818" s="13" t="s">
        <v>171</v>
      </c>
      <c r="F818" s="13" t="s">
        <v>2966</v>
      </c>
      <c r="G818" s="13" t="s">
        <v>1998</v>
      </c>
      <c r="H818" s="13" t="s">
        <v>101</v>
      </c>
      <c r="I818" s="21" t="s">
        <v>2972</v>
      </c>
      <c r="J818" s="21" t="s">
        <v>2973</v>
      </c>
      <c r="K818" s="21" t="s">
        <v>2974</v>
      </c>
      <c r="L818" s="22" t="s">
        <v>36</v>
      </c>
      <c r="M818" s="21" t="s">
        <v>120</v>
      </c>
      <c r="N818" s="13" t="s">
        <v>106</v>
      </c>
      <c r="O818" s="23" t="n">
        <v>12.42</v>
      </c>
      <c r="P818" s="13" t="n">
        <v>1</v>
      </c>
      <c r="Q818" s="24" t="n">
        <v>46310.8099652778</v>
      </c>
      <c r="R818" s="22"/>
      <c r="S818" s="13" t="s">
        <v>164</v>
      </c>
      <c r="T818" s="13" t="str">
        <f aca="false">IF(S818="Oui",IF(R818=L818,"Identique","Changé"),"")</f>
        <v/>
      </c>
    </row>
    <row r="819" customFormat="false" ht="46.25" hidden="false" customHeight="false" outlineLevel="0" collapsed="false">
      <c r="A819" s="13" t="s">
        <v>2975</v>
      </c>
      <c r="B819" s="13" t="s">
        <v>2965</v>
      </c>
      <c r="C819" s="13" t="n">
        <v>3</v>
      </c>
      <c r="D819" s="13" t="s">
        <v>135</v>
      </c>
      <c r="E819" s="13" t="s">
        <v>114</v>
      </c>
      <c r="F819" s="13" t="s">
        <v>2976</v>
      </c>
      <c r="G819" s="13" t="s">
        <v>2118</v>
      </c>
      <c r="H819" s="13" t="s">
        <v>101</v>
      </c>
      <c r="I819" s="21" t="s">
        <v>2977</v>
      </c>
      <c r="J819" s="21" t="s">
        <v>2188</v>
      </c>
      <c r="K819" s="21" t="s">
        <v>2978</v>
      </c>
      <c r="L819" s="22" t="s">
        <v>36</v>
      </c>
      <c r="M819" s="21" t="s">
        <v>120</v>
      </c>
      <c r="N819" s="13" t="s">
        <v>106</v>
      </c>
      <c r="O819" s="23" t="n">
        <v>13.62</v>
      </c>
      <c r="P819" s="13" t="n">
        <v>1</v>
      </c>
      <c r="Q819" s="24" t="n">
        <v>46310.8102546296</v>
      </c>
      <c r="R819" s="22"/>
      <c r="S819" s="13" t="s">
        <v>164</v>
      </c>
      <c r="T819" s="13" t="str">
        <f aca="false">IF(S819="Oui",IF(R819=L819,"Identique","Changé"),"")</f>
        <v/>
      </c>
    </row>
    <row r="820" customFormat="false" ht="46.25" hidden="false" customHeight="false" outlineLevel="0" collapsed="false">
      <c r="A820" s="13" t="s">
        <v>2979</v>
      </c>
      <c r="B820" s="13" t="s">
        <v>2965</v>
      </c>
      <c r="C820" s="13" t="n">
        <v>4</v>
      </c>
      <c r="D820" s="13" t="s">
        <v>135</v>
      </c>
      <c r="E820" s="13" t="s">
        <v>570</v>
      </c>
      <c r="F820" s="13" t="s">
        <v>2976</v>
      </c>
      <c r="G820" s="13" t="s">
        <v>1930</v>
      </c>
      <c r="H820" s="13" t="s">
        <v>152</v>
      </c>
      <c r="I820" s="21" t="s">
        <v>2980</v>
      </c>
      <c r="J820" s="21" t="s">
        <v>154</v>
      </c>
      <c r="K820" s="21" t="s">
        <v>2981</v>
      </c>
      <c r="L820" s="22" t="s">
        <v>40</v>
      </c>
      <c r="M820" s="21" t="s">
        <v>156</v>
      </c>
      <c r="N820" s="13" t="s">
        <v>106</v>
      </c>
      <c r="O820" s="23" t="n">
        <v>10.15</v>
      </c>
      <c r="P820" s="13" t="n">
        <v>1</v>
      </c>
      <c r="Q820" s="24" t="n">
        <v>46310.8104976852</v>
      </c>
      <c r="R820" s="22"/>
      <c r="S820" s="13" t="s">
        <v>164</v>
      </c>
      <c r="T820" s="13" t="str">
        <f aca="false">IF(S820="Oui",IF(R820=L820,"Identique","Changé"),"")</f>
        <v/>
      </c>
    </row>
    <row r="821" customFormat="false" ht="68.65" hidden="false" customHeight="false" outlineLevel="0" collapsed="false">
      <c r="A821" s="13" t="s">
        <v>2982</v>
      </c>
      <c r="B821" s="13" t="s">
        <v>2965</v>
      </c>
      <c r="C821" s="13" t="n">
        <v>5</v>
      </c>
      <c r="D821" s="13" t="s">
        <v>135</v>
      </c>
      <c r="E821" s="13" t="s">
        <v>171</v>
      </c>
      <c r="F821" s="13" t="s">
        <v>2966</v>
      </c>
      <c r="G821" s="13" t="s">
        <v>519</v>
      </c>
      <c r="H821" s="13" t="s">
        <v>101</v>
      </c>
      <c r="I821" s="21" t="s">
        <v>2983</v>
      </c>
      <c r="J821" s="21" t="s">
        <v>284</v>
      </c>
      <c r="K821" s="21" t="s">
        <v>2984</v>
      </c>
      <c r="L821" s="22" t="s">
        <v>37</v>
      </c>
      <c r="M821" s="21" t="s">
        <v>163</v>
      </c>
      <c r="N821" s="13" t="s">
        <v>106</v>
      </c>
      <c r="O821" s="23" t="n">
        <v>9.68</v>
      </c>
      <c r="P821" s="13" t="n">
        <v>1</v>
      </c>
      <c r="Q821" s="24" t="n">
        <v>46310.8107291667</v>
      </c>
      <c r="R821" s="22"/>
      <c r="S821" s="13" t="s">
        <v>164</v>
      </c>
      <c r="T821" s="13" t="str">
        <f aca="false">IF(S821="Oui",IF(R821=L821,"Identique","Changé"),"")</f>
        <v/>
      </c>
    </row>
    <row r="822" customFormat="false" ht="1120.85" hidden="false" customHeight="false" outlineLevel="0" collapsed="false">
      <c r="A822" s="13" t="s">
        <v>2985</v>
      </c>
      <c r="B822" s="13" t="s">
        <v>2986</v>
      </c>
      <c r="C822" s="13" t="n">
        <v>1</v>
      </c>
      <c r="D822" s="13" t="s">
        <v>97</v>
      </c>
      <c r="E822" s="13" t="s">
        <v>1730</v>
      </c>
      <c r="F822" s="13" t="s">
        <v>1416</v>
      </c>
      <c r="G822" s="13" t="s">
        <v>2003</v>
      </c>
      <c r="H822" s="13" t="s">
        <v>101</v>
      </c>
      <c r="I822" s="21" t="s">
        <v>2987</v>
      </c>
      <c r="J822" s="21" t="s">
        <v>2988</v>
      </c>
      <c r="K822" s="21" t="s">
        <v>1110</v>
      </c>
      <c r="L822" s="22" t="s">
        <v>37</v>
      </c>
      <c r="M822" s="21" t="s">
        <v>163</v>
      </c>
      <c r="N822" s="13" t="s">
        <v>106</v>
      </c>
      <c r="O822" s="23" t="n">
        <v>25.72</v>
      </c>
      <c r="P822" s="13" t="n">
        <v>1</v>
      </c>
      <c r="Q822" s="24" t="n">
        <v>46310.8112152778</v>
      </c>
      <c r="R822" s="22"/>
      <c r="S822" s="13" t="s">
        <v>164</v>
      </c>
      <c r="T822" s="13" t="str">
        <f aca="false">IF(S822="Oui",IF(R822=L822,"Identique","Changé"),"")</f>
        <v/>
      </c>
    </row>
    <row r="823" customFormat="false" ht="23.85" hidden="false" customHeight="false" outlineLevel="0" collapsed="false">
      <c r="A823" s="13" t="s">
        <v>2989</v>
      </c>
      <c r="B823" s="13" t="s">
        <v>2986</v>
      </c>
      <c r="C823" s="13" t="n">
        <v>2</v>
      </c>
      <c r="D823" s="13" t="s">
        <v>97</v>
      </c>
      <c r="E823" s="13" t="s">
        <v>114</v>
      </c>
      <c r="F823" s="13" t="s">
        <v>1416</v>
      </c>
      <c r="G823" s="13" t="s">
        <v>2123</v>
      </c>
      <c r="H823" s="13" t="s">
        <v>101</v>
      </c>
      <c r="I823" s="21" t="s">
        <v>2990</v>
      </c>
      <c r="J823" s="21" t="s">
        <v>2125</v>
      </c>
      <c r="K823" s="21" t="s">
        <v>1110</v>
      </c>
      <c r="L823" s="22" t="s">
        <v>37</v>
      </c>
      <c r="M823" s="21" t="s">
        <v>163</v>
      </c>
      <c r="N823" s="13" t="s">
        <v>106</v>
      </c>
      <c r="O823" s="23" t="n">
        <v>11.29</v>
      </c>
      <c r="P823" s="13" t="n">
        <v>1</v>
      </c>
      <c r="Q823" s="24" t="n">
        <v>46310.8114583333</v>
      </c>
      <c r="R823" s="22"/>
      <c r="S823" s="13" t="s">
        <v>164</v>
      </c>
      <c r="T823" s="13" t="str">
        <f aca="false">IF(S823="Oui",IF(R823=L823,"Identique","Changé"),"")</f>
        <v/>
      </c>
    </row>
    <row r="824" customFormat="false" ht="46.25" hidden="false" customHeight="false" outlineLevel="0" collapsed="false">
      <c r="A824" s="13" t="s">
        <v>2991</v>
      </c>
      <c r="B824" s="13" t="s">
        <v>2986</v>
      </c>
      <c r="C824" s="13" t="n">
        <v>3</v>
      </c>
      <c r="D824" s="13" t="s">
        <v>97</v>
      </c>
      <c r="E824" s="13" t="s">
        <v>122</v>
      </c>
      <c r="F824" s="13" t="s">
        <v>1298</v>
      </c>
      <c r="G824" s="13" t="s">
        <v>2036</v>
      </c>
      <c r="H824" s="13" t="s">
        <v>101</v>
      </c>
      <c r="I824" s="21" t="s">
        <v>2992</v>
      </c>
      <c r="J824" s="21" t="s">
        <v>2038</v>
      </c>
      <c r="K824" s="21" t="s">
        <v>2993</v>
      </c>
      <c r="L824" s="22" t="s">
        <v>36</v>
      </c>
      <c r="M824" s="21" t="s">
        <v>120</v>
      </c>
      <c r="N824" s="13" t="s">
        <v>106</v>
      </c>
      <c r="O824" s="23" t="n">
        <v>23.49</v>
      </c>
      <c r="P824" s="13" t="n">
        <v>1</v>
      </c>
      <c r="Q824" s="24" t="n">
        <v>46310.8118518519</v>
      </c>
      <c r="R824" s="22"/>
      <c r="S824" s="13" t="s">
        <v>164</v>
      </c>
      <c r="T824" s="13" t="str">
        <f aca="false">IF(S824="Oui",IF(R824=L824,"Identique","Changé"),"")</f>
        <v/>
      </c>
    </row>
    <row r="825" customFormat="false" ht="46.25" hidden="false" customHeight="false" outlineLevel="0" collapsed="false">
      <c r="A825" s="13" t="s">
        <v>2994</v>
      </c>
      <c r="B825" s="13" t="s">
        <v>2986</v>
      </c>
      <c r="C825" s="13" t="n">
        <v>4</v>
      </c>
      <c r="D825" s="13" t="s">
        <v>97</v>
      </c>
      <c r="E825" s="13" t="s">
        <v>128</v>
      </c>
      <c r="F825" s="13" t="s">
        <v>1298</v>
      </c>
      <c r="G825" s="13" t="s">
        <v>2071</v>
      </c>
      <c r="H825" s="13" t="s">
        <v>101</v>
      </c>
      <c r="I825" s="21" t="s">
        <v>2995</v>
      </c>
      <c r="J825" s="21" t="s">
        <v>195</v>
      </c>
      <c r="K825" s="21" t="s">
        <v>2996</v>
      </c>
      <c r="L825" s="22" t="s">
        <v>36</v>
      </c>
      <c r="M825" s="21" t="s">
        <v>120</v>
      </c>
      <c r="N825" s="13" t="s">
        <v>106</v>
      </c>
      <c r="O825" s="23" t="n">
        <v>12.39</v>
      </c>
      <c r="P825" s="13" t="n">
        <v>1</v>
      </c>
      <c r="Q825" s="24" t="n">
        <v>46310.8121064815</v>
      </c>
      <c r="R825" s="22"/>
      <c r="S825" s="13" t="s">
        <v>164</v>
      </c>
      <c r="T825" s="13" t="str">
        <f aca="false">IF(S825="Oui",IF(R825=L825,"Identique","Changé"),"")</f>
        <v/>
      </c>
    </row>
    <row r="826" customFormat="false" ht="46.25" hidden="false" customHeight="false" outlineLevel="0" collapsed="false">
      <c r="A826" s="13" t="s">
        <v>2997</v>
      </c>
      <c r="B826" s="13" t="s">
        <v>2986</v>
      </c>
      <c r="C826" s="13" t="n">
        <v>5</v>
      </c>
      <c r="D826" s="13" t="s">
        <v>97</v>
      </c>
      <c r="E826" s="13" t="s">
        <v>260</v>
      </c>
      <c r="F826" s="13" t="s">
        <v>1416</v>
      </c>
      <c r="G826" s="13" t="s">
        <v>2019</v>
      </c>
      <c r="H826" s="13" t="s">
        <v>101</v>
      </c>
      <c r="I826" s="21" t="s">
        <v>2998</v>
      </c>
      <c r="J826" s="21" t="s">
        <v>512</v>
      </c>
      <c r="K826" s="21" t="s">
        <v>2999</v>
      </c>
      <c r="L826" s="22" t="s">
        <v>36</v>
      </c>
      <c r="M826" s="21" t="s">
        <v>120</v>
      </c>
      <c r="N826" s="13" t="s">
        <v>106</v>
      </c>
      <c r="O826" s="23" t="n">
        <v>21.46</v>
      </c>
      <c r="P826" s="13" t="n">
        <v>1</v>
      </c>
      <c r="Q826" s="24" t="n">
        <v>46310.8124884259</v>
      </c>
      <c r="R826" s="22"/>
      <c r="S826" s="13" t="s">
        <v>164</v>
      </c>
      <c r="T826" s="13" t="str">
        <f aca="false">IF(S826="Oui",IF(R826=L826,"Identique","Changé"),"")</f>
        <v/>
      </c>
    </row>
    <row r="827" customFormat="false" ht="79.85" hidden="false" customHeight="false" outlineLevel="0" collapsed="false">
      <c r="A827" s="13" t="s">
        <v>3000</v>
      </c>
      <c r="B827" s="13" t="s">
        <v>3001</v>
      </c>
      <c r="C827" s="13" t="n">
        <v>1</v>
      </c>
      <c r="D827" s="13" t="s">
        <v>135</v>
      </c>
      <c r="E827" s="13" t="s">
        <v>158</v>
      </c>
      <c r="F827" s="13" t="s">
        <v>3002</v>
      </c>
      <c r="G827" s="13" t="s">
        <v>343</v>
      </c>
      <c r="H827" s="13" t="s">
        <v>101</v>
      </c>
      <c r="I827" s="21" t="s">
        <v>3003</v>
      </c>
      <c r="J827" s="21" t="s">
        <v>345</v>
      </c>
      <c r="K827" s="21" t="s">
        <v>3004</v>
      </c>
      <c r="L827" s="22" t="s">
        <v>37</v>
      </c>
      <c r="M827" s="21" t="s">
        <v>163</v>
      </c>
      <c r="N827" s="13" t="s">
        <v>106</v>
      </c>
      <c r="O827" s="23" t="n">
        <v>58.02</v>
      </c>
      <c r="P827" s="13" t="n">
        <v>1</v>
      </c>
      <c r="Q827" s="24" t="n">
        <v>46310.8133101852</v>
      </c>
      <c r="R827" s="22"/>
      <c r="S827" s="13" t="s">
        <v>164</v>
      </c>
      <c r="T827" s="13" t="str">
        <f aca="false">IF(S827="Oui",IF(R827=L827,"Identique","Changé"),"")</f>
        <v/>
      </c>
    </row>
    <row r="828" customFormat="false" ht="68.65" hidden="false" customHeight="false" outlineLevel="0" collapsed="false">
      <c r="A828" s="13" t="s">
        <v>3005</v>
      </c>
      <c r="B828" s="13" t="s">
        <v>3001</v>
      </c>
      <c r="C828" s="13" t="n">
        <v>2</v>
      </c>
      <c r="D828" s="13" t="s">
        <v>135</v>
      </c>
      <c r="E828" s="13" t="s">
        <v>122</v>
      </c>
      <c r="F828" s="13" t="s">
        <v>3002</v>
      </c>
      <c r="G828" s="13" t="s">
        <v>282</v>
      </c>
      <c r="H828" s="13" t="s">
        <v>101</v>
      </c>
      <c r="I828" s="21" t="s">
        <v>3006</v>
      </c>
      <c r="J828" s="21" t="s">
        <v>512</v>
      </c>
      <c r="K828" s="21" t="s">
        <v>3007</v>
      </c>
      <c r="L828" s="22" t="s">
        <v>38</v>
      </c>
      <c r="M828" s="21" t="s">
        <v>3008</v>
      </c>
      <c r="N828" s="13" t="s">
        <v>106</v>
      </c>
      <c r="O828" s="23" t="n">
        <v>14.99</v>
      </c>
      <c r="P828" s="13" t="n">
        <v>1</v>
      </c>
      <c r="Q828" s="24" t="n">
        <v>46310.8136111111</v>
      </c>
      <c r="R828" s="22"/>
      <c r="S828" s="13" t="s">
        <v>164</v>
      </c>
      <c r="T828" s="13" t="str">
        <f aca="false">IF(S828="Oui",IF(R828=L828,"Identique","Changé"),"")</f>
        <v/>
      </c>
    </row>
    <row r="829" customFormat="false" ht="23.85" hidden="false" customHeight="false" outlineLevel="0" collapsed="false">
      <c r="A829" s="13" t="s">
        <v>3009</v>
      </c>
      <c r="B829" s="13" t="s">
        <v>3001</v>
      </c>
      <c r="C829" s="13" t="n">
        <v>3</v>
      </c>
      <c r="D829" s="13" t="s">
        <v>135</v>
      </c>
      <c r="E829" s="13" t="s">
        <v>1730</v>
      </c>
      <c r="F829" s="13" t="s">
        <v>3002</v>
      </c>
      <c r="G829" s="13" t="s">
        <v>2098</v>
      </c>
      <c r="H829" s="13" t="s">
        <v>101</v>
      </c>
      <c r="I829" s="21" t="s">
        <v>3010</v>
      </c>
      <c r="J829" s="21" t="s">
        <v>3011</v>
      </c>
      <c r="K829" s="21" t="s">
        <v>3012</v>
      </c>
      <c r="L829" s="22" t="s">
        <v>36</v>
      </c>
      <c r="M829" s="21" t="s">
        <v>120</v>
      </c>
      <c r="N829" s="13" t="s">
        <v>106</v>
      </c>
      <c r="O829" s="23" t="n">
        <v>15.55</v>
      </c>
      <c r="P829" s="13" t="n">
        <v>1</v>
      </c>
      <c r="Q829" s="24" t="n">
        <v>46310.8139236111</v>
      </c>
      <c r="R829" s="22"/>
      <c r="S829" s="13" t="s">
        <v>164</v>
      </c>
      <c r="T829" s="13" t="str">
        <f aca="false">IF(S829="Oui",IF(R829=L829,"Identique","Changé"),"")</f>
        <v/>
      </c>
    </row>
    <row r="830" customFormat="false" ht="35.05" hidden="false" customHeight="false" outlineLevel="0" collapsed="false">
      <c r="A830" s="13" t="s">
        <v>3013</v>
      </c>
      <c r="B830" s="13" t="s">
        <v>3001</v>
      </c>
      <c r="C830" s="13" t="n">
        <v>4</v>
      </c>
      <c r="D830" s="13" t="s">
        <v>135</v>
      </c>
      <c r="E830" s="13" t="s">
        <v>185</v>
      </c>
      <c r="F830" s="13" t="s">
        <v>3002</v>
      </c>
      <c r="G830" s="13" t="s">
        <v>2173</v>
      </c>
      <c r="H830" s="13" t="s">
        <v>101</v>
      </c>
      <c r="I830" s="21" t="s">
        <v>3014</v>
      </c>
      <c r="J830" s="21" t="s">
        <v>3015</v>
      </c>
      <c r="K830" s="21" t="s">
        <v>3016</v>
      </c>
      <c r="L830" s="22" t="s">
        <v>36</v>
      </c>
      <c r="M830" s="21" t="s">
        <v>2135</v>
      </c>
      <c r="N830" s="13" t="s">
        <v>106</v>
      </c>
      <c r="O830" s="23" t="n">
        <v>12.77</v>
      </c>
      <c r="P830" s="13" t="n">
        <v>1</v>
      </c>
      <c r="Q830" s="24" t="n">
        <v>46310.8142013889</v>
      </c>
      <c r="R830" s="22"/>
      <c r="S830" s="13" t="s">
        <v>164</v>
      </c>
      <c r="T830" s="13" t="str">
        <f aca="false">IF(S830="Oui",IF(R830=L830,"Identique","Changé"),"")</f>
        <v/>
      </c>
    </row>
    <row r="831" customFormat="false" ht="46.25" hidden="false" customHeight="false" outlineLevel="0" collapsed="false">
      <c r="A831" s="13" t="s">
        <v>3017</v>
      </c>
      <c r="B831" s="13" t="s">
        <v>3001</v>
      </c>
      <c r="C831" s="13" t="n">
        <v>5</v>
      </c>
      <c r="D831" s="13" t="s">
        <v>135</v>
      </c>
      <c r="E831" s="13" t="s">
        <v>185</v>
      </c>
      <c r="F831" s="13" t="s">
        <v>3002</v>
      </c>
      <c r="G831" s="13" t="s">
        <v>2113</v>
      </c>
      <c r="H831" s="13" t="s">
        <v>101</v>
      </c>
      <c r="I831" s="21" t="s">
        <v>3018</v>
      </c>
      <c r="J831" s="21" t="s">
        <v>3015</v>
      </c>
      <c r="K831" s="21" t="s">
        <v>3019</v>
      </c>
      <c r="L831" s="22" t="s">
        <v>36</v>
      </c>
      <c r="M831" s="21" t="s">
        <v>427</v>
      </c>
      <c r="N831" s="13" t="s">
        <v>106</v>
      </c>
      <c r="O831" s="23" t="n">
        <v>20.7</v>
      </c>
      <c r="P831" s="13" t="n">
        <v>1</v>
      </c>
      <c r="Q831" s="24" t="n">
        <v>46310.8145833333</v>
      </c>
      <c r="R831" s="22"/>
      <c r="S831" s="13" t="s">
        <v>164</v>
      </c>
      <c r="T831" s="13" t="str">
        <f aca="false">IF(S831="Oui",IF(R831=L831,"Identique","Changé"),"")</f>
        <v/>
      </c>
    </row>
    <row r="832" customFormat="false" ht="46.25" hidden="false" customHeight="false" outlineLevel="0" collapsed="false">
      <c r="A832" s="13" t="s">
        <v>3020</v>
      </c>
      <c r="B832" s="13" t="s">
        <v>3021</v>
      </c>
      <c r="C832" s="13" t="n">
        <v>1</v>
      </c>
      <c r="D832" s="13" t="s">
        <v>97</v>
      </c>
      <c r="E832" s="13" t="s">
        <v>114</v>
      </c>
      <c r="F832" s="13" t="s">
        <v>559</v>
      </c>
      <c r="G832" s="13" t="s">
        <v>2085</v>
      </c>
      <c r="H832" s="13" t="s">
        <v>101</v>
      </c>
      <c r="I832" s="21" t="s">
        <v>3022</v>
      </c>
      <c r="J832" s="21" t="s">
        <v>512</v>
      </c>
      <c r="K832" s="21" t="s">
        <v>3023</v>
      </c>
      <c r="L832" s="22" t="s">
        <v>36</v>
      </c>
      <c r="M832" s="21" t="s">
        <v>120</v>
      </c>
      <c r="N832" s="13" t="s">
        <v>106</v>
      </c>
      <c r="O832" s="23" t="n">
        <v>32.28</v>
      </c>
      <c r="P832" s="13" t="n">
        <v>1</v>
      </c>
      <c r="Q832" s="24" t="n">
        <v>46310.815150463</v>
      </c>
      <c r="R832" s="22"/>
      <c r="S832" s="13" t="s">
        <v>164</v>
      </c>
      <c r="T832" s="13" t="str">
        <f aca="false">IF(S832="Oui",IF(R832=L832,"Identique","Changé"),"")</f>
        <v/>
      </c>
    </row>
    <row r="833" customFormat="false" ht="102.2" hidden="false" customHeight="false" outlineLevel="0" collapsed="false">
      <c r="A833" s="13" t="s">
        <v>3024</v>
      </c>
      <c r="B833" s="13" t="s">
        <v>3021</v>
      </c>
      <c r="C833" s="13" t="n">
        <v>2</v>
      </c>
      <c r="D833" s="13" t="s">
        <v>97</v>
      </c>
      <c r="E833" s="13" t="s">
        <v>1730</v>
      </c>
      <c r="F833" s="13" t="s">
        <v>559</v>
      </c>
      <c r="G833" s="13" t="s">
        <v>2142</v>
      </c>
      <c r="H833" s="13" t="s">
        <v>101</v>
      </c>
      <c r="I833" s="21" t="s">
        <v>3025</v>
      </c>
      <c r="J833" s="21" t="s">
        <v>3026</v>
      </c>
      <c r="K833" s="21" t="s">
        <v>3027</v>
      </c>
      <c r="L833" s="22" t="s">
        <v>36</v>
      </c>
      <c r="M833" s="21" t="s">
        <v>120</v>
      </c>
      <c r="N833" s="13" t="s">
        <v>106</v>
      </c>
      <c r="O833" s="23" t="n">
        <v>9.39</v>
      </c>
      <c r="P833" s="13" t="n">
        <v>1</v>
      </c>
      <c r="Q833" s="24" t="n">
        <v>46310.8153703704</v>
      </c>
      <c r="R833" s="22"/>
      <c r="S833" s="13" t="s">
        <v>164</v>
      </c>
      <c r="T833" s="13" t="str">
        <f aca="false">IF(S833="Oui",IF(R833=L833,"Identique","Changé"),"")</f>
        <v/>
      </c>
    </row>
    <row r="834" customFormat="false" ht="57.45" hidden="false" customHeight="false" outlineLevel="0" collapsed="false">
      <c r="A834" s="13" t="s">
        <v>3028</v>
      </c>
      <c r="B834" s="13" t="s">
        <v>3021</v>
      </c>
      <c r="C834" s="13" t="n">
        <v>3</v>
      </c>
      <c r="D834" s="13" t="s">
        <v>97</v>
      </c>
      <c r="E834" s="13" t="s">
        <v>570</v>
      </c>
      <c r="F834" s="13" t="s">
        <v>1473</v>
      </c>
      <c r="G834" s="13" t="s">
        <v>1883</v>
      </c>
      <c r="H834" s="13" t="s">
        <v>152</v>
      </c>
      <c r="I834" s="21" t="s">
        <v>3029</v>
      </c>
      <c r="J834" s="21" t="s">
        <v>154</v>
      </c>
      <c r="K834" s="21" t="s">
        <v>3030</v>
      </c>
      <c r="L834" s="22" t="s">
        <v>40</v>
      </c>
      <c r="M834" s="21" t="s">
        <v>156</v>
      </c>
      <c r="N834" s="13" t="s">
        <v>106</v>
      </c>
      <c r="O834" s="23" t="n">
        <v>15.84</v>
      </c>
      <c r="P834" s="13" t="n">
        <v>1</v>
      </c>
      <c r="Q834" s="24" t="n">
        <v>46310.8156828704</v>
      </c>
      <c r="R834" s="22"/>
      <c r="S834" s="13" t="s">
        <v>164</v>
      </c>
      <c r="T834" s="13" t="str">
        <f aca="false">IF(S834="Oui",IF(R834=L834,"Identique","Changé"),"")</f>
        <v/>
      </c>
    </row>
    <row r="835" customFormat="false" ht="46.25" hidden="false" customHeight="false" outlineLevel="0" collapsed="false">
      <c r="A835" s="13" t="s">
        <v>3031</v>
      </c>
      <c r="B835" s="13" t="s">
        <v>3021</v>
      </c>
      <c r="C835" s="13" t="n">
        <v>4</v>
      </c>
      <c r="D835" s="13" t="s">
        <v>97</v>
      </c>
      <c r="E835" s="13" t="s">
        <v>185</v>
      </c>
      <c r="F835" s="13" t="s">
        <v>1473</v>
      </c>
      <c r="G835" s="13" t="s">
        <v>2153</v>
      </c>
      <c r="H835" s="13" t="s">
        <v>101</v>
      </c>
      <c r="I835" s="21" t="s">
        <v>3032</v>
      </c>
      <c r="J835" s="21" t="s">
        <v>2155</v>
      </c>
      <c r="K835" s="21" t="s">
        <v>3033</v>
      </c>
      <c r="L835" s="22" t="s">
        <v>36</v>
      </c>
      <c r="M835" s="21" t="s">
        <v>120</v>
      </c>
      <c r="N835" s="13" t="s">
        <v>106</v>
      </c>
      <c r="O835" s="23" t="n">
        <v>15.57</v>
      </c>
      <c r="P835" s="13" t="n">
        <v>1</v>
      </c>
      <c r="Q835" s="24" t="n">
        <v>46310.8159837963</v>
      </c>
      <c r="R835" s="22"/>
      <c r="S835" s="13" t="s">
        <v>164</v>
      </c>
      <c r="T835" s="13" t="str">
        <f aca="false">IF(S835="Oui",IF(R835=L835,"Identique","Changé"),"")</f>
        <v/>
      </c>
    </row>
    <row r="836" customFormat="false" ht="46.25" hidden="false" customHeight="false" outlineLevel="0" collapsed="false">
      <c r="A836" s="13" t="s">
        <v>3034</v>
      </c>
      <c r="B836" s="13" t="s">
        <v>3021</v>
      </c>
      <c r="C836" s="13" t="n">
        <v>5</v>
      </c>
      <c r="D836" s="13" t="s">
        <v>97</v>
      </c>
      <c r="E836" s="13" t="s">
        <v>260</v>
      </c>
      <c r="F836" s="13" t="s">
        <v>559</v>
      </c>
      <c r="G836" s="13" t="s">
        <v>2019</v>
      </c>
      <c r="H836" s="13" t="s">
        <v>101</v>
      </c>
      <c r="I836" s="21" t="s">
        <v>3035</v>
      </c>
      <c r="J836" s="21" t="s">
        <v>512</v>
      </c>
      <c r="K836" s="21" t="s">
        <v>3036</v>
      </c>
      <c r="L836" s="22" t="s">
        <v>36</v>
      </c>
      <c r="M836" s="21" t="s">
        <v>120</v>
      </c>
      <c r="N836" s="13" t="s">
        <v>106</v>
      </c>
      <c r="O836" s="23" t="n">
        <v>13.45</v>
      </c>
      <c r="P836" s="13" t="n">
        <v>1</v>
      </c>
      <c r="Q836" s="24" t="n">
        <v>46310.8162615741</v>
      </c>
      <c r="R836" s="22"/>
      <c r="S836" s="13" t="s">
        <v>164</v>
      </c>
      <c r="T836" s="13" t="str">
        <f aca="false">IF(S836="Oui",IF(R836=L836,"Identique","Changé"),"")</f>
        <v/>
      </c>
    </row>
    <row r="837" customFormat="false" ht="46.25" hidden="false" customHeight="false" outlineLevel="0" collapsed="false">
      <c r="A837" s="13" t="s">
        <v>3037</v>
      </c>
      <c r="B837" s="13" t="s">
        <v>3038</v>
      </c>
      <c r="C837" s="13" t="n">
        <v>1</v>
      </c>
      <c r="D837" s="13" t="s">
        <v>135</v>
      </c>
      <c r="E837" s="13" t="s">
        <v>114</v>
      </c>
      <c r="F837" s="13" t="s">
        <v>3039</v>
      </c>
      <c r="G837" s="13" t="s">
        <v>2123</v>
      </c>
      <c r="H837" s="13" t="s">
        <v>101</v>
      </c>
      <c r="I837" s="21" t="s">
        <v>3040</v>
      </c>
      <c r="J837" s="21" t="s">
        <v>2149</v>
      </c>
      <c r="K837" s="21" t="s">
        <v>3041</v>
      </c>
      <c r="L837" s="22" t="s">
        <v>38</v>
      </c>
      <c r="M837" s="21" t="s">
        <v>3042</v>
      </c>
      <c r="N837" s="13" t="s">
        <v>1085</v>
      </c>
      <c r="O837" s="23" t="n">
        <v>29.64</v>
      </c>
      <c r="P837" s="13" t="n">
        <v>1</v>
      </c>
      <c r="Q837" s="24" t="n">
        <v>46310.8168171296</v>
      </c>
      <c r="R837" s="22"/>
      <c r="S837" s="13" t="s">
        <v>164</v>
      </c>
      <c r="T837" s="13" t="str">
        <f aca="false">IF(S837="Oui",IF(R837=L837,"Identique","Changé"),"")</f>
        <v/>
      </c>
    </row>
    <row r="838" customFormat="false" ht="35.05" hidden="false" customHeight="false" outlineLevel="0" collapsed="false">
      <c r="A838" s="13" t="s">
        <v>3043</v>
      </c>
      <c r="B838" s="13" t="s">
        <v>3038</v>
      </c>
      <c r="C838" s="13" t="n">
        <v>2</v>
      </c>
      <c r="D838" s="13" t="s">
        <v>135</v>
      </c>
      <c r="E838" s="13" t="s">
        <v>260</v>
      </c>
      <c r="F838" s="13" t="s">
        <v>3039</v>
      </c>
      <c r="G838" s="13" t="s">
        <v>2047</v>
      </c>
      <c r="H838" s="13" t="s">
        <v>101</v>
      </c>
      <c r="I838" s="21" t="s">
        <v>3044</v>
      </c>
      <c r="J838" s="21" t="s">
        <v>512</v>
      </c>
      <c r="K838" s="21" t="s">
        <v>3045</v>
      </c>
      <c r="L838" s="22" t="s">
        <v>36</v>
      </c>
      <c r="M838" s="21" t="s">
        <v>120</v>
      </c>
      <c r="N838" s="13" t="s">
        <v>106</v>
      </c>
      <c r="O838" s="23" t="n">
        <v>11.11</v>
      </c>
      <c r="P838" s="13" t="n">
        <v>1</v>
      </c>
      <c r="Q838" s="24" t="n">
        <v>46310.8170601852</v>
      </c>
      <c r="R838" s="22"/>
      <c r="S838" s="13" t="s">
        <v>164</v>
      </c>
      <c r="T838" s="13" t="str">
        <f aca="false">IF(S838="Oui",IF(R838=L838,"Identique","Changé"),"")</f>
        <v/>
      </c>
    </row>
    <row r="839" customFormat="false" ht="46.25" hidden="false" customHeight="false" outlineLevel="0" collapsed="false">
      <c r="A839" s="13" t="s">
        <v>3046</v>
      </c>
      <c r="B839" s="13" t="s">
        <v>3038</v>
      </c>
      <c r="C839" s="13" t="n">
        <v>3</v>
      </c>
      <c r="D839" s="13" t="s">
        <v>135</v>
      </c>
      <c r="E839" s="13" t="s">
        <v>1730</v>
      </c>
      <c r="F839" s="13" t="s">
        <v>3039</v>
      </c>
      <c r="G839" s="13" t="s">
        <v>2142</v>
      </c>
      <c r="H839" s="13" t="s">
        <v>101</v>
      </c>
      <c r="I839" s="21" t="s">
        <v>3047</v>
      </c>
      <c r="J839" s="21" t="s">
        <v>3048</v>
      </c>
      <c r="K839" s="21" t="s">
        <v>3049</v>
      </c>
      <c r="L839" s="22" t="s">
        <v>36</v>
      </c>
      <c r="M839" s="21" t="s">
        <v>120</v>
      </c>
      <c r="N839" s="13" t="s">
        <v>106</v>
      </c>
      <c r="O839" s="23" t="n">
        <v>12.57</v>
      </c>
      <c r="P839" s="13" t="n">
        <v>1</v>
      </c>
      <c r="Q839" s="24" t="n">
        <v>46310.8173263889</v>
      </c>
      <c r="R839" s="22"/>
      <c r="S839" s="13" t="s">
        <v>164</v>
      </c>
      <c r="T839" s="13" t="str">
        <f aca="false">IF(S839="Oui",IF(R839=L839,"Identique","Changé"),"")</f>
        <v/>
      </c>
    </row>
    <row r="840" customFormat="false" ht="46.25" hidden="false" customHeight="false" outlineLevel="0" collapsed="false">
      <c r="A840" s="13" t="s">
        <v>3050</v>
      </c>
      <c r="B840" s="13" t="s">
        <v>3038</v>
      </c>
      <c r="C840" s="13" t="n">
        <v>4</v>
      </c>
      <c r="D840" s="13" t="s">
        <v>135</v>
      </c>
      <c r="E840" s="13" t="s">
        <v>158</v>
      </c>
      <c r="F840" s="13" t="s">
        <v>3039</v>
      </c>
      <c r="G840" s="13" t="s">
        <v>343</v>
      </c>
      <c r="H840" s="13" t="s">
        <v>101</v>
      </c>
      <c r="I840" s="21" t="s">
        <v>3051</v>
      </c>
      <c r="J840" s="21" t="s">
        <v>345</v>
      </c>
      <c r="K840" s="21" t="s">
        <v>3052</v>
      </c>
      <c r="L840" s="22" t="s">
        <v>37</v>
      </c>
      <c r="M840" s="21" t="s">
        <v>163</v>
      </c>
      <c r="N840" s="13" t="s">
        <v>106</v>
      </c>
      <c r="O840" s="23" t="n">
        <v>10.32</v>
      </c>
      <c r="P840" s="13" t="n">
        <v>1</v>
      </c>
      <c r="Q840" s="24" t="n">
        <v>46310.8175694444</v>
      </c>
      <c r="R840" s="22"/>
      <c r="S840" s="13" t="s">
        <v>164</v>
      </c>
      <c r="T840" s="13" t="str">
        <f aca="false">IF(S840="Oui",IF(R840=L840,"Identique","Changé"),"")</f>
        <v/>
      </c>
    </row>
    <row r="841" customFormat="false" ht="23.85" hidden="false" customHeight="false" outlineLevel="0" collapsed="false">
      <c r="A841" s="13" t="s">
        <v>3053</v>
      </c>
      <c r="B841" s="13" t="s">
        <v>3038</v>
      </c>
      <c r="C841" s="13" t="n">
        <v>5</v>
      </c>
      <c r="D841" s="13" t="s">
        <v>135</v>
      </c>
      <c r="E841" s="13" t="s">
        <v>114</v>
      </c>
      <c r="F841" s="13" t="s">
        <v>3039</v>
      </c>
      <c r="G841" s="13" t="s">
        <v>2085</v>
      </c>
      <c r="H841" s="13" t="s">
        <v>101</v>
      </c>
      <c r="I841" s="21" t="s">
        <v>3054</v>
      </c>
      <c r="J841" s="21" t="s">
        <v>512</v>
      </c>
      <c r="K841" s="21" t="s">
        <v>3055</v>
      </c>
      <c r="L841" s="22" t="s">
        <v>36</v>
      </c>
      <c r="M841" s="21" t="s">
        <v>120</v>
      </c>
      <c r="N841" s="13" t="s">
        <v>106</v>
      </c>
      <c r="O841" s="23" t="n">
        <v>9.46</v>
      </c>
      <c r="P841" s="13" t="n">
        <v>1</v>
      </c>
      <c r="Q841" s="24" t="n">
        <v>46310.8178125</v>
      </c>
      <c r="R841" s="22"/>
      <c r="S841" s="13" t="s">
        <v>164</v>
      </c>
      <c r="T841" s="13" t="str">
        <f aca="false">IF(S841="Oui",IF(R841=L841,"Identique","Changé"),"")</f>
        <v/>
      </c>
    </row>
    <row r="842" customFormat="false" ht="57.45" hidden="false" customHeight="false" outlineLevel="0" collapsed="false">
      <c r="A842" s="13" t="s">
        <v>3056</v>
      </c>
      <c r="B842" s="13" t="s">
        <v>3057</v>
      </c>
      <c r="C842" s="13" t="n">
        <v>1</v>
      </c>
      <c r="D842" s="13" t="s">
        <v>97</v>
      </c>
      <c r="E842" s="13" t="s">
        <v>260</v>
      </c>
      <c r="F842" s="13" t="s">
        <v>99</v>
      </c>
      <c r="G842" s="13" t="s">
        <v>2057</v>
      </c>
      <c r="H842" s="13" t="s">
        <v>101</v>
      </c>
      <c r="I842" s="21" t="s">
        <v>3058</v>
      </c>
      <c r="J842" s="21" t="s">
        <v>512</v>
      </c>
      <c r="K842" s="21" t="s">
        <v>3059</v>
      </c>
      <c r="L842" s="22" t="s">
        <v>37</v>
      </c>
      <c r="M842" s="21" t="s">
        <v>163</v>
      </c>
      <c r="N842" s="13" t="s">
        <v>106</v>
      </c>
      <c r="O842" s="23" t="n">
        <v>18.87</v>
      </c>
      <c r="P842" s="13" t="n">
        <v>1</v>
      </c>
      <c r="Q842" s="24" t="n">
        <v>46310.818287037</v>
      </c>
      <c r="R842" s="22"/>
      <c r="S842" s="13" t="s">
        <v>164</v>
      </c>
      <c r="T842" s="13" t="str">
        <f aca="false">IF(S842="Oui",IF(R842=L842,"Identique","Changé"),"")</f>
        <v/>
      </c>
    </row>
    <row r="843" customFormat="false" ht="68.65" hidden="false" customHeight="false" outlineLevel="0" collapsed="false">
      <c r="A843" s="13" t="s">
        <v>3060</v>
      </c>
      <c r="B843" s="13" t="s">
        <v>3057</v>
      </c>
      <c r="C843" s="13" t="n">
        <v>2</v>
      </c>
      <c r="D843" s="13" t="s">
        <v>97</v>
      </c>
      <c r="E843" s="13" t="s">
        <v>114</v>
      </c>
      <c r="F843" s="13" t="s">
        <v>99</v>
      </c>
      <c r="G843" s="13" t="s">
        <v>2195</v>
      </c>
      <c r="H843" s="13" t="s">
        <v>101</v>
      </c>
      <c r="I843" s="21" t="s">
        <v>3061</v>
      </c>
      <c r="J843" s="21" t="s">
        <v>2197</v>
      </c>
      <c r="K843" s="21" t="s">
        <v>3062</v>
      </c>
      <c r="L843" s="22" t="s">
        <v>36</v>
      </c>
      <c r="M843" s="21" t="s">
        <v>120</v>
      </c>
      <c r="N843" s="13" t="s">
        <v>106</v>
      </c>
      <c r="O843" s="23" t="n">
        <v>22.28</v>
      </c>
      <c r="P843" s="13" t="n">
        <v>1</v>
      </c>
      <c r="Q843" s="24" t="n">
        <v>46310.8186574074</v>
      </c>
      <c r="R843" s="22"/>
      <c r="S843" s="13" t="s">
        <v>164</v>
      </c>
      <c r="T843" s="13" t="str">
        <f aca="false">IF(S843="Oui",IF(R843=L843,"Identique","Changé"),"")</f>
        <v/>
      </c>
    </row>
    <row r="844" customFormat="false" ht="91" hidden="false" customHeight="false" outlineLevel="0" collapsed="false">
      <c r="A844" s="13" t="s">
        <v>3063</v>
      </c>
      <c r="B844" s="13" t="s">
        <v>3057</v>
      </c>
      <c r="C844" s="13" t="n">
        <v>3</v>
      </c>
      <c r="D844" s="13" t="s">
        <v>97</v>
      </c>
      <c r="E844" s="13" t="s">
        <v>122</v>
      </c>
      <c r="F844" s="13" t="s">
        <v>409</v>
      </c>
      <c r="G844" s="13" t="s">
        <v>282</v>
      </c>
      <c r="H844" s="13" t="s">
        <v>101</v>
      </c>
      <c r="I844" s="21" t="s">
        <v>3064</v>
      </c>
      <c r="J844" s="21" t="s">
        <v>512</v>
      </c>
      <c r="K844" s="21" t="s">
        <v>3065</v>
      </c>
      <c r="L844" s="22" t="s">
        <v>36</v>
      </c>
      <c r="M844" s="21" t="s">
        <v>120</v>
      </c>
      <c r="N844" s="13" t="s">
        <v>106</v>
      </c>
      <c r="O844" s="23" t="n">
        <v>15.5</v>
      </c>
      <c r="P844" s="13" t="n">
        <v>1</v>
      </c>
      <c r="Q844" s="24" t="n">
        <v>46310.8189583333</v>
      </c>
      <c r="R844" s="22"/>
      <c r="S844" s="13" t="s">
        <v>164</v>
      </c>
      <c r="T844" s="13" t="str">
        <f aca="false">IF(S844="Oui",IF(R844=L844,"Identique","Changé"),"")</f>
        <v/>
      </c>
    </row>
    <row r="845" customFormat="false" ht="57.45" hidden="false" customHeight="false" outlineLevel="0" collapsed="false">
      <c r="A845" s="13" t="s">
        <v>3066</v>
      </c>
      <c r="B845" s="13" t="s">
        <v>3057</v>
      </c>
      <c r="C845" s="13" t="n">
        <v>4</v>
      </c>
      <c r="D845" s="13" t="s">
        <v>97</v>
      </c>
      <c r="E845" s="13" t="s">
        <v>570</v>
      </c>
      <c r="F845" s="13" t="s">
        <v>409</v>
      </c>
      <c r="G845" s="13" t="s">
        <v>1930</v>
      </c>
      <c r="H845" s="13" t="s">
        <v>152</v>
      </c>
      <c r="I845" s="21" t="s">
        <v>3067</v>
      </c>
      <c r="J845" s="21" t="s">
        <v>154</v>
      </c>
      <c r="K845" s="21" t="s">
        <v>3068</v>
      </c>
      <c r="L845" s="22" t="s">
        <v>40</v>
      </c>
      <c r="M845" s="21" t="s">
        <v>156</v>
      </c>
      <c r="N845" s="13" t="s">
        <v>106</v>
      </c>
      <c r="O845" s="23" t="n">
        <v>13.33</v>
      </c>
      <c r="P845" s="13" t="n">
        <v>1</v>
      </c>
      <c r="Q845" s="24" t="n">
        <v>46310.8192361111</v>
      </c>
      <c r="R845" s="22"/>
      <c r="S845" s="13" t="s">
        <v>164</v>
      </c>
      <c r="T845" s="13" t="str">
        <f aca="false">IF(S845="Oui",IF(R845=L845,"Identique","Changé"),"")</f>
        <v/>
      </c>
    </row>
    <row r="846" customFormat="false" ht="46.25" hidden="false" customHeight="false" outlineLevel="0" collapsed="false">
      <c r="A846" s="13" t="s">
        <v>3069</v>
      </c>
      <c r="B846" s="13" t="s">
        <v>3057</v>
      </c>
      <c r="C846" s="13" t="n">
        <v>5</v>
      </c>
      <c r="D846" s="13" t="s">
        <v>97</v>
      </c>
      <c r="E846" s="13" t="s">
        <v>122</v>
      </c>
      <c r="F846" s="13" t="s">
        <v>99</v>
      </c>
      <c r="G846" s="13" t="s">
        <v>2216</v>
      </c>
      <c r="H846" s="13" t="s">
        <v>101</v>
      </c>
      <c r="I846" s="21" t="s">
        <v>3070</v>
      </c>
      <c r="J846" s="21" t="s">
        <v>284</v>
      </c>
      <c r="K846" s="21" t="s">
        <v>3071</v>
      </c>
      <c r="L846" s="22" t="s">
        <v>36</v>
      </c>
      <c r="M846" s="21" t="s">
        <v>120</v>
      </c>
      <c r="N846" s="13" t="s">
        <v>106</v>
      </c>
      <c r="O846" s="23" t="n">
        <v>15.21</v>
      </c>
      <c r="P846" s="13" t="n">
        <v>1</v>
      </c>
      <c r="Q846" s="24" t="n">
        <v>46310.819537037</v>
      </c>
      <c r="R846" s="22"/>
      <c r="S846" s="13" t="s">
        <v>164</v>
      </c>
      <c r="T846" s="13" t="str">
        <f aca="false">IF(S846="Oui",IF(R846=L846,"Identique","Changé"),"")</f>
        <v/>
      </c>
    </row>
    <row r="847" customFormat="false" ht="46.25" hidden="false" customHeight="false" outlineLevel="0" collapsed="false">
      <c r="A847" s="13" t="s">
        <v>3072</v>
      </c>
      <c r="B847" s="13" t="s">
        <v>3073</v>
      </c>
      <c r="C847" s="13" t="n">
        <v>1</v>
      </c>
      <c r="D847" s="13" t="s">
        <v>135</v>
      </c>
      <c r="E847" s="13" t="s">
        <v>128</v>
      </c>
      <c r="F847" s="13" t="s">
        <v>3074</v>
      </c>
      <c r="G847" s="13" t="s">
        <v>2024</v>
      </c>
      <c r="H847" s="13" t="s">
        <v>101</v>
      </c>
      <c r="I847" s="21" t="s">
        <v>3075</v>
      </c>
      <c r="J847" s="21" t="s">
        <v>131</v>
      </c>
      <c r="K847" s="21" t="s">
        <v>3076</v>
      </c>
      <c r="L847" s="22" t="s">
        <v>36</v>
      </c>
      <c r="M847" s="21" t="s">
        <v>120</v>
      </c>
      <c r="N847" s="13" t="s">
        <v>106</v>
      </c>
      <c r="O847" s="23" t="n">
        <v>41.97</v>
      </c>
      <c r="P847" s="13" t="n">
        <v>1</v>
      </c>
      <c r="Q847" s="24" t="n">
        <v>46310.8201851852</v>
      </c>
      <c r="R847" s="22"/>
      <c r="S847" s="13" t="s">
        <v>164</v>
      </c>
      <c r="T847" s="13" t="str">
        <f aca="false">IF(S847="Oui",IF(R847=L847,"Identique","Changé"),"")</f>
        <v/>
      </c>
    </row>
    <row r="848" customFormat="false" ht="35.05" hidden="false" customHeight="false" outlineLevel="0" collapsed="false">
      <c r="A848" s="13" t="s">
        <v>3077</v>
      </c>
      <c r="B848" s="13" t="s">
        <v>3073</v>
      </c>
      <c r="C848" s="13" t="n">
        <v>2</v>
      </c>
      <c r="D848" s="13" t="s">
        <v>135</v>
      </c>
      <c r="E848" s="13" t="s">
        <v>122</v>
      </c>
      <c r="F848" s="13" t="s">
        <v>3074</v>
      </c>
      <c r="G848" s="13" t="s">
        <v>2166</v>
      </c>
      <c r="H848" s="13" t="s">
        <v>101</v>
      </c>
      <c r="I848" s="21" t="s">
        <v>3078</v>
      </c>
      <c r="J848" s="21" t="s">
        <v>284</v>
      </c>
      <c r="K848" s="21" t="s">
        <v>3079</v>
      </c>
      <c r="L848" s="22" t="s">
        <v>36</v>
      </c>
      <c r="M848" s="21" t="s">
        <v>120</v>
      </c>
      <c r="N848" s="13" t="s">
        <v>106</v>
      </c>
      <c r="O848" s="23" t="n">
        <v>9.41</v>
      </c>
      <c r="P848" s="13" t="n">
        <v>1</v>
      </c>
      <c r="Q848" s="24" t="n">
        <v>46310.8204166667</v>
      </c>
      <c r="R848" s="22"/>
      <c r="S848" s="13" t="s">
        <v>164</v>
      </c>
      <c r="T848" s="13" t="str">
        <f aca="false">IF(S848="Oui",IF(R848=L848,"Identique","Changé"),"")</f>
        <v/>
      </c>
    </row>
    <row r="849" customFormat="false" ht="57.45" hidden="false" customHeight="false" outlineLevel="0" collapsed="false">
      <c r="A849" s="13" t="s">
        <v>3080</v>
      </c>
      <c r="B849" s="13" t="s">
        <v>3073</v>
      </c>
      <c r="C849" s="13" t="n">
        <v>3</v>
      </c>
      <c r="D849" s="13" t="s">
        <v>135</v>
      </c>
      <c r="E849" s="13" t="s">
        <v>1730</v>
      </c>
      <c r="F849" s="13" t="s">
        <v>3081</v>
      </c>
      <c r="G849" s="13" t="s">
        <v>2098</v>
      </c>
      <c r="H849" s="13" t="s">
        <v>101</v>
      </c>
      <c r="I849" s="21" t="s">
        <v>3082</v>
      </c>
      <c r="J849" s="21" t="s">
        <v>3083</v>
      </c>
      <c r="K849" s="21" t="s">
        <v>3084</v>
      </c>
      <c r="L849" s="22" t="s">
        <v>36</v>
      </c>
      <c r="M849" s="21" t="s">
        <v>120</v>
      </c>
      <c r="N849" s="13" t="s">
        <v>106</v>
      </c>
      <c r="O849" s="23" t="n">
        <v>11.58</v>
      </c>
      <c r="P849" s="13" t="n">
        <v>1</v>
      </c>
      <c r="Q849" s="24" t="n">
        <v>46310.8206828704</v>
      </c>
      <c r="R849" s="22"/>
      <c r="S849" s="13" t="s">
        <v>164</v>
      </c>
      <c r="T849" s="13" t="str">
        <f aca="false">IF(S849="Oui",IF(R849=L849,"Identique","Changé"),"")</f>
        <v/>
      </c>
    </row>
    <row r="850" customFormat="false" ht="46.25" hidden="false" customHeight="false" outlineLevel="0" collapsed="false">
      <c r="A850" s="13" t="s">
        <v>3085</v>
      </c>
      <c r="B850" s="13" t="s">
        <v>3073</v>
      </c>
      <c r="C850" s="13" t="n">
        <v>4</v>
      </c>
      <c r="D850" s="13" t="s">
        <v>135</v>
      </c>
      <c r="E850" s="13" t="s">
        <v>185</v>
      </c>
      <c r="F850" s="13" t="s">
        <v>3081</v>
      </c>
      <c r="G850" s="13" t="s">
        <v>2153</v>
      </c>
      <c r="H850" s="13" t="s">
        <v>101</v>
      </c>
      <c r="I850" s="21" t="s">
        <v>3086</v>
      </c>
      <c r="J850" s="21" t="s">
        <v>2155</v>
      </c>
      <c r="K850" s="21" t="s">
        <v>3087</v>
      </c>
      <c r="L850" s="22" t="s">
        <v>36</v>
      </c>
      <c r="M850" s="21" t="s">
        <v>120</v>
      </c>
      <c r="N850" s="13" t="s">
        <v>106</v>
      </c>
      <c r="O850" s="23" t="n">
        <v>15.21</v>
      </c>
      <c r="P850" s="13" t="n">
        <v>1</v>
      </c>
      <c r="Q850" s="24" t="n">
        <v>46310.8210763889</v>
      </c>
      <c r="R850" s="22"/>
      <c r="S850" s="13" t="s">
        <v>164</v>
      </c>
      <c r="T850" s="13" t="str">
        <f aca="false">IF(S850="Oui",IF(R850=L850,"Identique","Changé"),"")</f>
        <v/>
      </c>
    </row>
    <row r="851" customFormat="false" ht="35.05" hidden="false" customHeight="false" outlineLevel="0" collapsed="false">
      <c r="A851" s="13" t="s">
        <v>3088</v>
      </c>
      <c r="B851" s="13" t="s">
        <v>3073</v>
      </c>
      <c r="C851" s="13" t="n">
        <v>5</v>
      </c>
      <c r="D851" s="13" t="s">
        <v>135</v>
      </c>
      <c r="E851" s="13" t="s">
        <v>114</v>
      </c>
      <c r="F851" s="13" t="s">
        <v>3074</v>
      </c>
      <c r="G851" s="13" t="s">
        <v>2118</v>
      </c>
      <c r="H851" s="13" t="s">
        <v>101</v>
      </c>
      <c r="I851" s="21" t="s">
        <v>3089</v>
      </c>
      <c r="J851" s="21" t="s">
        <v>2188</v>
      </c>
      <c r="K851" s="21" t="s">
        <v>3090</v>
      </c>
      <c r="L851" s="22" t="s">
        <v>36</v>
      </c>
      <c r="M851" s="21" t="s">
        <v>120</v>
      </c>
      <c r="N851" s="13" t="s">
        <v>106</v>
      </c>
      <c r="O851" s="23" t="n">
        <v>9.97</v>
      </c>
      <c r="P851" s="13" t="n">
        <v>1</v>
      </c>
      <c r="Q851" s="24" t="n">
        <v>46310.8213078704</v>
      </c>
      <c r="R851" s="22"/>
      <c r="S851" s="13" t="s">
        <v>164</v>
      </c>
      <c r="T851" s="13" t="str">
        <f aca="false">IF(S851="Oui",IF(R851=L851,"Identique","Changé"),"")</f>
        <v/>
      </c>
    </row>
    <row r="852" customFormat="false" ht="46.25" hidden="false" customHeight="false" outlineLevel="0" collapsed="false">
      <c r="A852" s="13" t="s">
        <v>3091</v>
      </c>
      <c r="B852" s="13" t="s">
        <v>3092</v>
      </c>
      <c r="C852" s="13" t="n">
        <v>1</v>
      </c>
      <c r="D852" s="13" t="s">
        <v>97</v>
      </c>
      <c r="E852" s="13" t="s">
        <v>158</v>
      </c>
      <c r="F852" s="13" t="s">
        <v>1448</v>
      </c>
      <c r="G852" s="13" t="s">
        <v>343</v>
      </c>
      <c r="H852" s="13" t="s">
        <v>101</v>
      </c>
      <c r="I852" s="21" t="s">
        <v>3093</v>
      </c>
      <c r="J852" s="21" t="s">
        <v>178</v>
      </c>
      <c r="K852" s="21" t="s">
        <v>3094</v>
      </c>
      <c r="L852" s="22" t="s">
        <v>37</v>
      </c>
      <c r="M852" s="21" t="s">
        <v>163</v>
      </c>
      <c r="N852" s="13" t="s">
        <v>106</v>
      </c>
      <c r="O852" s="23" t="n">
        <v>24.42</v>
      </c>
      <c r="P852" s="13" t="n">
        <v>1</v>
      </c>
      <c r="Q852" s="24" t="n">
        <v>46310.8217592593</v>
      </c>
      <c r="R852" s="22"/>
      <c r="S852" s="13" t="s">
        <v>164</v>
      </c>
      <c r="T852" s="13" t="str">
        <f aca="false">IF(S852="Oui",IF(R852=L852,"Identique","Changé"),"")</f>
        <v/>
      </c>
    </row>
    <row r="853" customFormat="false" ht="46.25" hidden="false" customHeight="false" outlineLevel="0" collapsed="false">
      <c r="A853" s="13" t="s">
        <v>3095</v>
      </c>
      <c r="B853" s="13" t="s">
        <v>3092</v>
      </c>
      <c r="C853" s="13" t="n">
        <v>2</v>
      </c>
      <c r="D853" s="13" t="s">
        <v>97</v>
      </c>
      <c r="E853" s="13" t="s">
        <v>114</v>
      </c>
      <c r="F853" s="13" t="s">
        <v>1448</v>
      </c>
      <c r="G853" s="13" t="s">
        <v>2200</v>
      </c>
      <c r="H853" s="13" t="s">
        <v>101</v>
      </c>
      <c r="I853" s="21" t="s">
        <v>3096</v>
      </c>
      <c r="J853" s="21" t="s">
        <v>3097</v>
      </c>
      <c r="K853" s="21" t="s">
        <v>3098</v>
      </c>
      <c r="L853" s="22" t="s">
        <v>36</v>
      </c>
      <c r="M853" s="21" t="s">
        <v>120</v>
      </c>
      <c r="N853" s="13" t="s">
        <v>106</v>
      </c>
      <c r="O853" s="23" t="n">
        <v>29.37</v>
      </c>
      <c r="P853" s="13" t="n">
        <v>1</v>
      </c>
      <c r="Q853" s="24" t="n">
        <v>46310.8222106482</v>
      </c>
      <c r="R853" s="22"/>
      <c r="S853" s="13" t="s">
        <v>164</v>
      </c>
      <c r="T853" s="13" t="str">
        <f aca="false">IF(S853="Oui",IF(R853=L853,"Identique","Changé"),"")</f>
        <v/>
      </c>
    </row>
    <row r="854" customFormat="false" ht="46.25" hidden="false" customHeight="false" outlineLevel="0" collapsed="false">
      <c r="A854" s="13" t="s">
        <v>3099</v>
      </c>
      <c r="B854" s="13" t="s">
        <v>3092</v>
      </c>
      <c r="C854" s="13" t="n">
        <v>3</v>
      </c>
      <c r="D854" s="13" t="s">
        <v>97</v>
      </c>
      <c r="E854" s="13" t="s">
        <v>128</v>
      </c>
      <c r="F854" s="13" t="s">
        <v>1448</v>
      </c>
      <c r="G854" s="13" t="s">
        <v>2071</v>
      </c>
      <c r="H854" s="13" t="s">
        <v>101</v>
      </c>
      <c r="I854" s="21" t="s">
        <v>3100</v>
      </c>
      <c r="J854" s="21" t="s">
        <v>195</v>
      </c>
      <c r="K854" s="21" t="s">
        <v>3101</v>
      </c>
      <c r="L854" s="22" t="s">
        <v>36</v>
      </c>
      <c r="M854" s="21" t="s">
        <v>120</v>
      </c>
      <c r="N854" s="13" t="s">
        <v>106</v>
      </c>
      <c r="O854" s="23" t="n">
        <v>14.7</v>
      </c>
      <c r="P854" s="13" t="n">
        <v>1</v>
      </c>
      <c r="Q854" s="24" t="n">
        <v>46310.8225115741</v>
      </c>
      <c r="R854" s="22"/>
      <c r="S854" s="13" t="s">
        <v>164</v>
      </c>
      <c r="T854" s="13" t="str">
        <f aca="false">IF(S854="Oui",IF(R854=L854,"Identique","Changé"),"")</f>
        <v/>
      </c>
    </row>
    <row r="855" customFormat="false" ht="79.85" hidden="false" customHeight="false" outlineLevel="0" collapsed="false">
      <c r="A855" s="13" t="s">
        <v>3102</v>
      </c>
      <c r="B855" s="13" t="s">
        <v>3092</v>
      </c>
      <c r="C855" s="13" t="n">
        <v>4</v>
      </c>
      <c r="D855" s="13" t="s">
        <v>97</v>
      </c>
      <c r="E855" s="13" t="s">
        <v>171</v>
      </c>
      <c r="F855" s="13" t="s">
        <v>1448</v>
      </c>
      <c r="G855" s="13" t="s">
        <v>519</v>
      </c>
      <c r="H855" s="13" t="s">
        <v>101</v>
      </c>
      <c r="I855" s="21" t="s">
        <v>3103</v>
      </c>
      <c r="J855" s="21" t="s">
        <v>284</v>
      </c>
      <c r="K855" s="21" t="s">
        <v>3104</v>
      </c>
      <c r="L855" s="22" t="s">
        <v>37</v>
      </c>
      <c r="M855" s="21" t="s">
        <v>163</v>
      </c>
      <c r="N855" s="13" t="s">
        <v>106</v>
      </c>
      <c r="O855" s="23" t="n">
        <v>17.03</v>
      </c>
      <c r="P855" s="13" t="n">
        <v>1</v>
      </c>
      <c r="Q855" s="24" t="n">
        <v>46310.8228240741</v>
      </c>
      <c r="R855" s="22"/>
      <c r="S855" s="13" t="s">
        <v>164</v>
      </c>
      <c r="T855" s="13" t="str">
        <f aca="false">IF(S855="Oui",IF(R855=L855,"Identique","Changé"),"")</f>
        <v/>
      </c>
    </row>
    <row r="856" customFormat="false" ht="35.05" hidden="false" customHeight="false" outlineLevel="0" collapsed="false">
      <c r="A856" s="13" t="s">
        <v>3105</v>
      </c>
      <c r="B856" s="13" t="s">
        <v>3092</v>
      </c>
      <c r="C856" s="13" t="n">
        <v>5</v>
      </c>
      <c r="D856" s="13" t="s">
        <v>97</v>
      </c>
      <c r="E856" s="13" t="s">
        <v>114</v>
      </c>
      <c r="F856" s="13" t="s">
        <v>1448</v>
      </c>
      <c r="G856" s="13" t="s">
        <v>2220</v>
      </c>
      <c r="H856" s="13" t="s">
        <v>101</v>
      </c>
      <c r="I856" s="21" t="s">
        <v>3106</v>
      </c>
      <c r="J856" s="21" t="s">
        <v>2222</v>
      </c>
      <c r="K856" s="21" t="s">
        <v>3107</v>
      </c>
      <c r="L856" s="22" t="s">
        <v>36</v>
      </c>
      <c r="M856" s="21" t="s">
        <v>120</v>
      </c>
      <c r="N856" s="13" t="s">
        <v>106</v>
      </c>
      <c r="O856" s="23" t="n">
        <v>9.14</v>
      </c>
      <c r="P856" s="13" t="n">
        <v>1</v>
      </c>
      <c r="Q856" s="24" t="n">
        <v>46310.8230555556</v>
      </c>
      <c r="R856" s="22"/>
      <c r="S856" s="13" t="s">
        <v>164</v>
      </c>
      <c r="T856" s="13" t="str">
        <f aca="false">IF(S856="Oui",IF(R856=L856,"Identique","Changé"),"")</f>
        <v/>
      </c>
    </row>
    <row r="857" customFormat="false" ht="57.45" hidden="false" customHeight="false" outlineLevel="0" collapsed="false">
      <c r="A857" s="13" t="s">
        <v>3108</v>
      </c>
      <c r="B857" s="13" t="s">
        <v>3109</v>
      </c>
      <c r="C857" s="13" t="n">
        <v>1</v>
      </c>
      <c r="D857" s="13" t="s">
        <v>135</v>
      </c>
      <c r="E857" s="13" t="s">
        <v>128</v>
      </c>
      <c r="F857" s="13" t="s">
        <v>3110</v>
      </c>
      <c r="G857" s="13" t="s">
        <v>968</v>
      </c>
      <c r="H857" s="13" t="s">
        <v>101</v>
      </c>
      <c r="I857" s="21" t="s">
        <v>3111</v>
      </c>
      <c r="J857" s="21" t="s">
        <v>292</v>
      </c>
      <c r="K857" s="21" t="s">
        <v>3112</v>
      </c>
      <c r="L857" s="22" t="s">
        <v>37</v>
      </c>
      <c r="M857" s="21" t="s">
        <v>163</v>
      </c>
      <c r="N857" s="13" t="s">
        <v>106</v>
      </c>
      <c r="O857" s="23" t="n">
        <v>17.75</v>
      </c>
      <c r="P857" s="13" t="n">
        <v>1</v>
      </c>
      <c r="Q857" s="24" t="n">
        <v>46310.8234143519</v>
      </c>
      <c r="R857" s="22"/>
      <c r="S857" s="13" t="s">
        <v>164</v>
      </c>
      <c r="T857" s="13" t="str">
        <f aca="false">IF(S857="Oui",IF(R857=L857,"Identique","Changé"),"")</f>
        <v/>
      </c>
    </row>
    <row r="858" customFormat="false" ht="23.85" hidden="false" customHeight="false" outlineLevel="0" collapsed="false">
      <c r="A858" s="13" t="s">
        <v>3113</v>
      </c>
      <c r="B858" s="13" t="s">
        <v>3109</v>
      </c>
      <c r="C858" s="13" t="n">
        <v>2</v>
      </c>
      <c r="D858" s="13" t="s">
        <v>135</v>
      </c>
      <c r="E858" s="13" t="s">
        <v>128</v>
      </c>
      <c r="F858" s="13" t="s">
        <v>3110</v>
      </c>
      <c r="G858" s="13" t="s">
        <v>2024</v>
      </c>
      <c r="H858" s="13" t="s">
        <v>101</v>
      </c>
      <c r="I858" s="21" t="s">
        <v>3114</v>
      </c>
      <c r="J858" s="21" t="s">
        <v>131</v>
      </c>
      <c r="K858" s="21" t="s">
        <v>1881</v>
      </c>
      <c r="L858" s="22" t="s">
        <v>39</v>
      </c>
      <c r="M858" s="21" t="s">
        <v>565</v>
      </c>
      <c r="N858" s="13" t="s">
        <v>106</v>
      </c>
      <c r="O858" s="23" t="n">
        <v>10.12</v>
      </c>
      <c r="P858" s="13" t="n">
        <v>1</v>
      </c>
      <c r="Q858" s="24" t="n">
        <v>46310.8236574074</v>
      </c>
      <c r="R858" s="22"/>
      <c r="S858" s="13" t="s">
        <v>164</v>
      </c>
      <c r="T858" s="13" t="str">
        <f aca="false">IF(S858="Oui",IF(R858=L858,"Identique","Changé"),"")</f>
        <v/>
      </c>
    </row>
    <row r="859" customFormat="false" ht="35.05" hidden="false" customHeight="false" outlineLevel="0" collapsed="false">
      <c r="A859" s="13" t="s">
        <v>3115</v>
      </c>
      <c r="B859" s="13" t="s">
        <v>3109</v>
      </c>
      <c r="C859" s="13" t="n">
        <v>3</v>
      </c>
      <c r="D859" s="13" t="s">
        <v>135</v>
      </c>
      <c r="E859" s="13" t="s">
        <v>570</v>
      </c>
      <c r="F859" s="13" t="s">
        <v>3116</v>
      </c>
      <c r="G859" s="13" t="s">
        <v>1824</v>
      </c>
      <c r="H859" s="13" t="s">
        <v>152</v>
      </c>
      <c r="I859" s="21" t="s">
        <v>3117</v>
      </c>
      <c r="J859" s="21" t="s">
        <v>154</v>
      </c>
      <c r="K859" s="21" t="s">
        <v>3118</v>
      </c>
      <c r="L859" s="22" t="s">
        <v>39</v>
      </c>
      <c r="M859" s="21" t="s">
        <v>565</v>
      </c>
      <c r="N859" s="13" t="s">
        <v>106</v>
      </c>
      <c r="O859" s="23" t="n">
        <v>6.02</v>
      </c>
      <c r="P859" s="13" t="n">
        <v>1</v>
      </c>
      <c r="Q859" s="24" t="n">
        <v>46310.8238425926</v>
      </c>
      <c r="R859" s="22"/>
      <c r="S859" s="13" t="s">
        <v>164</v>
      </c>
      <c r="T859" s="13" t="str">
        <f aca="false">IF(S859="Oui",IF(R859=L859,"Identique","Changé"),"")</f>
        <v/>
      </c>
    </row>
    <row r="860" customFormat="false" ht="23.85" hidden="false" customHeight="false" outlineLevel="0" collapsed="false">
      <c r="A860" s="13" t="s">
        <v>3119</v>
      </c>
      <c r="B860" s="13" t="s">
        <v>3109</v>
      </c>
      <c r="C860" s="13" t="n">
        <v>4</v>
      </c>
      <c r="D860" s="13" t="s">
        <v>135</v>
      </c>
      <c r="E860" s="13" t="s">
        <v>185</v>
      </c>
      <c r="F860" s="13" t="s">
        <v>3116</v>
      </c>
      <c r="G860" s="13" t="s">
        <v>2173</v>
      </c>
      <c r="H860" s="13" t="s">
        <v>101</v>
      </c>
      <c r="I860" s="21" t="s">
        <v>3120</v>
      </c>
      <c r="J860" s="21" t="s">
        <v>3121</v>
      </c>
      <c r="K860" s="21" t="s">
        <v>3122</v>
      </c>
      <c r="L860" s="22" t="s">
        <v>39</v>
      </c>
      <c r="M860" s="21" t="s">
        <v>565</v>
      </c>
      <c r="N860" s="13" t="s">
        <v>106</v>
      </c>
      <c r="O860" s="23" t="n">
        <v>6.38</v>
      </c>
      <c r="P860" s="13" t="n">
        <v>1</v>
      </c>
      <c r="Q860" s="24" t="n">
        <v>46310.8240393519</v>
      </c>
      <c r="R860" s="22"/>
      <c r="S860" s="13" t="s">
        <v>164</v>
      </c>
      <c r="T860" s="13" t="str">
        <f aca="false">IF(S860="Oui",IF(R860=L860,"Identique","Changé"),"")</f>
        <v/>
      </c>
    </row>
    <row r="861" customFormat="false" ht="35.05" hidden="false" customHeight="false" outlineLevel="0" collapsed="false">
      <c r="A861" s="13" t="s">
        <v>3123</v>
      </c>
      <c r="B861" s="13" t="s">
        <v>3109</v>
      </c>
      <c r="C861" s="13" t="n">
        <v>5</v>
      </c>
      <c r="D861" s="13" t="s">
        <v>135</v>
      </c>
      <c r="E861" s="13" t="s">
        <v>114</v>
      </c>
      <c r="F861" s="13" t="s">
        <v>3110</v>
      </c>
      <c r="G861" s="13" t="s">
        <v>2085</v>
      </c>
      <c r="H861" s="13" t="s">
        <v>101</v>
      </c>
      <c r="I861" s="21" t="s">
        <v>3124</v>
      </c>
      <c r="J861" s="21" t="s">
        <v>512</v>
      </c>
      <c r="K861" s="21" t="s">
        <v>1467</v>
      </c>
      <c r="L861" s="22" t="s">
        <v>39</v>
      </c>
      <c r="M861" s="21" t="s">
        <v>565</v>
      </c>
      <c r="N861" s="13" t="s">
        <v>106</v>
      </c>
      <c r="O861" s="23" t="n">
        <v>6.67</v>
      </c>
      <c r="P861" s="13" t="n">
        <v>1</v>
      </c>
      <c r="Q861" s="24" t="n">
        <v>46310.8242361111</v>
      </c>
      <c r="R861" s="22"/>
      <c r="S861" s="13" t="s">
        <v>164</v>
      </c>
      <c r="T861" s="13" t="str">
        <f aca="false">IF(S861="Oui",IF(R861=L861,"Identique","Changé"),"")</f>
        <v/>
      </c>
    </row>
    <row r="862" customFormat="false" ht="35.05" hidden="false" customHeight="false" outlineLevel="0" collapsed="false">
      <c r="A862" s="13" t="s">
        <v>3125</v>
      </c>
      <c r="B862" s="13" t="s">
        <v>3126</v>
      </c>
      <c r="C862" s="13" t="n">
        <v>1</v>
      </c>
      <c r="D862" s="13" t="s">
        <v>97</v>
      </c>
      <c r="E862" s="13" t="s">
        <v>98</v>
      </c>
      <c r="F862" s="13" t="s">
        <v>167</v>
      </c>
      <c r="G862" s="13" t="s">
        <v>151</v>
      </c>
      <c r="H862" s="13" t="s">
        <v>101</v>
      </c>
      <c r="I862" s="21" t="s">
        <v>3127</v>
      </c>
      <c r="J862" s="21" t="s">
        <v>2163</v>
      </c>
      <c r="K862" s="21" t="s">
        <v>3128</v>
      </c>
      <c r="L862" s="22" t="s">
        <v>36</v>
      </c>
      <c r="M862" s="21" t="s">
        <v>105</v>
      </c>
      <c r="N862" s="13" t="s">
        <v>106</v>
      </c>
      <c r="O862" s="23" t="n">
        <v>41.06</v>
      </c>
      <c r="P862" s="13" t="n">
        <v>1</v>
      </c>
      <c r="Q862" s="24" t="n">
        <v>46310.8248842593</v>
      </c>
      <c r="R862" s="22"/>
      <c r="S862" s="13" t="s">
        <v>164</v>
      </c>
      <c r="T862" s="13" t="str">
        <f aca="false">IF(S862="Oui",IF(R862=L862,"Identique","Changé"),"")</f>
        <v/>
      </c>
    </row>
    <row r="863" customFormat="false" ht="35.05" hidden="false" customHeight="false" outlineLevel="0" collapsed="false">
      <c r="A863" s="13" t="s">
        <v>3129</v>
      </c>
      <c r="B863" s="13" t="s">
        <v>3126</v>
      </c>
      <c r="C863" s="13" t="n">
        <v>2</v>
      </c>
      <c r="D863" s="13" t="s">
        <v>97</v>
      </c>
      <c r="E863" s="13" t="s">
        <v>185</v>
      </c>
      <c r="F863" s="13" t="s">
        <v>167</v>
      </c>
      <c r="G863" s="13" t="s">
        <v>2113</v>
      </c>
      <c r="H863" s="13" t="s">
        <v>101</v>
      </c>
      <c r="I863" s="21" t="s">
        <v>3130</v>
      </c>
      <c r="J863" s="21" t="s">
        <v>3131</v>
      </c>
      <c r="K863" s="21" t="s">
        <v>3132</v>
      </c>
      <c r="L863" s="22" t="s">
        <v>36</v>
      </c>
      <c r="M863" s="21" t="s">
        <v>2135</v>
      </c>
      <c r="N863" s="13" t="s">
        <v>106</v>
      </c>
      <c r="O863" s="23" t="n">
        <v>10.4</v>
      </c>
      <c r="P863" s="13" t="n">
        <v>1</v>
      </c>
      <c r="Q863" s="24" t="n">
        <v>46310.8251273148</v>
      </c>
      <c r="R863" s="22"/>
      <c r="S863" s="13" t="s">
        <v>164</v>
      </c>
      <c r="T863" s="13" t="str">
        <f aca="false">IF(S863="Oui",IF(R863=L863,"Identique","Changé"),"")</f>
        <v/>
      </c>
    </row>
    <row r="864" customFormat="false" ht="35.05" hidden="false" customHeight="false" outlineLevel="0" collapsed="false">
      <c r="A864" s="13" t="s">
        <v>3133</v>
      </c>
      <c r="B864" s="13" t="s">
        <v>3126</v>
      </c>
      <c r="C864" s="13" t="n">
        <v>3</v>
      </c>
      <c r="D864" s="13" t="s">
        <v>97</v>
      </c>
      <c r="E864" s="13" t="s">
        <v>114</v>
      </c>
      <c r="F864" s="13" t="s">
        <v>167</v>
      </c>
      <c r="G864" s="13" t="s">
        <v>2118</v>
      </c>
      <c r="H864" s="13" t="s">
        <v>101</v>
      </c>
      <c r="I864" s="21" t="s">
        <v>3134</v>
      </c>
      <c r="J864" s="21" t="s">
        <v>3135</v>
      </c>
      <c r="K864" s="21" t="s">
        <v>3136</v>
      </c>
      <c r="L864" s="22" t="s">
        <v>36</v>
      </c>
      <c r="M864" s="21" t="s">
        <v>120</v>
      </c>
      <c r="N864" s="13" t="s">
        <v>106</v>
      </c>
      <c r="O864" s="23" t="n">
        <v>9.42</v>
      </c>
      <c r="P864" s="13" t="n">
        <v>1</v>
      </c>
      <c r="Q864" s="24" t="n">
        <v>46310.8253587963</v>
      </c>
      <c r="R864" s="22"/>
      <c r="S864" s="13" t="s">
        <v>164</v>
      </c>
      <c r="T864" s="13" t="str">
        <f aca="false">IF(S864="Oui",IF(R864=L864,"Identique","Changé"),"")</f>
        <v/>
      </c>
    </row>
    <row r="865" customFormat="false" ht="35.05" hidden="false" customHeight="false" outlineLevel="0" collapsed="false">
      <c r="A865" s="13" t="s">
        <v>3137</v>
      </c>
      <c r="B865" s="13" t="s">
        <v>3126</v>
      </c>
      <c r="C865" s="13" t="n">
        <v>4</v>
      </c>
      <c r="D865" s="13" t="s">
        <v>97</v>
      </c>
      <c r="E865" s="13" t="s">
        <v>185</v>
      </c>
      <c r="F865" s="13" t="s">
        <v>167</v>
      </c>
      <c r="G865" s="13" t="s">
        <v>2173</v>
      </c>
      <c r="H865" s="13" t="s">
        <v>101</v>
      </c>
      <c r="I865" s="21" t="s">
        <v>3138</v>
      </c>
      <c r="J865" s="21" t="s">
        <v>3139</v>
      </c>
      <c r="K865" s="21" t="s">
        <v>3140</v>
      </c>
      <c r="L865" s="22" t="s">
        <v>36</v>
      </c>
      <c r="M865" s="21" t="s">
        <v>2135</v>
      </c>
      <c r="N865" s="13" t="s">
        <v>106</v>
      </c>
      <c r="O865" s="23" t="n">
        <v>9.99</v>
      </c>
      <c r="P865" s="13" t="n">
        <v>1</v>
      </c>
      <c r="Q865" s="24" t="n">
        <v>46310.8256134259</v>
      </c>
      <c r="R865" s="22"/>
      <c r="S865" s="13" t="s">
        <v>164</v>
      </c>
      <c r="T865" s="13" t="str">
        <f aca="false">IF(S865="Oui",IF(R865=L865,"Identique","Changé"),"")</f>
        <v/>
      </c>
    </row>
    <row r="866" customFormat="false" ht="35.05" hidden="false" customHeight="false" outlineLevel="0" collapsed="false">
      <c r="A866" s="13" t="s">
        <v>3141</v>
      </c>
      <c r="B866" s="13" t="s">
        <v>3126</v>
      </c>
      <c r="C866" s="13" t="n">
        <v>5</v>
      </c>
      <c r="D866" s="13" t="s">
        <v>97</v>
      </c>
      <c r="E866" s="13" t="s">
        <v>114</v>
      </c>
      <c r="F866" s="13" t="s">
        <v>167</v>
      </c>
      <c r="G866" s="13" t="s">
        <v>2123</v>
      </c>
      <c r="H866" s="13" t="s">
        <v>101</v>
      </c>
      <c r="I866" s="21" t="s">
        <v>3142</v>
      </c>
      <c r="J866" s="21" t="s">
        <v>2125</v>
      </c>
      <c r="K866" s="21" t="s">
        <v>3143</v>
      </c>
      <c r="L866" s="22" t="s">
        <v>36</v>
      </c>
      <c r="M866" s="21" t="s">
        <v>120</v>
      </c>
      <c r="N866" s="13" t="s">
        <v>106</v>
      </c>
      <c r="O866" s="23" t="n">
        <v>9.47</v>
      </c>
      <c r="P866" s="13" t="n">
        <v>1</v>
      </c>
      <c r="Q866" s="24" t="n">
        <v>46310.8258333333</v>
      </c>
      <c r="R866" s="22"/>
      <c r="S866" s="13" t="s">
        <v>164</v>
      </c>
      <c r="T866" s="13" t="str">
        <f aca="false">IF(S866="Oui",IF(R866=L866,"Identique","Changé"),"")</f>
        <v/>
      </c>
    </row>
    <row r="867" customFormat="false" ht="23.85" hidden="false" customHeight="false" outlineLevel="0" collapsed="false">
      <c r="A867" s="13" t="s">
        <v>3144</v>
      </c>
      <c r="B867" s="13" t="s">
        <v>3145</v>
      </c>
      <c r="C867" s="13" t="n">
        <v>1</v>
      </c>
      <c r="D867" s="13" t="s">
        <v>135</v>
      </c>
      <c r="E867" s="13" t="s">
        <v>128</v>
      </c>
      <c r="F867" s="13" t="s">
        <v>3146</v>
      </c>
      <c r="G867" s="13" t="s">
        <v>290</v>
      </c>
      <c r="H867" s="13" t="s">
        <v>101</v>
      </c>
      <c r="I867" s="21" t="s">
        <v>3147</v>
      </c>
      <c r="J867" s="21" t="s">
        <v>355</v>
      </c>
      <c r="K867" s="21" t="s">
        <v>3148</v>
      </c>
      <c r="L867" s="22" t="s">
        <v>37</v>
      </c>
      <c r="M867" s="21" t="s">
        <v>163</v>
      </c>
      <c r="N867" s="13" t="s">
        <v>106</v>
      </c>
      <c r="O867" s="23" t="n">
        <v>18.81</v>
      </c>
      <c r="P867" s="13" t="n">
        <v>1</v>
      </c>
      <c r="Q867" s="24" t="n">
        <v>46310.8262615741</v>
      </c>
      <c r="R867" s="22"/>
      <c r="S867" s="13" t="s">
        <v>164</v>
      </c>
      <c r="T867" s="13" t="str">
        <f aca="false">IF(S867="Oui",IF(R867=L867,"Identique","Changé"),"")</f>
        <v/>
      </c>
    </row>
    <row r="868" customFormat="false" ht="46.25" hidden="false" customHeight="false" outlineLevel="0" collapsed="false">
      <c r="A868" s="13" t="s">
        <v>3149</v>
      </c>
      <c r="B868" s="13" t="s">
        <v>3145</v>
      </c>
      <c r="C868" s="13" t="n">
        <v>2</v>
      </c>
      <c r="D868" s="13" t="s">
        <v>135</v>
      </c>
      <c r="E868" s="13" t="s">
        <v>128</v>
      </c>
      <c r="F868" s="13" t="s">
        <v>3146</v>
      </c>
      <c r="G868" s="13" t="s">
        <v>348</v>
      </c>
      <c r="H868" s="13" t="s">
        <v>101</v>
      </c>
      <c r="I868" s="21" t="s">
        <v>3150</v>
      </c>
      <c r="J868" s="21" t="s">
        <v>355</v>
      </c>
      <c r="K868" s="21" t="s">
        <v>3151</v>
      </c>
      <c r="L868" s="22" t="s">
        <v>37</v>
      </c>
      <c r="M868" s="21" t="s">
        <v>163</v>
      </c>
      <c r="N868" s="13" t="s">
        <v>106</v>
      </c>
      <c r="O868" s="23" t="n">
        <v>13.23</v>
      </c>
      <c r="P868" s="13" t="n">
        <v>1</v>
      </c>
      <c r="Q868" s="24" t="n">
        <v>46310.8265277778</v>
      </c>
      <c r="R868" s="22"/>
      <c r="S868" s="13" t="s">
        <v>164</v>
      </c>
      <c r="T868" s="13" t="str">
        <f aca="false">IF(S868="Oui",IF(R868=L868,"Identique","Changé"),"")</f>
        <v/>
      </c>
    </row>
    <row r="869" customFormat="false" ht="57.45" hidden="false" customHeight="false" outlineLevel="0" collapsed="false">
      <c r="A869" s="13" t="s">
        <v>3152</v>
      </c>
      <c r="B869" s="13" t="s">
        <v>3145</v>
      </c>
      <c r="C869" s="13" t="n">
        <v>3</v>
      </c>
      <c r="D869" s="13" t="s">
        <v>135</v>
      </c>
      <c r="E869" s="13" t="s">
        <v>171</v>
      </c>
      <c r="F869" s="13" t="s">
        <v>3153</v>
      </c>
      <c r="G869" s="13" t="s">
        <v>2263</v>
      </c>
      <c r="H869" s="13" t="s">
        <v>101</v>
      </c>
      <c r="I869" s="21" t="s">
        <v>3154</v>
      </c>
      <c r="J869" s="21" t="s">
        <v>3155</v>
      </c>
      <c r="K869" s="21" t="s">
        <v>3156</v>
      </c>
      <c r="L869" s="22" t="s">
        <v>36</v>
      </c>
      <c r="M869" s="21" t="s">
        <v>120</v>
      </c>
      <c r="N869" s="13" t="s">
        <v>106</v>
      </c>
      <c r="O869" s="23" t="n">
        <v>24.63</v>
      </c>
      <c r="P869" s="13" t="n">
        <v>1</v>
      </c>
      <c r="Q869" s="24" t="n">
        <v>46310.8269444444</v>
      </c>
      <c r="R869" s="22"/>
      <c r="S869" s="13" t="s">
        <v>164</v>
      </c>
      <c r="T869" s="13" t="str">
        <f aca="false">IF(S869="Oui",IF(R869=L869,"Identique","Changé"),"")</f>
        <v/>
      </c>
    </row>
    <row r="870" customFormat="false" ht="46.25" hidden="false" customHeight="false" outlineLevel="0" collapsed="false">
      <c r="A870" s="13" t="s">
        <v>3157</v>
      </c>
      <c r="B870" s="13" t="s">
        <v>3145</v>
      </c>
      <c r="C870" s="13" t="n">
        <v>4</v>
      </c>
      <c r="D870" s="13" t="s">
        <v>135</v>
      </c>
      <c r="E870" s="13" t="s">
        <v>570</v>
      </c>
      <c r="F870" s="13" t="s">
        <v>3153</v>
      </c>
      <c r="G870" s="13" t="s">
        <v>1980</v>
      </c>
      <c r="H870" s="13" t="s">
        <v>152</v>
      </c>
      <c r="I870" s="21" t="s">
        <v>3158</v>
      </c>
      <c r="J870" s="21" t="s">
        <v>154</v>
      </c>
      <c r="K870" s="21" t="s">
        <v>3159</v>
      </c>
      <c r="L870" s="22" t="s">
        <v>40</v>
      </c>
      <c r="M870" s="21" t="s">
        <v>156</v>
      </c>
      <c r="N870" s="13" t="s">
        <v>106</v>
      </c>
      <c r="O870" s="23" t="n">
        <v>10.08</v>
      </c>
      <c r="P870" s="13" t="n">
        <v>1</v>
      </c>
      <c r="Q870" s="24" t="n">
        <v>46310.8271875</v>
      </c>
      <c r="R870" s="22"/>
      <c r="S870" s="13" t="s">
        <v>164</v>
      </c>
      <c r="T870" s="13" t="str">
        <f aca="false">IF(S870="Oui",IF(R870=L870,"Identique","Changé"),"")</f>
        <v/>
      </c>
    </row>
    <row r="871" customFormat="false" ht="35.05" hidden="false" customHeight="false" outlineLevel="0" collapsed="false">
      <c r="A871" s="13" t="s">
        <v>3160</v>
      </c>
      <c r="B871" s="13" t="s">
        <v>3145</v>
      </c>
      <c r="C871" s="13" t="n">
        <v>5</v>
      </c>
      <c r="D871" s="13" t="s">
        <v>135</v>
      </c>
      <c r="E871" s="13" t="s">
        <v>128</v>
      </c>
      <c r="F871" s="13" t="s">
        <v>3146</v>
      </c>
      <c r="G871" s="13" t="s">
        <v>968</v>
      </c>
      <c r="H871" s="13" t="s">
        <v>101</v>
      </c>
      <c r="I871" s="21" t="s">
        <v>3161</v>
      </c>
      <c r="J871" s="21" t="s">
        <v>355</v>
      </c>
      <c r="K871" s="21" t="s">
        <v>3162</v>
      </c>
      <c r="L871" s="22" t="s">
        <v>36</v>
      </c>
      <c r="M871" s="21" t="s">
        <v>120</v>
      </c>
      <c r="N871" s="13" t="s">
        <v>106</v>
      </c>
      <c r="O871" s="23" t="n">
        <v>20.15</v>
      </c>
      <c r="P871" s="13" t="n">
        <v>1</v>
      </c>
      <c r="Q871" s="24" t="n">
        <v>46310.8275462963</v>
      </c>
      <c r="R871" s="22"/>
      <c r="S871" s="13" t="s">
        <v>164</v>
      </c>
      <c r="T871" s="13" t="str">
        <f aca="false">IF(S871="Oui",IF(R871=L871,"Identique","Changé"),"")</f>
        <v/>
      </c>
    </row>
    <row r="872" customFormat="false" ht="79.85" hidden="false" customHeight="false" outlineLevel="0" collapsed="false">
      <c r="A872" s="13" t="s">
        <v>3163</v>
      </c>
      <c r="B872" s="13" t="s">
        <v>3164</v>
      </c>
      <c r="C872" s="13" t="n">
        <v>1</v>
      </c>
      <c r="D872" s="13" t="s">
        <v>97</v>
      </c>
      <c r="E872" s="13" t="s">
        <v>171</v>
      </c>
      <c r="F872" s="13" t="s">
        <v>627</v>
      </c>
      <c r="G872" s="13" t="s">
        <v>2258</v>
      </c>
      <c r="H872" s="13" t="s">
        <v>101</v>
      </c>
      <c r="I872" s="21" t="s">
        <v>3165</v>
      </c>
      <c r="J872" s="21" t="s">
        <v>2260</v>
      </c>
      <c r="K872" s="21" t="s">
        <v>3166</v>
      </c>
      <c r="L872" s="22" t="s">
        <v>36</v>
      </c>
      <c r="M872" s="21" t="s">
        <v>120</v>
      </c>
      <c r="N872" s="13" t="s">
        <v>106</v>
      </c>
      <c r="O872" s="23" t="n">
        <v>23.92</v>
      </c>
      <c r="P872" s="13" t="n">
        <v>1</v>
      </c>
      <c r="Q872" s="24" t="n">
        <v>46310.8280208333</v>
      </c>
      <c r="R872" s="22"/>
      <c r="S872" s="13" t="s">
        <v>164</v>
      </c>
      <c r="T872" s="13" t="str">
        <f aca="false">IF(S872="Oui",IF(R872=L872,"Identique","Changé"),"")</f>
        <v/>
      </c>
    </row>
    <row r="873" customFormat="false" ht="46.25" hidden="false" customHeight="false" outlineLevel="0" collapsed="false">
      <c r="A873" s="13" t="s">
        <v>3167</v>
      </c>
      <c r="B873" s="13" t="s">
        <v>3164</v>
      </c>
      <c r="C873" s="13" t="n">
        <v>2</v>
      </c>
      <c r="D873" s="13" t="s">
        <v>97</v>
      </c>
      <c r="E873" s="13" t="s">
        <v>185</v>
      </c>
      <c r="F873" s="13" t="s">
        <v>627</v>
      </c>
      <c r="G873" s="13" t="s">
        <v>2153</v>
      </c>
      <c r="H873" s="13" t="s">
        <v>101</v>
      </c>
      <c r="I873" s="21" t="s">
        <v>3168</v>
      </c>
      <c r="J873" s="21" t="s">
        <v>2155</v>
      </c>
      <c r="K873" s="21" t="s">
        <v>3169</v>
      </c>
      <c r="L873" s="22" t="s">
        <v>36</v>
      </c>
      <c r="M873" s="21" t="s">
        <v>120</v>
      </c>
      <c r="N873" s="13" t="s">
        <v>106</v>
      </c>
      <c r="O873" s="23" t="n">
        <v>10.7</v>
      </c>
      <c r="P873" s="13" t="n">
        <v>1</v>
      </c>
      <c r="Q873" s="24" t="n">
        <v>46310.8282638889</v>
      </c>
      <c r="R873" s="22"/>
      <c r="S873" s="13" t="s">
        <v>164</v>
      </c>
      <c r="T873" s="13" t="str">
        <f aca="false">IF(S873="Oui",IF(R873=L873,"Identique","Changé"),"")</f>
        <v/>
      </c>
    </row>
    <row r="874" customFormat="false" ht="68.65" hidden="false" customHeight="false" outlineLevel="0" collapsed="false">
      <c r="A874" s="13" t="s">
        <v>3170</v>
      </c>
      <c r="B874" s="13" t="s">
        <v>3164</v>
      </c>
      <c r="C874" s="13" t="n">
        <v>3</v>
      </c>
      <c r="D874" s="13" t="s">
        <v>97</v>
      </c>
      <c r="E874" s="13" t="s">
        <v>1730</v>
      </c>
      <c r="F874" s="13" t="s">
        <v>1210</v>
      </c>
      <c r="G874" s="13" t="s">
        <v>2098</v>
      </c>
      <c r="H874" s="13" t="s">
        <v>101</v>
      </c>
      <c r="I874" s="21" t="s">
        <v>3171</v>
      </c>
      <c r="J874" s="21" t="s">
        <v>3172</v>
      </c>
      <c r="K874" s="21" t="s">
        <v>3173</v>
      </c>
      <c r="L874" s="22" t="s">
        <v>36</v>
      </c>
      <c r="M874" s="21" t="s">
        <v>120</v>
      </c>
      <c r="N874" s="13" t="s">
        <v>106</v>
      </c>
      <c r="O874" s="23" t="n">
        <v>12.26</v>
      </c>
      <c r="P874" s="13" t="n">
        <v>1</v>
      </c>
      <c r="Q874" s="24" t="n">
        <v>46310.8285185185</v>
      </c>
      <c r="R874" s="22"/>
      <c r="S874" s="13" t="s">
        <v>164</v>
      </c>
      <c r="T874" s="13" t="str">
        <f aca="false">IF(S874="Oui",IF(R874=L874,"Identique","Changé"),"")</f>
        <v/>
      </c>
    </row>
    <row r="875" customFormat="false" ht="68.65" hidden="false" customHeight="false" outlineLevel="0" collapsed="false">
      <c r="A875" s="13" t="s">
        <v>3174</v>
      </c>
      <c r="B875" s="13" t="s">
        <v>3164</v>
      </c>
      <c r="C875" s="13" t="n">
        <v>4</v>
      </c>
      <c r="D875" s="13" t="s">
        <v>97</v>
      </c>
      <c r="E875" s="13" t="s">
        <v>114</v>
      </c>
      <c r="F875" s="13" t="s">
        <v>1210</v>
      </c>
      <c r="G875" s="13" t="s">
        <v>2195</v>
      </c>
      <c r="H875" s="13" t="s">
        <v>101</v>
      </c>
      <c r="I875" s="21" t="s">
        <v>3175</v>
      </c>
      <c r="J875" s="21" t="s">
        <v>2197</v>
      </c>
      <c r="K875" s="21" t="s">
        <v>3176</v>
      </c>
      <c r="L875" s="22" t="s">
        <v>36</v>
      </c>
      <c r="M875" s="21" t="s">
        <v>120</v>
      </c>
      <c r="N875" s="13" t="s">
        <v>106</v>
      </c>
      <c r="O875" s="23" t="n">
        <v>12.22</v>
      </c>
      <c r="P875" s="13" t="n">
        <v>1</v>
      </c>
      <c r="Q875" s="24" t="n">
        <v>46310.8287731482</v>
      </c>
      <c r="R875" s="22"/>
      <c r="S875" s="13" t="s">
        <v>164</v>
      </c>
      <c r="T875" s="13" t="str">
        <f aca="false">IF(S875="Oui",IF(R875=L875,"Identique","Changé"),"")</f>
        <v/>
      </c>
    </row>
    <row r="876" customFormat="false" ht="79.85" hidden="false" customHeight="false" outlineLevel="0" collapsed="false">
      <c r="A876" s="13" t="s">
        <v>3177</v>
      </c>
      <c r="B876" s="13" t="s">
        <v>3164</v>
      </c>
      <c r="C876" s="13" t="n">
        <v>5</v>
      </c>
      <c r="D876" s="13" t="s">
        <v>97</v>
      </c>
      <c r="E876" s="13" t="s">
        <v>1730</v>
      </c>
      <c r="F876" s="13" t="s">
        <v>627</v>
      </c>
      <c r="G876" s="13" t="s">
        <v>2142</v>
      </c>
      <c r="H876" s="13" t="s">
        <v>101</v>
      </c>
      <c r="I876" s="21" t="s">
        <v>3178</v>
      </c>
      <c r="J876" s="21" t="s">
        <v>3179</v>
      </c>
      <c r="K876" s="21" t="s">
        <v>3180</v>
      </c>
      <c r="L876" s="22" t="s">
        <v>36</v>
      </c>
      <c r="M876" s="21" t="s">
        <v>120</v>
      </c>
      <c r="N876" s="13" t="s">
        <v>106</v>
      </c>
      <c r="O876" s="23" t="n">
        <v>9.23</v>
      </c>
      <c r="P876" s="13" t="n">
        <v>1</v>
      </c>
      <c r="Q876" s="24" t="n">
        <v>46310.8290046296</v>
      </c>
      <c r="R876" s="22"/>
      <c r="S876" s="13" t="s">
        <v>164</v>
      </c>
      <c r="T876" s="13" t="str">
        <f aca="false">IF(S876="Oui",IF(R876=L876,"Identique","Changé"),"")</f>
        <v/>
      </c>
    </row>
    <row r="877" customFormat="false" ht="35.05" hidden="false" customHeight="false" outlineLevel="0" collapsed="false">
      <c r="A877" s="13" t="s">
        <v>3181</v>
      </c>
      <c r="B877" s="13" t="s">
        <v>3182</v>
      </c>
      <c r="C877" s="13" t="n">
        <v>1</v>
      </c>
      <c r="D877" s="13" t="s">
        <v>135</v>
      </c>
      <c r="E877" s="13" t="s">
        <v>98</v>
      </c>
      <c r="F877" s="13" t="s">
        <v>1771</v>
      </c>
      <c r="G877" s="13" t="s">
        <v>151</v>
      </c>
      <c r="H877" s="13" t="s">
        <v>101</v>
      </c>
      <c r="I877" s="21" t="s">
        <v>3183</v>
      </c>
      <c r="J877" s="21" t="s">
        <v>1389</v>
      </c>
      <c r="K877" s="21" t="s">
        <v>3184</v>
      </c>
      <c r="L877" s="22" t="s">
        <v>36</v>
      </c>
      <c r="M877" s="21" t="s">
        <v>105</v>
      </c>
      <c r="N877" s="13" t="s">
        <v>106</v>
      </c>
      <c r="O877" s="23" t="n">
        <v>30.17</v>
      </c>
      <c r="P877" s="13" t="n">
        <v>1</v>
      </c>
      <c r="Q877" s="24" t="n">
        <v>46310.8295486111</v>
      </c>
      <c r="R877" s="22"/>
      <c r="S877" s="13" t="s">
        <v>164</v>
      </c>
      <c r="T877" s="13" t="str">
        <f aca="false">IF(S877="Oui",IF(R877=L877,"Identique","Changé"),"")</f>
        <v/>
      </c>
    </row>
    <row r="878" customFormat="false" ht="35.05" hidden="false" customHeight="false" outlineLevel="0" collapsed="false">
      <c r="A878" s="13" t="s">
        <v>3185</v>
      </c>
      <c r="B878" s="13" t="s">
        <v>3182</v>
      </c>
      <c r="C878" s="13" t="n">
        <v>2</v>
      </c>
      <c r="D878" s="13" t="s">
        <v>135</v>
      </c>
      <c r="E878" s="13" t="s">
        <v>98</v>
      </c>
      <c r="F878" s="13" t="s">
        <v>1771</v>
      </c>
      <c r="G878" s="13" t="s">
        <v>181</v>
      </c>
      <c r="H878" s="13" t="s">
        <v>101</v>
      </c>
      <c r="I878" s="21" t="s">
        <v>3186</v>
      </c>
      <c r="J878" s="21" t="s">
        <v>604</v>
      </c>
      <c r="K878" s="21" t="s">
        <v>3187</v>
      </c>
      <c r="L878" s="22" t="s">
        <v>36</v>
      </c>
      <c r="M878" s="21" t="s">
        <v>105</v>
      </c>
      <c r="N878" s="13" t="s">
        <v>106</v>
      </c>
      <c r="O878" s="23" t="n">
        <v>13.18</v>
      </c>
      <c r="P878" s="13" t="n">
        <v>1</v>
      </c>
      <c r="Q878" s="24" t="n">
        <v>46310.8298263889</v>
      </c>
      <c r="R878" s="22"/>
      <c r="S878" s="13" t="s">
        <v>164</v>
      </c>
      <c r="T878" s="13" t="str">
        <f aca="false">IF(S878="Oui",IF(R878=L878,"Identique","Changé"),"")</f>
        <v/>
      </c>
    </row>
    <row r="879" customFormat="false" ht="35.05" hidden="false" customHeight="false" outlineLevel="0" collapsed="false">
      <c r="A879" s="13" t="s">
        <v>3188</v>
      </c>
      <c r="B879" s="13" t="s">
        <v>3182</v>
      </c>
      <c r="C879" s="13" t="n">
        <v>3</v>
      </c>
      <c r="D879" s="13" t="s">
        <v>135</v>
      </c>
      <c r="E879" s="13" t="s">
        <v>570</v>
      </c>
      <c r="F879" s="13" t="s">
        <v>1771</v>
      </c>
      <c r="G879" s="13" t="s">
        <v>1739</v>
      </c>
      <c r="H879" s="13" t="s">
        <v>101</v>
      </c>
      <c r="I879" s="21" t="s">
        <v>3189</v>
      </c>
      <c r="J879" s="21" t="s">
        <v>3190</v>
      </c>
      <c r="K879" s="21" t="s">
        <v>3191</v>
      </c>
      <c r="L879" s="22" t="s">
        <v>36</v>
      </c>
      <c r="M879" s="21" t="s">
        <v>235</v>
      </c>
      <c r="N879" s="13" t="s">
        <v>106</v>
      </c>
      <c r="O879" s="23" t="n">
        <v>10.35</v>
      </c>
      <c r="P879" s="13" t="n">
        <v>1</v>
      </c>
      <c r="Q879" s="24" t="n">
        <v>46310.8300578704</v>
      </c>
      <c r="R879" s="22"/>
      <c r="S879" s="13" t="s">
        <v>164</v>
      </c>
      <c r="T879" s="13" t="str">
        <f aca="false">IF(S879="Oui",IF(R879=L879,"Identique","Changé"),"")</f>
        <v/>
      </c>
    </row>
    <row r="880" customFormat="false" ht="35.05" hidden="false" customHeight="false" outlineLevel="0" collapsed="false">
      <c r="A880" s="13" t="s">
        <v>3192</v>
      </c>
      <c r="B880" s="13" t="s">
        <v>3182</v>
      </c>
      <c r="C880" s="13" t="n">
        <v>4</v>
      </c>
      <c r="D880" s="13" t="s">
        <v>135</v>
      </c>
      <c r="E880" s="13" t="s">
        <v>114</v>
      </c>
      <c r="F880" s="13" t="s">
        <v>1771</v>
      </c>
      <c r="G880" s="13" t="s">
        <v>2200</v>
      </c>
      <c r="H880" s="13" t="s">
        <v>101</v>
      </c>
      <c r="I880" s="21" t="s">
        <v>3193</v>
      </c>
      <c r="J880" s="21" t="s">
        <v>3194</v>
      </c>
      <c r="K880" s="21" t="s">
        <v>3195</v>
      </c>
      <c r="L880" s="22" t="s">
        <v>36</v>
      </c>
      <c r="M880" s="21" t="s">
        <v>120</v>
      </c>
      <c r="N880" s="13" t="s">
        <v>106</v>
      </c>
      <c r="O880" s="23" t="n">
        <v>13.13</v>
      </c>
      <c r="P880" s="13" t="n">
        <v>1</v>
      </c>
      <c r="Q880" s="24" t="n">
        <v>46310.8303356482</v>
      </c>
      <c r="R880" s="22"/>
      <c r="S880" s="13" t="s">
        <v>164</v>
      </c>
      <c r="T880" s="13" t="str">
        <f aca="false">IF(S880="Oui",IF(R880=L880,"Identique","Changé"),"")</f>
        <v/>
      </c>
    </row>
    <row r="881" customFormat="false" ht="35.05" hidden="false" customHeight="false" outlineLevel="0" collapsed="false">
      <c r="A881" s="13" t="s">
        <v>3196</v>
      </c>
      <c r="B881" s="13" t="s">
        <v>3182</v>
      </c>
      <c r="C881" s="13" t="n">
        <v>5</v>
      </c>
      <c r="D881" s="13" t="s">
        <v>135</v>
      </c>
      <c r="E881" s="13" t="s">
        <v>122</v>
      </c>
      <c r="F881" s="13" t="s">
        <v>1771</v>
      </c>
      <c r="G881" s="13" t="s">
        <v>2166</v>
      </c>
      <c r="H881" s="13" t="s">
        <v>101</v>
      </c>
      <c r="I881" s="21" t="s">
        <v>3197</v>
      </c>
      <c r="J881" s="21" t="s">
        <v>284</v>
      </c>
      <c r="K881" s="21" t="s">
        <v>3198</v>
      </c>
      <c r="L881" s="22" t="s">
        <v>36</v>
      </c>
      <c r="M881" s="21" t="s">
        <v>120</v>
      </c>
      <c r="N881" s="13" t="s">
        <v>106</v>
      </c>
      <c r="O881" s="23" t="n">
        <v>9.07</v>
      </c>
      <c r="P881" s="13" t="n">
        <v>1</v>
      </c>
      <c r="Q881" s="24" t="n">
        <v>46310.8305671296</v>
      </c>
      <c r="R881" s="22"/>
      <c r="S881" s="13" t="s">
        <v>164</v>
      </c>
      <c r="T881" s="13" t="str">
        <f aca="false">IF(S881="Oui",IF(R881=L881,"Identique","Changé"),"")</f>
        <v/>
      </c>
    </row>
    <row r="882" customFormat="false" ht="68.65" hidden="false" customHeight="false" outlineLevel="0" collapsed="false">
      <c r="A882" s="13" t="s">
        <v>3199</v>
      </c>
      <c r="B882" s="13" t="s">
        <v>3200</v>
      </c>
      <c r="C882" s="13" t="n">
        <v>1</v>
      </c>
      <c r="D882" s="13" t="s">
        <v>97</v>
      </c>
      <c r="E882" s="13" t="s">
        <v>122</v>
      </c>
      <c r="F882" s="13" t="s">
        <v>1151</v>
      </c>
      <c r="G882" s="13" t="s">
        <v>1744</v>
      </c>
      <c r="H882" s="13" t="s">
        <v>101</v>
      </c>
      <c r="I882" s="21" t="s">
        <v>3201</v>
      </c>
      <c r="J882" s="21" t="s">
        <v>1746</v>
      </c>
      <c r="K882" s="21" t="s">
        <v>3202</v>
      </c>
      <c r="L882" s="22" t="s">
        <v>36</v>
      </c>
      <c r="M882" s="21" t="s">
        <v>235</v>
      </c>
      <c r="N882" s="13" t="s">
        <v>106</v>
      </c>
      <c r="O882" s="23" t="n">
        <v>37.22</v>
      </c>
      <c r="P882" s="13" t="n">
        <v>1</v>
      </c>
      <c r="Q882" s="24" t="n">
        <v>46310.8312037037</v>
      </c>
      <c r="R882" s="22"/>
      <c r="S882" s="13" t="s">
        <v>164</v>
      </c>
      <c r="T882" s="13" t="str">
        <f aca="false">IF(S882="Oui",IF(R882=L882,"Identique","Changé"),"")</f>
        <v/>
      </c>
    </row>
    <row r="883" customFormat="false" ht="57.45" hidden="false" customHeight="false" outlineLevel="0" collapsed="false">
      <c r="A883" s="13" t="s">
        <v>3203</v>
      </c>
      <c r="B883" s="13" t="s">
        <v>3200</v>
      </c>
      <c r="C883" s="13" t="n">
        <v>2</v>
      </c>
      <c r="D883" s="13" t="s">
        <v>97</v>
      </c>
      <c r="E883" s="13" t="s">
        <v>128</v>
      </c>
      <c r="F883" s="13" t="s">
        <v>1151</v>
      </c>
      <c r="G883" s="13" t="s">
        <v>348</v>
      </c>
      <c r="H883" s="13" t="s">
        <v>101</v>
      </c>
      <c r="I883" s="21" t="s">
        <v>3204</v>
      </c>
      <c r="J883" s="21" t="s">
        <v>131</v>
      </c>
      <c r="K883" s="21" t="s">
        <v>3205</v>
      </c>
      <c r="L883" s="22" t="s">
        <v>36</v>
      </c>
      <c r="M883" s="21" t="s">
        <v>120</v>
      </c>
      <c r="N883" s="13" t="s">
        <v>106</v>
      </c>
      <c r="O883" s="23" t="n">
        <v>11.24</v>
      </c>
      <c r="P883" s="13" t="n">
        <v>1</v>
      </c>
      <c r="Q883" s="24" t="n">
        <v>46310.8314467593</v>
      </c>
      <c r="R883" s="22"/>
      <c r="S883" s="13" t="s">
        <v>164</v>
      </c>
      <c r="T883" s="13" t="str">
        <f aca="false">IF(S883="Oui",IF(R883=L883,"Identique","Changé"),"")</f>
        <v/>
      </c>
    </row>
    <row r="884" customFormat="false" ht="57.45" hidden="false" customHeight="false" outlineLevel="0" collapsed="false">
      <c r="A884" s="13" t="s">
        <v>3206</v>
      </c>
      <c r="B884" s="13" t="s">
        <v>3200</v>
      </c>
      <c r="C884" s="13" t="n">
        <v>3</v>
      </c>
      <c r="D884" s="13" t="s">
        <v>97</v>
      </c>
      <c r="E884" s="13" t="s">
        <v>570</v>
      </c>
      <c r="F884" s="13" t="s">
        <v>488</v>
      </c>
      <c r="G884" s="13" t="s">
        <v>1980</v>
      </c>
      <c r="H884" s="13" t="s">
        <v>152</v>
      </c>
      <c r="I884" s="21" t="s">
        <v>3207</v>
      </c>
      <c r="J884" s="21" t="s">
        <v>154</v>
      </c>
      <c r="K884" s="21" t="s">
        <v>3208</v>
      </c>
      <c r="L884" s="22" t="s">
        <v>40</v>
      </c>
      <c r="M884" s="21" t="s">
        <v>156</v>
      </c>
      <c r="N884" s="13" t="s">
        <v>106</v>
      </c>
      <c r="O884" s="23" t="n">
        <v>9.04</v>
      </c>
      <c r="P884" s="13" t="n">
        <v>1</v>
      </c>
      <c r="Q884" s="24" t="n">
        <v>46310.8316550926</v>
      </c>
      <c r="R884" s="22"/>
      <c r="S884" s="13" t="s">
        <v>164</v>
      </c>
      <c r="T884" s="13" t="str">
        <f aca="false">IF(S884="Oui",IF(R884=L884,"Identique","Changé"),"")</f>
        <v/>
      </c>
    </row>
    <row r="885" customFormat="false" ht="46.25" hidden="false" customHeight="false" outlineLevel="0" collapsed="false">
      <c r="A885" s="13" t="s">
        <v>3209</v>
      </c>
      <c r="B885" s="13" t="s">
        <v>3200</v>
      </c>
      <c r="C885" s="13" t="n">
        <v>4</v>
      </c>
      <c r="D885" s="13" t="s">
        <v>97</v>
      </c>
      <c r="E885" s="13" t="s">
        <v>128</v>
      </c>
      <c r="F885" s="13" t="s">
        <v>488</v>
      </c>
      <c r="G885" s="13" t="s">
        <v>290</v>
      </c>
      <c r="H885" s="13" t="s">
        <v>101</v>
      </c>
      <c r="I885" s="21" t="s">
        <v>3210</v>
      </c>
      <c r="J885" s="21" t="s">
        <v>131</v>
      </c>
      <c r="K885" s="21" t="s">
        <v>3211</v>
      </c>
      <c r="L885" s="22" t="s">
        <v>36</v>
      </c>
      <c r="M885" s="21" t="s">
        <v>120</v>
      </c>
      <c r="N885" s="13" t="s">
        <v>106</v>
      </c>
      <c r="O885" s="23" t="n">
        <v>9.7</v>
      </c>
      <c r="P885" s="13" t="n">
        <v>1</v>
      </c>
      <c r="Q885" s="24" t="n">
        <v>46310.8318865741</v>
      </c>
      <c r="R885" s="22"/>
      <c r="S885" s="13" t="s">
        <v>164</v>
      </c>
      <c r="T885" s="13" t="str">
        <f aca="false">IF(S885="Oui",IF(R885=L885,"Identique","Changé"),"")</f>
        <v/>
      </c>
    </row>
    <row r="886" customFormat="false" ht="35.05" hidden="false" customHeight="false" outlineLevel="0" collapsed="false">
      <c r="A886" s="13" t="s">
        <v>3212</v>
      </c>
      <c r="B886" s="13" t="s">
        <v>3200</v>
      </c>
      <c r="C886" s="13" t="n">
        <v>5</v>
      </c>
      <c r="D886" s="13" t="s">
        <v>97</v>
      </c>
      <c r="E886" s="13" t="s">
        <v>171</v>
      </c>
      <c r="F886" s="13" t="s">
        <v>1151</v>
      </c>
      <c r="G886" s="13" t="s">
        <v>908</v>
      </c>
      <c r="H886" s="13" t="s">
        <v>101</v>
      </c>
      <c r="I886" s="21" t="s">
        <v>3213</v>
      </c>
      <c r="J886" s="21" t="s">
        <v>1358</v>
      </c>
      <c r="K886" s="21" t="s">
        <v>3214</v>
      </c>
      <c r="L886" s="22" t="s">
        <v>36</v>
      </c>
      <c r="M886" s="21" t="s">
        <v>120</v>
      </c>
      <c r="N886" s="13" t="s">
        <v>106</v>
      </c>
      <c r="O886" s="23" t="n">
        <v>9.87</v>
      </c>
      <c r="P886" s="13" t="n">
        <v>1</v>
      </c>
      <c r="Q886" s="24" t="n">
        <v>46310.8321296296</v>
      </c>
      <c r="R886" s="22"/>
      <c r="S886" s="13" t="s">
        <v>164</v>
      </c>
      <c r="T886" s="13" t="str">
        <f aca="false">IF(S886="Oui",IF(R886=L886,"Identique","Changé"),"")</f>
        <v/>
      </c>
    </row>
    <row r="887" customFormat="false" ht="46.25" hidden="false" customHeight="false" outlineLevel="0" collapsed="false">
      <c r="A887" s="13" t="s">
        <v>3215</v>
      </c>
      <c r="B887" s="13" t="s">
        <v>3216</v>
      </c>
      <c r="C887" s="13" t="n">
        <v>1</v>
      </c>
      <c r="D887" s="13" t="s">
        <v>135</v>
      </c>
      <c r="E887" s="13" t="s">
        <v>122</v>
      </c>
      <c r="F887" s="13" t="s">
        <v>1818</v>
      </c>
      <c r="G887" s="13" t="s">
        <v>2216</v>
      </c>
      <c r="H887" s="13" t="s">
        <v>101</v>
      </c>
      <c r="I887" s="21" t="s">
        <v>3217</v>
      </c>
      <c r="J887" s="21" t="s">
        <v>284</v>
      </c>
      <c r="K887" s="21" t="s">
        <v>3218</v>
      </c>
      <c r="L887" s="22" t="s">
        <v>36</v>
      </c>
      <c r="M887" s="21" t="s">
        <v>120</v>
      </c>
      <c r="N887" s="13" t="s">
        <v>106</v>
      </c>
      <c r="O887" s="23" t="n">
        <v>34.45</v>
      </c>
      <c r="P887" s="13" t="n">
        <v>1</v>
      </c>
      <c r="Q887" s="24" t="n">
        <v>46310.8327430556</v>
      </c>
      <c r="R887" s="22"/>
      <c r="S887" s="13" t="s">
        <v>164</v>
      </c>
      <c r="T887" s="13" t="str">
        <f aca="false">IF(S887="Oui",IF(R887=L887,"Identique","Changé"),"")</f>
        <v/>
      </c>
    </row>
    <row r="888" customFormat="false" ht="35.05" hidden="false" customHeight="false" outlineLevel="0" collapsed="false">
      <c r="A888" s="13" t="s">
        <v>3219</v>
      </c>
      <c r="B888" s="13" t="s">
        <v>3216</v>
      </c>
      <c r="C888" s="13" t="n">
        <v>2</v>
      </c>
      <c r="D888" s="13" t="s">
        <v>135</v>
      </c>
      <c r="E888" s="13" t="s">
        <v>114</v>
      </c>
      <c r="F888" s="13" t="s">
        <v>1818</v>
      </c>
      <c r="G888" s="13" t="s">
        <v>2220</v>
      </c>
      <c r="H888" s="13" t="s">
        <v>101</v>
      </c>
      <c r="I888" s="21" t="s">
        <v>3220</v>
      </c>
      <c r="J888" s="21" t="s">
        <v>2222</v>
      </c>
      <c r="K888" s="21" t="s">
        <v>3221</v>
      </c>
      <c r="L888" s="22" t="s">
        <v>36</v>
      </c>
      <c r="M888" s="21" t="s">
        <v>120</v>
      </c>
      <c r="N888" s="13" t="s">
        <v>106</v>
      </c>
      <c r="O888" s="23" t="n">
        <v>12.89</v>
      </c>
      <c r="P888" s="13" t="n">
        <v>1</v>
      </c>
      <c r="Q888" s="24" t="n">
        <v>46310.8330092593</v>
      </c>
      <c r="R888" s="22"/>
      <c r="S888" s="13" t="s">
        <v>164</v>
      </c>
      <c r="T888" s="13" t="str">
        <f aca="false">IF(S888="Oui",IF(R888=L888,"Identique","Changé"),"")</f>
        <v/>
      </c>
    </row>
    <row r="889" customFormat="false" ht="35.05" hidden="false" customHeight="false" outlineLevel="0" collapsed="false">
      <c r="A889" s="13" t="s">
        <v>3222</v>
      </c>
      <c r="B889" s="13" t="s">
        <v>3216</v>
      </c>
      <c r="C889" s="13" t="n">
        <v>3</v>
      </c>
      <c r="D889" s="13" t="s">
        <v>135</v>
      </c>
      <c r="E889" s="13" t="s">
        <v>185</v>
      </c>
      <c r="F889" s="13" t="s">
        <v>1818</v>
      </c>
      <c r="G889" s="13" t="s">
        <v>2113</v>
      </c>
      <c r="H889" s="13" t="s">
        <v>101</v>
      </c>
      <c r="I889" s="21" t="s">
        <v>3223</v>
      </c>
      <c r="J889" s="21" t="s">
        <v>3224</v>
      </c>
      <c r="K889" s="21" t="s">
        <v>3225</v>
      </c>
      <c r="L889" s="22" t="s">
        <v>36</v>
      </c>
      <c r="M889" s="21" t="s">
        <v>2135</v>
      </c>
      <c r="N889" s="13" t="s">
        <v>106</v>
      </c>
      <c r="O889" s="23" t="n">
        <v>10.26</v>
      </c>
      <c r="P889" s="13" t="n">
        <v>1</v>
      </c>
      <c r="Q889" s="24" t="n">
        <v>46310.8332407407</v>
      </c>
      <c r="R889" s="22"/>
      <c r="S889" s="13" t="s">
        <v>164</v>
      </c>
      <c r="T889" s="13" t="str">
        <f aca="false">IF(S889="Oui",IF(R889=L889,"Identique","Changé"),"")</f>
        <v/>
      </c>
    </row>
    <row r="890" customFormat="false" ht="68.65" hidden="false" customHeight="false" outlineLevel="0" collapsed="false">
      <c r="A890" s="13" t="s">
        <v>3226</v>
      </c>
      <c r="B890" s="13" t="s">
        <v>3216</v>
      </c>
      <c r="C890" s="13" t="n">
        <v>4</v>
      </c>
      <c r="D890" s="13" t="s">
        <v>135</v>
      </c>
      <c r="E890" s="13" t="s">
        <v>171</v>
      </c>
      <c r="F890" s="13" t="s">
        <v>1818</v>
      </c>
      <c r="G890" s="13" t="s">
        <v>2258</v>
      </c>
      <c r="H890" s="13" t="s">
        <v>101</v>
      </c>
      <c r="I890" s="21" t="s">
        <v>3227</v>
      </c>
      <c r="J890" s="21" t="s">
        <v>2260</v>
      </c>
      <c r="K890" s="21" t="s">
        <v>3228</v>
      </c>
      <c r="L890" s="22" t="s">
        <v>36</v>
      </c>
      <c r="M890" s="21" t="s">
        <v>120</v>
      </c>
      <c r="N890" s="13" t="s">
        <v>106</v>
      </c>
      <c r="O890" s="23" t="n">
        <v>10.78</v>
      </c>
      <c r="P890" s="13" t="n">
        <v>1</v>
      </c>
      <c r="Q890" s="24" t="n">
        <v>46310.8334953704</v>
      </c>
      <c r="R890" s="22"/>
      <c r="S890" s="13" t="s">
        <v>164</v>
      </c>
      <c r="T890" s="13" t="str">
        <f aca="false">IF(S890="Oui",IF(R890=L890,"Identique","Changé"),"")</f>
        <v/>
      </c>
    </row>
    <row r="891" customFormat="false" ht="46.25" hidden="false" customHeight="false" outlineLevel="0" collapsed="false">
      <c r="A891" s="13" t="s">
        <v>3229</v>
      </c>
      <c r="B891" s="13" t="s">
        <v>3216</v>
      </c>
      <c r="C891" s="13" t="n">
        <v>5</v>
      </c>
      <c r="D891" s="13" t="s">
        <v>135</v>
      </c>
      <c r="E891" s="13" t="s">
        <v>122</v>
      </c>
      <c r="F891" s="13" t="s">
        <v>1818</v>
      </c>
      <c r="G891" s="13" t="s">
        <v>1744</v>
      </c>
      <c r="H891" s="13" t="s">
        <v>101</v>
      </c>
      <c r="I891" s="21" t="s">
        <v>3230</v>
      </c>
      <c r="J891" s="21" t="s">
        <v>1746</v>
      </c>
      <c r="K891" s="21" t="s">
        <v>3231</v>
      </c>
      <c r="L891" s="22" t="s">
        <v>36</v>
      </c>
      <c r="M891" s="21" t="s">
        <v>235</v>
      </c>
      <c r="N891" s="13" t="s">
        <v>106</v>
      </c>
      <c r="O891" s="23" t="n">
        <v>10.31</v>
      </c>
      <c r="P891" s="13" t="n">
        <v>1</v>
      </c>
      <c r="Q891" s="24" t="n">
        <v>46310.8337384259</v>
      </c>
      <c r="R891" s="22"/>
      <c r="S891" s="13" t="s">
        <v>164</v>
      </c>
      <c r="T891" s="13" t="str">
        <f aca="false">IF(S891="Oui",IF(R891=L891,"Identique","Changé"),"")</f>
        <v/>
      </c>
    </row>
    <row r="892" customFormat="false" ht="79.85" hidden="false" customHeight="false" outlineLevel="0" collapsed="false">
      <c r="A892" s="13" t="s">
        <v>3232</v>
      </c>
      <c r="B892" s="13" t="s">
        <v>3233</v>
      </c>
      <c r="C892" s="13" t="n">
        <v>1</v>
      </c>
      <c r="D892" s="13" t="s">
        <v>97</v>
      </c>
      <c r="E892" s="13" t="s">
        <v>185</v>
      </c>
      <c r="F892" s="13" t="s">
        <v>332</v>
      </c>
      <c r="G892" s="13" t="s">
        <v>2131</v>
      </c>
      <c r="H892" s="13" t="s">
        <v>101</v>
      </c>
      <c r="I892" s="21" t="s">
        <v>3234</v>
      </c>
      <c r="J892" s="21" t="s">
        <v>3235</v>
      </c>
      <c r="K892" s="21" t="s">
        <v>3236</v>
      </c>
      <c r="L892" s="22" t="s">
        <v>37</v>
      </c>
      <c r="M892" s="21" t="s">
        <v>163</v>
      </c>
      <c r="N892" s="13" t="s">
        <v>106</v>
      </c>
      <c r="O892" s="23" t="n">
        <v>20.67</v>
      </c>
      <c r="P892" s="13" t="n">
        <v>1</v>
      </c>
      <c r="Q892" s="24" t="n">
        <v>46310.8341435185</v>
      </c>
      <c r="R892" s="22"/>
      <c r="S892" s="13" t="s">
        <v>164</v>
      </c>
      <c r="T892" s="13" t="str">
        <f aca="false">IF(S892="Oui",IF(R892=L892,"Identique","Changé"),"")</f>
        <v/>
      </c>
    </row>
    <row r="893" customFormat="false" ht="68.65" hidden="false" customHeight="false" outlineLevel="0" collapsed="false">
      <c r="A893" s="13" t="s">
        <v>3237</v>
      </c>
      <c r="B893" s="13" t="s">
        <v>3233</v>
      </c>
      <c r="C893" s="13" t="n">
        <v>2</v>
      </c>
      <c r="D893" s="13" t="s">
        <v>97</v>
      </c>
      <c r="E893" s="13" t="s">
        <v>114</v>
      </c>
      <c r="F893" s="13" t="s">
        <v>332</v>
      </c>
      <c r="G893" s="13" t="s">
        <v>2250</v>
      </c>
      <c r="H893" s="13" t="s">
        <v>101</v>
      </c>
      <c r="I893" s="21" t="s">
        <v>3238</v>
      </c>
      <c r="J893" s="21" t="s">
        <v>3239</v>
      </c>
      <c r="K893" s="21" t="s">
        <v>3240</v>
      </c>
      <c r="L893" s="22" t="s">
        <v>37</v>
      </c>
      <c r="M893" s="21" t="s">
        <v>163</v>
      </c>
      <c r="N893" s="13" t="s">
        <v>106</v>
      </c>
      <c r="O893" s="23" t="n">
        <v>10.04</v>
      </c>
      <c r="P893" s="13" t="n">
        <v>1</v>
      </c>
      <c r="Q893" s="24" t="n">
        <v>46310.834375</v>
      </c>
      <c r="R893" s="22"/>
      <c r="S893" s="13" t="s">
        <v>164</v>
      </c>
      <c r="T893" s="13" t="str">
        <f aca="false">IF(S893="Oui",IF(R893=L893,"Identique","Changé"),"")</f>
        <v/>
      </c>
    </row>
    <row r="894" customFormat="false" ht="68.65" hidden="false" customHeight="false" outlineLevel="0" collapsed="false">
      <c r="A894" s="13" t="s">
        <v>3241</v>
      </c>
      <c r="B894" s="13" t="s">
        <v>3233</v>
      </c>
      <c r="C894" s="13" t="n">
        <v>3</v>
      </c>
      <c r="D894" s="13" t="s">
        <v>97</v>
      </c>
      <c r="E894" s="13" t="s">
        <v>171</v>
      </c>
      <c r="F894" s="13" t="s">
        <v>701</v>
      </c>
      <c r="G894" s="13" t="s">
        <v>2263</v>
      </c>
      <c r="H894" s="13" t="s">
        <v>101</v>
      </c>
      <c r="I894" s="21" t="s">
        <v>3242</v>
      </c>
      <c r="J894" s="21" t="s">
        <v>3243</v>
      </c>
      <c r="K894" s="21" t="s">
        <v>3244</v>
      </c>
      <c r="L894" s="22" t="s">
        <v>37</v>
      </c>
      <c r="M894" s="21" t="s">
        <v>163</v>
      </c>
      <c r="N894" s="13" t="s">
        <v>106</v>
      </c>
      <c r="O894" s="23" t="n">
        <v>14.62</v>
      </c>
      <c r="P894" s="13" t="n">
        <v>1</v>
      </c>
      <c r="Q894" s="24" t="n">
        <v>46310.8346643519</v>
      </c>
      <c r="R894" s="22"/>
      <c r="S894" s="13" t="s">
        <v>164</v>
      </c>
      <c r="T894" s="13" t="str">
        <f aca="false">IF(S894="Oui",IF(R894=L894,"Identique","Changé"),"")</f>
        <v/>
      </c>
    </row>
    <row r="895" customFormat="false" ht="68.65" hidden="false" customHeight="false" outlineLevel="0" collapsed="false">
      <c r="A895" s="13" t="s">
        <v>3245</v>
      </c>
      <c r="B895" s="13" t="s">
        <v>3233</v>
      </c>
      <c r="C895" s="13" t="n">
        <v>4</v>
      </c>
      <c r="D895" s="13" t="s">
        <v>97</v>
      </c>
      <c r="E895" s="13" t="s">
        <v>570</v>
      </c>
      <c r="F895" s="13" t="s">
        <v>701</v>
      </c>
      <c r="G895" s="13" t="s">
        <v>571</v>
      </c>
      <c r="H895" s="13" t="s">
        <v>152</v>
      </c>
      <c r="I895" s="21" t="s">
        <v>3246</v>
      </c>
      <c r="J895" s="21" t="s">
        <v>154</v>
      </c>
      <c r="K895" s="21" t="s">
        <v>3247</v>
      </c>
      <c r="L895" s="22" t="s">
        <v>40</v>
      </c>
      <c r="M895" s="21" t="s">
        <v>156</v>
      </c>
      <c r="N895" s="13" t="s">
        <v>106</v>
      </c>
      <c r="O895" s="23" t="n">
        <v>18.9</v>
      </c>
      <c r="P895" s="13" t="n">
        <v>1</v>
      </c>
      <c r="Q895" s="24" t="n">
        <v>46310.8350115741</v>
      </c>
      <c r="R895" s="22"/>
      <c r="S895" s="13" t="s">
        <v>164</v>
      </c>
      <c r="T895" s="13" t="str">
        <f aca="false">IF(S895="Oui",IF(R895=L895,"Identique","Changé"),"")</f>
        <v/>
      </c>
    </row>
    <row r="896" customFormat="false" ht="46.25" hidden="false" customHeight="false" outlineLevel="0" collapsed="false">
      <c r="A896" s="13" t="s">
        <v>3248</v>
      </c>
      <c r="B896" s="13" t="s">
        <v>3233</v>
      </c>
      <c r="C896" s="13" t="n">
        <v>5</v>
      </c>
      <c r="D896" s="13" t="s">
        <v>97</v>
      </c>
      <c r="E896" s="13" t="s">
        <v>128</v>
      </c>
      <c r="F896" s="13" t="s">
        <v>332</v>
      </c>
      <c r="G896" s="13" t="s">
        <v>209</v>
      </c>
      <c r="H896" s="13" t="s">
        <v>101</v>
      </c>
      <c r="I896" s="21" t="s">
        <v>3249</v>
      </c>
      <c r="J896" s="21" t="s">
        <v>447</v>
      </c>
      <c r="K896" s="21" t="s">
        <v>3250</v>
      </c>
      <c r="L896" s="22" t="s">
        <v>36</v>
      </c>
      <c r="M896" s="21" t="s">
        <v>120</v>
      </c>
      <c r="N896" s="13" t="s">
        <v>106</v>
      </c>
      <c r="O896" s="23" t="n">
        <v>15.69</v>
      </c>
      <c r="P896" s="13" t="n">
        <v>1</v>
      </c>
      <c r="Q896" s="24" t="n">
        <v>46310.8353125</v>
      </c>
      <c r="R896" s="22"/>
      <c r="S896" s="13" t="s">
        <v>164</v>
      </c>
      <c r="T896" s="13" t="str">
        <f aca="false">IF(S896="Oui",IF(R896=L896,"Identique","Changé"),"")</f>
        <v/>
      </c>
    </row>
    <row r="897" customFormat="false" ht="35.05" hidden="false" customHeight="false" outlineLevel="0" collapsed="false">
      <c r="A897" s="13" t="s">
        <v>3251</v>
      </c>
      <c r="B897" s="13" t="s">
        <v>3252</v>
      </c>
      <c r="C897" s="13" t="n">
        <v>1</v>
      </c>
      <c r="D897" s="13" t="s">
        <v>135</v>
      </c>
      <c r="E897" s="13" t="s">
        <v>122</v>
      </c>
      <c r="F897" s="13" t="s">
        <v>3253</v>
      </c>
      <c r="G897" s="13" t="s">
        <v>2166</v>
      </c>
      <c r="H897" s="13" t="s">
        <v>101</v>
      </c>
      <c r="I897" s="21" t="s">
        <v>3254</v>
      </c>
      <c r="J897" s="21" t="s">
        <v>284</v>
      </c>
      <c r="K897" s="21" t="s">
        <v>3255</v>
      </c>
      <c r="L897" s="22" t="s">
        <v>37</v>
      </c>
      <c r="M897" s="21" t="s">
        <v>163</v>
      </c>
      <c r="N897" s="13" t="s">
        <v>106</v>
      </c>
      <c r="O897" s="23" t="n">
        <v>21</v>
      </c>
      <c r="P897" s="13" t="n">
        <v>1</v>
      </c>
      <c r="Q897" s="24" t="n">
        <v>46310.8357407407</v>
      </c>
      <c r="R897" s="22"/>
      <c r="S897" s="13" t="s">
        <v>164</v>
      </c>
      <c r="T897" s="13" t="str">
        <f aca="false">IF(S897="Oui",IF(R897=L897,"Identique","Changé"),"")</f>
        <v/>
      </c>
    </row>
    <row r="898" customFormat="false" ht="46.25" hidden="false" customHeight="false" outlineLevel="0" collapsed="false">
      <c r="A898" s="13" t="s">
        <v>3256</v>
      </c>
      <c r="B898" s="13" t="s">
        <v>3252</v>
      </c>
      <c r="C898" s="13" t="n">
        <v>2</v>
      </c>
      <c r="D898" s="13" t="s">
        <v>135</v>
      </c>
      <c r="E898" s="13" t="s">
        <v>570</v>
      </c>
      <c r="F898" s="13" t="s">
        <v>3253</v>
      </c>
      <c r="G898" s="13" t="s">
        <v>1739</v>
      </c>
      <c r="H898" s="13" t="s">
        <v>101</v>
      </c>
      <c r="I898" s="21" t="s">
        <v>3257</v>
      </c>
      <c r="J898" s="21" t="s">
        <v>233</v>
      </c>
      <c r="K898" s="21" t="s">
        <v>3258</v>
      </c>
      <c r="L898" s="22" t="s">
        <v>36</v>
      </c>
      <c r="M898" s="21" t="s">
        <v>235</v>
      </c>
      <c r="N898" s="13" t="s">
        <v>106</v>
      </c>
      <c r="O898" s="23" t="n">
        <v>22.87</v>
      </c>
      <c r="P898" s="13" t="n">
        <v>1</v>
      </c>
      <c r="Q898" s="24" t="n">
        <v>46310.8361226852</v>
      </c>
      <c r="R898" s="22"/>
      <c r="S898" s="13" t="s">
        <v>164</v>
      </c>
      <c r="T898" s="13" t="str">
        <f aca="false">IF(S898="Oui",IF(R898=L898,"Identique","Changé"),"")</f>
        <v/>
      </c>
    </row>
    <row r="899" customFormat="false" ht="35.05" hidden="false" customHeight="false" outlineLevel="0" collapsed="false">
      <c r="A899" s="13" t="s">
        <v>3259</v>
      </c>
      <c r="B899" s="13" t="s">
        <v>3252</v>
      </c>
      <c r="C899" s="13" t="n">
        <v>3</v>
      </c>
      <c r="D899" s="13" t="s">
        <v>135</v>
      </c>
      <c r="E899" s="13" t="s">
        <v>98</v>
      </c>
      <c r="F899" s="13" t="s">
        <v>3260</v>
      </c>
      <c r="G899" s="13" t="s">
        <v>151</v>
      </c>
      <c r="H899" s="13" t="s">
        <v>101</v>
      </c>
      <c r="I899" s="21" t="s">
        <v>3261</v>
      </c>
      <c r="J899" s="21" t="s">
        <v>2462</v>
      </c>
      <c r="K899" s="21" t="s">
        <v>3262</v>
      </c>
      <c r="L899" s="22" t="s">
        <v>36</v>
      </c>
      <c r="M899" s="21" t="s">
        <v>105</v>
      </c>
      <c r="N899" s="13" t="s">
        <v>106</v>
      </c>
      <c r="O899" s="23" t="n">
        <v>11.68</v>
      </c>
      <c r="P899" s="13" t="n">
        <v>1</v>
      </c>
      <c r="Q899" s="24" t="n">
        <v>46310.8363657407</v>
      </c>
      <c r="R899" s="22"/>
      <c r="S899" s="13" t="s">
        <v>164</v>
      </c>
      <c r="T899" s="13" t="str">
        <f aca="false">IF(S899="Oui",IF(R899=L899,"Identique","Changé"),"")</f>
        <v/>
      </c>
    </row>
    <row r="900" customFormat="false" ht="35.05" hidden="false" customHeight="false" outlineLevel="0" collapsed="false">
      <c r="A900" s="13" t="s">
        <v>3263</v>
      </c>
      <c r="B900" s="13" t="s">
        <v>3252</v>
      </c>
      <c r="C900" s="13" t="n">
        <v>4</v>
      </c>
      <c r="D900" s="13" t="s">
        <v>135</v>
      </c>
      <c r="E900" s="13" t="s">
        <v>114</v>
      </c>
      <c r="F900" s="13" t="s">
        <v>3260</v>
      </c>
      <c r="G900" s="13" t="s">
        <v>2195</v>
      </c>
      <c r="H900" s="13" t="s">
        <v>101</v>
      </c>
      <c r="I900" s="21" t="s">
        <v>3264</v>
      </c>
      <c r="J900" s="21" t="s">
        <v>2197</v>
      </c>
      <c r="K900" s="21" t="s">
        <v>3265</v>
      </c>
      <c r="L900" s="22" t="s">
        <v>36</v>
      </c>
      <c r="M900" s="21" t="s">
        <v>120</v>
      </c>
      <c r="N900" s="13" t="s">
        <v>106</v>
      </c>
      <c r="O900" s="23" t="n">
        <v>10</v>
      </c>
      <c r="P900" s="13" t="n">
        <v>1</v>
      </c>
      <c r="Q900" s="24" t="n">
        <v>46310.8366087963</v>
      </c>
      <c r="R900" s="22"/>
      <c r="S900" s="13" t="s">
        <v>164</v>
      </c>
      <c r="T900" s="13" t="str">
        <f aca="false">IF(S900="Oui",IF(R900=L900,"Identique","Changé"),"")</f>
        <v/>
      </c>
    </row>
    <row r="901" customFormat="false" ht="35.05" hidden="false" customHeight="false" outlineLevel="0" collapsed="false">
      <c r="A901" s="13" t="s">
        <v>3266</v>
      </c>
      <c r="B901" s="13" t="s">
        <v>3252</v>
      </c>
      <c r="C901" s="13" t="n">
        <v>5</v>
      </c>
      <c r="D901" s="13" t="s">
        <v>135</v>
      </c>
      <c r="E901" s="13" t="s">
        <v>128</v>
      </c>
      <c r="F901" s="13" t="s">
        <v>3253</v>
      </c>
      <c r="G901" s="13" t="s">
        <v>348</v>
      </c>
      <c r="H901" s="13" t="s">
        <v>101</v>
      </c>
      <c r="I901" s="21" t="s">
        <v>3267</v>
      </c>
      <c r="J901" s="21" t="s">
        <v>3268</v>
      </c>
      <c r="K901" s="21" t="s">
        <v>3269</v>
      </c>
      <c r="L901" s="22" t="s">
        <v>36</v>
      </c>
      <c r="M901" s="21" t="s">
        <v>120</v>
      </c>
      <c r="N901" s="13" t="s">
        <v>106</v>
      </c>
      <c r="O901" s="23" t="n">
        <v>10.77</v>
      </c>
      <c r="P901" s="13" t="n">
        <v>1</v>
      </c>
      <c r="Q901" s="24" t="n">
        <v>46310.8368634259</v>
      </c>
      <c r="R901" s="22"/>
      <c r="S901" s="13" t="s">
        <v>164</v>
      </c>
      <c r="T901" s="13" t="str">
        <f aca="false">IF(S901="Oui",IF(R901=L901,"Identique","Changé"),"")</f>
        <v/>
      </c>
    </row>
    <row r="902" customFormat="false" ht="57.45" hidden="false" customHeight="false" outlineLevel="0" collapsed="false">
      <c r="A902" s="13" t="s">
        <v>3270</v>
      </c>
      <c r="B902" s="13" t="s">
        <v>3271</v>
      </c>
      <c r="C902" s="13" t="n">
        <v>1</v>
      </c>
      <c r="D902" s="13" t="s">
        <v>97</v>
      </c>
      <c r="E902" s="13" t="s">
        <v>114</v>
      </c>
      <c r="F902" s="13" t="s">
        <v>1925</v>
      </c>
      <c r="G902" s="13" t="s">
        <v>2220</v>
      </c>
      <c r="H902" s="13" t="s">
        <v>101</v>
      </c>
      <c r="I902" s="21" t="s">
        <v>3272</v>
      </c>
      <c r="J902" s="21" t="s">
        <v>2222</v>
      </c>
      <c r="K902" s="21" t="s">
        <v>3273</v>
      </c>
      <c r="L902" s="22" t="s">
        <v>36</v>
      </c>
      <c r="M902" s="21" t="s">
        <v>120</v>
      </c>
      <c r="N902" s="13" t="s">
        <v>106</v>
      </c>
      <c r="O902" s="23" t="n">
        <v>41.03</v>
      </c>
      <c r="P902" s="13" t="n">
        <v>1</v>
      </c>
      <c r="Q902" s="24" t="n">
        <v>46310.8375462963</v>
      </c>
      <c r="R902" s="22"/>
      <c r="S902" s="13" t="s">
        <v>164</v>
      </c>
      <c r="T902" s="13" t="str">
        <f aca="false">IF(S902="Oui",IF(R902=L902,"Identique","Changé"),"")</f>
        <v/>
      </c>
    </row>
    <row r="903" customFormat="false" ht="35.05" hidden="false" customHeight="false" outlineLevel="0" collapsed="false">
      <c r="A903" s="13" t="s">
        <v>3274</v>
      </c>
      <c r="B903" s="13" t="s">
        <v>3271</v>
      </c>
      <c r="C903" s="13" t="n">
        <v>2</v>
      </c>
      <c r="D903" s="13" t="s">
        <v>97</v>
      </c>
      <c r="E903" s="13" t="s">
        <v>114</v>
      </c>
      <c r="F903" s="13" t="s">
        <v>1925</v>
      </c>
      <c r="G903" s="13" t="s">
        <v>2250</v>
      </c>
      <c r="H903" s="13" t="s">
        <v>101</v>
      </c>
      <c r="I903" s="21" t="s">
        <v>3275</v>
      </c>
      <c r="J903" s="21" t="s">
        <v>3239</v>
      </c>
      <c r="K903" s="21" t="s">
        <v>3276</v>
      </c>
      <c r="L903" s="22" t="s">
        <v>36</v>
      </c>
      <c r="M903" s="21" t="s">
        <v>120</v>
      </c>
      <c r="N903" s="13" t="s">
        <v>106</v>
      </c>
      <c r="O903" s="23" t="n">
        <v>14.39</v>
      </c>
      <c r="P903" s="13" t="n">
        <v>1</v>
      </c>
      <c r="Q903" s="24" t="n">
        <v>46310.8378240741</v>
      </c>
      <c r="R903" s="22"/>
      <c r="S903" s="13" t="s">
        <v>164</v>
      </c>
      <c r="T903" s="13" t="str">
        <f aca="false">IF(S903="Oui",IF(R903=L903,"Identique","Changé"),"")</f>
        <v/>
      </c>
    </row>
    <row r="904" customFormat="false" ht="35.05" hidden="false" customHeight="false" outlineLevel="0" collapsed="false">
      <c r="A904" s="13" t="s">
        <v>3277</v>
      </c>
      <c r="B904" s="13" t="s">
        <v>3271</v>
      </c>
      <c r="C904" s="13" t="n">
        <v>3</v>
      </c>
      <c r="D904" s="13" t="s">
        <v>97</v>
      </c>
      <c r="E904" s="13" t="s">
        <v>114</v>
      </c>
      <c r="F904" s="13" t="s">
        <v>1925</v>
      </c>
      <c r="G904" s="13" t="s">
        <v>1305</v>
      </c>
      <c r="H904" s="13" t="s">
        <v>101</v>
      </c>
      <c r="I904" s="21" t="s">
        <v>3278</v>
      </c>
      <c r="J904" s="21" t="s">
        <v>284</v>
      </c>
      <c r="K904" s="21" t="s">
        <v>3279</v>
      </c>
      <c r="L904" s="22" t="s">
        <v>36</v>
      </c>
      <c r="M904" s="21" t="s">
        <v>120</v>
      </c>
      <c r="N904" s="13" t="s">
        <v>106</v>
      </c>
      <c r="O904" s="23" t="n">
        <v>10.82</v>
      </c>
      <c r="P904" s="13" t="n">
        <v>1</v>
      </c>
      <c r="Q904" s="24" t="n">
        <v>46310.8380671296</v>
      </c>
      <c r="R904" s="22"/>
      <c r="S904" s="13" t="s">
        <v>164</v>
      </c>
      <c r="T904" s="13" t="str">
        <f aca="false">IF(S904="Oui",IF(R904=L904,"Identique","Changé"),"")</f>
        <v/>
      </c>
    </row>
    <row r="905" customFormat="false" ht="35.05" hidden="false" customHeight="false" outlineLevel="0" collapsed="false">
      <c r="A905" s="13" t="s">
        <v>3280</v>
      </c>
      <c r="B905" s="13" t="s">
        <v>3271</v>
      </c>
      <c r="C905" s="13" t="n">
        <v>4</v>
      </c>
      <c r="D905" s="13" t="s">
        <v>97</v>
      </c>
      <c r="E905" s="13" t="s">
        <v>401</v>
      </c>
      <c r="F905" s="13" t="s">
        <v>1925</v>
      </c>
      <c r="G905" s="13" t="s">
        <v>419</v>
      </c>
      <c r="H905" s="13" t="s">
        <v>101</v>
      </c>
      <c r="I905" s="21" t="s">
        <v>3281</v>
      </c>
      <c r="J905" s="21" t="s">
        <v>3282</v>
      </c>
      <c r="K905" s="21" t="s">
        <v>3283</v>
      </c>
      <c r="L905" s="22" t="s">
        <v>36</v>
      </c>
      <c r="M905" s="21" t="s">
        <v>406</v>
      </c>
      <c r="N905" s="13" t="s">
        <v>106</v>
      </c>
      <c r="O905" s="23" t="n">
        <v>10.06</v>
      </c>
      <c r="P905" s="13" t="n">
        <v>1</v>
      </c>
      <c r="Q905" s="24" t="n">
        <v>46310.8382986111</v>
      </c>
      <c r="R905" s="22"/>
      <c r="S905" s="13" t="s">
        <v>164</v>
      </c>
      <c r="T905" s="13" t="str">
        <f aca="false">IF(S905="Oui",IF(R905=L905,"Identique","Changé"),"")</f>
        <v/>
      </c>
    </row>
    <row r="906" customFormat="false" ht="35.05" hidden="false" customHeight="false" outlineLevel="0" collapsed="false">
      <c r="A906" s="13" t="s">
        <v>3284</v>
      </c>
      <c r="B906" s="13" t="s">
        <v>3271</v>
      </c>
      <c r="C906" s="13" t="n">
        <v>5</v>
      </c>
      <c r="D906" s="13" t="s">
        <v>97</v>
      </c>
      <c r="E906" s="13" t="s">
        <v>114</v>
      </c>
      <c r="F906" s="13" t="s">
        <v>1925</v>
      </c>
      <c r="G906" s="13" t="s">
        <v>857</v>
      </c>
      <c r="H906" s="13" t="s">
        <v>101</v>
      </c>
      <c r="I906" s="21" t="s">
        <v>3285</v>
      </c>
      <c r="J906" s="21" t="s">
        <v>284</v>
      </c>
      <c r="K906" s="21" t="s">
        <v>3286</v>
      </c>
      <c r="L906" s="22" t="s">
        <v>36</v>
      </c>
      <c r="M906" s="21" t="s">
        <v>120</v>
      </c>
      <c r="N906" s="13" t="s">
        <v>106</v>
      </c>
      <c r="O906" s="23" t="n">
        <v>10.03</v>
      </c>
      <c r="P906" s="13" t="n">
        <v>1</v>
      </c>
      <c r="Q906" s="24" t="n">
        <v>46310.8385300926</v>
      </c>
      <c r="R906" s="22"/>
      <c r="S906" s="13" t="s">
        <v>164</v>
      </c>
      <c r="T906" s="13" t="str">
        <f aca="false">IF(S906="Oui",IF(R906=L906,"Identique","Changé"),"")</f>
        <v/>
      </c>
    </row>
    <row r="907" customFormat="false" ht="68.65" hidden="false" customHeight="false" outlineLevel="0" collapsed="false">
      <c r="A907" s="13" t="s">
        <v>3287</v>
      </c>
      <c r="B907" s="13" t="s">
        <v>3288</v>
      </c>
      <c r="C907" s="13" t="n">
        <v>1</v>
      </c>
      <c r="D907" s="13" t="s">
        <v>135</v>
      </c>
      <c r="E907" s="13" t="s">
        <v>114</v>
      </c>
      <c r="F907" s="13" t="s">
        <v>3289</v>
      </c>
      <c r="G907" s="13" t="s">
        <v>141</v>
      </c>
      <c r="H907" s="13" t="s">
        <v>101</v>
      </c>
      <c r="I907" s="21" t="s">
        <v>3290</v>
      </c>
      <c r="J907" s="21" t="s">
        <v>3291</v>
      </c>
      <c r="K907" s="21" t="s">
        <v>3292</v>
      </c>
      <c r="L907" s="22" t="s">
        <v>36</v>
      </c>
      <c r="M907" s="21" t="s">
        <v>120</v>
      </c>
      <c r="N907" s="13" t="s">
        <v>106</v>
      </c>
      <c r="O907" s="23" t="n">
        <v>29.46</v>
      </c>
      <c r="P907" s="13" t="n">
        <v>1</v>
      </c>
      <c r="Q907" s="24" t="n">
        <v>46310.8390393519</v>
      </c>
      <c r="R907" s="22"/>
      <c r="S907" s="13" t="s">
        <v>164</v>
      </c>
      <c r="T907" s="13" t="str">
        <f aca="false">IF(S907="Oui",IF(R907=L907,"Identique","Changé"),"")</f>
        <v/>
      </c>
    </row>
    <row r="908" customFormat="false" ht="35.05" hidden="false" customHeight="false" outlineLevel="0" collapsed="false">
      <c r="A908" s="13" t="s">
        <v>3293</v>
      </c>
      <c r="B908" s="13" t="s">
        <v>3288</v>
      </c>
      <c r="C908" s="13" t="n">
        <v>2</v>
      </c>
      <c r="D908" s="13" t="s">
        <v>135</v>
      </c>
      <c r="E908" s="13" t="s">
        <v>128</v>
      </c>
      <c r="F908" s="13" t="s">
        <v>3289</v>
      </c>
      <c r="G908" s="13" t="s">
        <v>209</v>
      </c>
      <c r="H908" s="13" t="s">
        <v>101</v>
      </c>
      <c r="I908" s="21" t="s">
        <v>3294</v>
      </c>
      <c r="J908" s="21" t="s">
        <v>3295</v>
      </c>
      <c r="K908" s="21" t="s">
        <v>3296</v>
      </c>
      <c r="L908" s="22" t="s">
        <v>36</v>
      </c>
      <c r="M908" s="21" t="s">
        <v>120</v>
      </c>
      <c r="N908" s="13" t="s">
        <v>106</v>
      </c>
      <c r="O908" s="23" t="n">
        <v>11.48</v>
      </c>
      <c r="P908" s="13" t="n">
        <v>1</v>
      </c>
      <c r="Q908" s="24" t="n">
        <v>46310.8392939815</v>
      </c>
      <c r="R908" s="22"/>
      <c r="S908" s="13" t="s">
        <v>164</v>
      </c>
      <c r="T908" s="13" t="str">
        <f aca="false">IF(S908="Oui",IF(R908=L908,"Identique","Changé"),"")</f>
        <v/>
      </c>
    </row>
    <row r="909" customFormat="false" ht="57.45" hidden="false" customHeight="false" outlineLevel="0" collapsed="false">
      <c r="A909" s="13" t="s">
        <v>3297</v>
      </c>
      <c r="B909" s="13" t="s">
        <v>3288</v>
      </c>
      <c r="C909" s="13" t="n">
        <v>3</v>
      </c>
      <c r="D909" s="13" t="s">
        <v>135</v>
      </c>
      <c r="E909" s="13" t="s">
        <v>570</v>
      </c>
      <c r="F909" s="13" t="s">
        <v>3298</v>
      </c>
      <c r="G909" s="13" t="s">
        <v>639</v>
      </c>
      <c r="H909" s="13" t="s">
        <v>152</v>
      </c>
      <c r="I909" s="21" t="s">
        <v>3299</v>
      </c>
      <c r="J909" s="21" t="s">
        <v>154</v>
      </c>
      <c r="K909" s="21" t="s">
        <v>3300</v>
      </c>
      <c r="L909" s="22" t="s">
        <v>40</v>
      </c>
      <c r="M909" s="21" t="s">
        <v>156</v>
      </c>
      <c r="N909" s="13" t="s">
        <v>106</v>
      </c>
      <c r="O909" s="23" t="n">
        <v>14.07</v>
      </c>
      <c r="P909" s="13" t="n">
        <v>1</v>
      </c>
      <c r="Q909" s="24" t="n">
        <v>46310.8395601852</v>
      </c>
      <c r="R909" s="22"/>
      <c r="S909" s="13" t="s">
        <v>164</v>
      </c>
      <c r="T909" s="13" t="str">
        <f aca="false">IF(S909="Oui",IF(R909=L909,"Identique","Changé"),"")</f>
        <v/>
      </c>
    </row>
    <row r="910" customFormat="false" ht="35.05" hidden="false" customHeight="false" outlineLevel="0" collapsed="false">
      <c r="A910" s="13" t="s">
        <v>3301</v>
      </c>
      <c r="B910" s="13" t="s">
        <v>3288</v>
      </c>
      <c r="C910" s="13" t="n">
        <v>4</v>
      </c>
      <c r="D910" s="13" t="s">
        <v>135</v>
      </c>
      <c r="E910" s="13" t="s">
        <v>128</v>
      </c>
      <c r="F910" s="13" t="s">
        <v>3298</v>
      </c>
      <c r="G910" s="13" t="s">
        <v>290</v>
      </c>
      <c r="H910" s="13" t="s">
        <v>101</v>
      </c>
      <c r="I910" s="21" t="s">
        <v>3302</v>
      </c>
      <c r="J910" s="21" t="s">
        <v>131</v>
      </c>
      <c r="K910" s="21" t="s">
        <v>3303</v>
      </c>
      <c r="L910" s="22" t="s">
        <v>36</v>
      </c>
      <c r="M910" s="21" t="s">
        <v>120</v>
      </c>
      <c r="N910" s="13" t="s">
        <v>106</v>
      </c>
      <c r="O910" s="23" t="n">
        <v>9.91</v>
      </c>
      <c r="P910" s="13" t="n">
        <v>1</v>
      </c>
      <c r="Q910" s="24" t="n">
        <v>46310.8398032407</v>
      </c>
      <c r="R910" s="22"/>
      <c r="S910" s="13" t="s">
        <v>164</v>
      </c>
      <c r="T910" s="13" t="str">
        <f aca="false">IF(S910="Oui",IF(R910=L910,"Identique","Changé"),"")</f>
        <v/>
      </c>
    </row>
    <row r="911" customFormat="false" ht="46.25" hidden="false" customHeight="false" outlineLevel="0" collapsed="false">
      <c r="A911" s="13" t="s">
        <v>3304</v>
      </c>
      <c r="B911" s="13" t="s">
        <v>3288</v>
      </c>
      <c r="C911" s="13" t="n">
        <v>5</v>
      </c>
      <c r="D911" s="13" t="s">
        <v>135</v>
      </c>
      <c r="E911" s="13" t="s">
        <v>122</v>
      </c>
      <c r="F911" s="13" t="s">
        <v>3289</v>
      </c>
      <c r="G911" s="13" t="s">
        <v>2216</v>
      </c>
      <c r="H911" s="13" t="s">
        <v>101</v>
      </c>
      <c r="I911" s="21" t="s">
        <v>3305</v>
      </c>
      <c r="J911" s="21" t="s">
        <v>284</v>
      </c>
      <c r="K911" s="21" t="s">
        <v>3306</v>
      </c>
      <c r="L911" s="22" t="s">
        <v>36</v>
      </c>
      <c r="M911" s="21" t="s">
        <v>120</v>
      </c>
      <c r="N911" s="13" t="s">
        <v>106</v>
      </c>
      <c r="O911" s="23" t="n">
        <v>11.31</v>
      </c>
      <c r="P911" s="13" t="n">
        <v>1</v>
      </c>
      <c r="Q911" s="24" t="n">
        <v>46310.8400462963</v>
      </c>
      <c r="R911" s="22"/>
      <c r="S911" s="13" t="s">
        <v>164</v>
      </c>
      <c r="T911" s="13" t="str">
        <f aca="false">IF(S911="Oui",IF(R911=L911,"Identique","Changé"),"")</f>
        <v/>
      </c>
    </row>
    <row r="912" customFormat="false" ht="68.65" hidden="false" customHeight="false" outlineLevel="0" collapsed="false">
      <c r="A912" s="13" t="s">
        <v>3307</v>
      </c>
      <c r="B912" s="13" t="s">
        <v>3308</v>
      </c>
      <c r="C912" s="13" t="n">
        <v>1</v>
      </c>
      <c r="D912" s="13" t="s">
        <v>97</v>
      </c>
      <c r="E912" s="13" t="s">
        <v>114</v>
      </c>
      <c r="F912" s="13" t="s">
        <v>1298</v>
      </c>
      <c r="G912" s="13" t="s">
        <v>2200</v>
      </c>
      <c r="H912" s="13" t="s">
        <v>101</v>
      </c>
      <c r="I912" s="21" t="s">
        <v>3309</v>
      </c>
      <c r="J912" s="21" t="s">
        <v>3310</v>
      </c>
      <c r="K912" s="21" t="s">
        <v>3311</v>
      </c>
      <c r="L912" s="22" t="s">
        <v>38</v>
      </c>
      <c r="M912" s="21" t="s">
        <v>3312</v>
      </c>
      <c r="N912" s="13" t="s">
        <v>106</v>
      </c>
      <c r="O912" s="23" t="n">
        <v>36.29</v>
      </c>
      <c r="P912" s="13" t="n">
        <v>1</v>
      </c>
      <c r="Q912" s="24" t="n">
        <v>46310.8406597222</v>
      </c>
      <c r="R912" s="22"/>
      <c r="S912" s="13" t="s">
        <v>164</v>
      </c>
      <c r="T912" s="13" t="str">
        <f aca="false">IF(S912="Oui",IF(R912=L912,"Identique","Changé"),"")</f>
        <v/>
      </c>
    </row>
    <row r="913" customFormat="false" ht="79.85" hidden="false" customHeight="false" outlineLevel="0" collapsed="false">
      <c r="A913" s="13" t="s">
        <v>3313</v>
      </c>
      <c r="B913" s="13" t="s">
        <v>3308</v>
      </c>
      <c r="C913" s="13" t="n">
        <v>2</v>
      </c>
      <c r="D913" s="13" t="s">
        <v>97</v>
      </c>
      <c r="E913" s="13" t="s">
        <v>171</v>
      </c>
      <c r="F913" s="13" t="s">
        <v>1298</v>
      </c>
      <c r="G913" s="13" t="s">
        <v>2258</v>
      </c>
      <c r="H913" s="13" t="s">
        <v>101</v>
      </c>
      <c r="I913" s="21" t="s">
        <v>3314</v>
      </c>
      <c r="J913" s="21" t="s">
        <v>2260</v>
      </c>
      <c r="K913" s="21" t="s">
        <v>3315</v>
      </c>
      <c r="L913" s="22" t="s">
        <v>36</v>
      </c>
      <c r="M913" s="21" t="s">
        <v>120</v>
      </c>
      <c r="N913" s="13" t="s">
        <v>106</v>
      </c>
      <c r="O913" s="23" t="n">
        <v>25.55</v>
      </c>
      <c r="P913" s="13" t="n">
        <v>1</v>
      </c>
      <c r="Q913" s="24" t="n">
        <v>46310.8410763889</v>
      </c>
      <c r="R913" s="22"/>
      <c r="S913" s="13" t="s">
        <v>164</v>
      </c>
      <c r="T913" s="13" t="str">
        <f aca="false">IF(S913="Oui",IF(R913=L913,"Identique","Changé"),"")</f>
        <v/>
      </c>
    </row>
    <row r="914" customFormat="false" ht="46.25" hidden="false" customHeight="false" outlineLevel="0" collapsed="false">
      <c r="A914" s="13" t="s">
        <v>3316</v>
      </c>
      <c r="B914" s="13" t="s">
        <v>3308</v>
      </c>
      <c r="C914" s="13" t="n">
        <v>3</v>
      </c>
      <c r="D914" s="13" t="s">
        <v>97</v>
      </c>
      <c r="E914" s="13" t="s">
        <v>114</v>
      </c>
      <c r="F914" s="13" t="s">
        <v>1298</v>
      </c>
      <c r="G914" s="13" t="s">
        <v>141</v>
      </c>
      <c r="H914" s="13" t="s">
        <v>101</v>
      </c>
      <c r="I914" s="21" t="s">
        <v>3317</v>
      </c>
      <c r="J914" s="21" t="s">
        <v>143</v>
      </c>
      <c r="K914" s="21" t="s">
        <v>3318</v>
      </c>
      <c r="L914" s="22" t="s">
        <v>36</v>
      </c>
      <c r="M914" s="21" t="s">
        <v>120</v>
      </c>
      <c r="N914" s="13" t="s">
        <v>106</v>
      </c>
      <c r="O914" s="23" t="n">
        <v>10.9</v>
      </c>
      <c r="P914" s="13" t="n">
        <v>1</v>
      </c>
      <c r="Q914" s="24" t="n">
        <v>46310.8413194444</v>
      </c>
      <c r="R914" s="22"/>
      <c r="S914" s="13" t="s">
        <v>164</v>
      </c>
      <c r="T914" s="13" t="str">
        <f aca="false">IF(S914="Oui",IF(R914=L914,"Identique","Changé"),"")</f>
        <v/>
      </c>
    </row>
    <row r="915" customFormat="false" ht="57.45" hidden="false" customHeight="false" outlineLevel="0" collapsed="false">
      <c r="A915" s="13" t="s">
        <v>3319</v>
      </c>
      <c r="B915" s="13" t="s">
        <v>3308</v>
      </c>
      <c r="C915" s="13" t="n">
        <v>4</v>
      </c>
      <c r="D915" s="13" t="s">
        <v>97</v>
      </c>
      <c r="E915" s="13" t="s">
        <v>122</v>
      </c>
      <c r="F915" s="13" t="s">
        <v>1298</v>
      </c>
      <c r="G915" s="13" t="s">
        <v>1744</v>
      </c>
      <c r="H915" s="13" t="s">
        <v>101</v>
      </c>
      <c r="I915" s="21" t="s">
        <v>3320</v>
      </c>
      <c r="J915" s="21" t="s">
        <v>3321</v>
      </c>
      <c r="K915" s="21" t="s">
        <v>3322</v>
      </c>
      <c r="L915" s="22" t="s">
        <v>36</v>
      </c>
      <c r="M915" s="21" t="s">
        <v>235</v>
      </c>
      <c r="N915" s="13" t="s">
        <v>106</v>
      </c>
      <c r="O915" s="23" t="n">
        <v>12.55</v>
      </c>
      <c r="P915" s="13" t="n">
        <v>1</v>
      </c>
      <c r="Q915" s="24" t="n">
        <v>46310.8415856482</v>
      </c>
      <c r="R915" s="22"/>
      <c r="S915" s="13" t="s">
        <v>164</v>
      </c>
      <c r="T915" s="13" t="str">
        <f aca="false">IF(S915="Oui",IF(R915=L915,"Identique","Changé"),"")</f>
        <v/>
      </c>
    </row>
    <row r="916" customFormat="false" ht="35.05" hidden="false" customHeight="false" outlineLevel="0" collapsed="false">
      <c r="A916" s="13" t="s">
        <v>3323</v>
      </c>
      <c r="B916" s="13" t="s">
        <v>3308</v>
      </c>
      <c r="C916" s="13" t="n">
        <v>5</v>
      </c>
      <c r="D916" s="13" t="s">
        <v>97</v>
      </c>
      <c r="E916" s="13" t="s">
        <v>171</v>
      </c>
      <c r="F916" s="13" t="s">
        <v>1298</v>
      </c>
      <c r="G916" s="13" t="s">
        <v>908</v>
      </c>
      <c r="H916" s="13" t="s">
        <v>101</v>
      </c>
      <c r="I916" s="21" t="s">
        <v>3324</v>
      </c>
      <c r="J916" s="21" t="s">
        <v>1374</v>
      </c>
      <c r="K916" s="21" t="s">
        <v>3325</v>
      </c>
      <c r="L916" s="22" t="s">
        <v>36</v>
      </c>
      <c r="M916" s="21" t="s">
        <v>120</v>
      </c>
      <c r="N916" s="13" t="s">
        <v>106</v>
      </c>
      <c r="O916" s="23" t="n">
        <v>10.87</v>
      </c>
      <c r="P916" s="13" t="n">
        <v>1</v>
      </c>
      <c r="Q916" s="24" t="n">
        <v>46310.8418518519</v>
      </c>
      <c r="R916" s="22"/>
      <c r="S916" s="13" t="s">
        <v>164</v>
      </c>
      <c r="T916" s="13" t="str">
        <f aca="false">IF(S916="Oui",IF(R916=L916,"Identique","Changé"),"")</f>
        <v/>
      </c>
    </row>
    <row r="917" customFormat="false" ht="35.05" hidden="false" customHeight="false" outlineLevel="0" collapsed="false">
      <c r="A917" s="13" t="s">
        <v>3326</v>
      </c>
      <c r="B917" s="13" t="s">
        <v>3327</v>
      </c>
      <c r="C917" s="13" t="n">
        <v>1</v>
      </c>
      <c r="D917" s="13" t="s">
        <v>135</v>
      </c>
      <c r="E917" s="13" t="s">
        <v>570</v>
      </c>
      <c r="F917" s="13" t="s">
        <v>1947</v>
      </c>
      <c r="G917" s="13" t="s">
        <v>1739</v>
      </c>
      <c r="H917" s="13" t="s">
        <v>101</v>
      </c>
      <c r="I917" s="21" t="s">
        <v>3328</v>
      </c>
      <c r="J917" s="21" t="s">
        <v>233</v>
      </c>
      <c r="K917" s="21" t="s">
        <v>3329</v>
      </c>
      <c r="L917" s="22" t="s">
        <v>36</v>
      </c>
      <c r="M917" s="21" t="s">
        <v>235</v>
      </c>
      <c r="N917" s="13" t="s">
        <v>106</v>
      </c>
      <c r="O917" s="23" t="n">
        <v>39.85</v>
      </c>
      <c r="P917" s="13" t="n">
        <v>1</v>
      </c>
      <c r="Q917" s="24" t="n">
        <v>46310.8425347222</v>
      </c>
      <c r="R917" s="22"/>
      <c r="S917" s="13" t="s">
        <v>164</v>
      </c>
      <c r="T917" s="13" t="str">
        <f aca="false">IF(S917="Oui",IF(R917=L917,"Identique","Changé"),"")</f>
        <v/>
      </c>
    </row>
    <row r="918" customFormat="false" ht="57.45" hidden="false" customHeight="false" outlineLevel="0" collapsed="false">
      <c r="A918" s="13" t="s">
        <v>3330</v>
      </c>
      <c r="B918" s="13" t="s">
        <v>3327</v>
      </c>
      <c r="C918" s="13" t="n">
        <v>2</v>
      </c>
      <c r="D918" s="13" t="s">
        <v>135</v>
      </c>
      <c r="E918" s="13" t="s">
        <v>171</v>
      </c>
      <c r="F918" s="13" t="s">
        <v>1947</v>
      </c>
      <c r="G918" s="13" t="s">
        <v>2263</v>
      </c>
      <c r="H918" s="13" t="s">
        <v>101</v>
      </c>
      <c r="I918" s="21" t="s">
        <v>3331</v>
      </c>
      <c r="J918" s="21" t="s">
        <v>3332</v>
      </c>
      <c r="K918" s="21" t="s">
        <v>3333</v>
      </c>
      <c r="L918" s="22" t="s">
        <v>36</v>
      </c>
      <c r="M918" s="21" t="s">
        <v>120</v>
      </c>
      <c r="N918" s="13" t="s">
        <v>106</v>
      </c>
      <c r="O918" s="23" t="n">
        <v>12.42</v>
      </c>
      <c r="P918" s="13" t="n">
        <v>1</v>
      </c>
      <c r="Q918" s="24" t="n">
        <v>46310.8428009259</v>
      </c>
      <c r="R918" s="22"/>
      <c r="S918" s="13" t="s">
        <v>164</v>
      </c>
      <c r="T918" s="13" t="str">
        <f aca="false">IF(S918="Oui",IF(R918=L918,"Identique","Changé"),"")</f>
        <v/>
      </c>
    </row>
    <row r="919" customFormat="false" ht="35.05" hidden="false" customHeight="false" outlineLevel="0" collapsed="false">
      <c r="A919" s="13" t="s">
        <v>3334</v>
      </c>
      <c r="B919" s="13" t="s">
        <v>3327</v>
      </c>
      <c r="C919" s="13" t="n">
        <v>3</v>
      </c>
      <c r="D919" s="13" t="s">
        <v>135</v>
      </c>
      <c r="E919" s="13" t="s">
        <v>114</v>
      </c>
      <c r="F919" s="13" t="s">
        <v>3335</v>
      </c>
      <c r="G919" s="13" t="s">
        <v>857</v>
      </c>
      <c r="H919" s="13" t="s">
        <v>101</v>
      </c>
      <c r="I919" s="21" t="s">
        <v>3336</v>
      </c>
      <c r="J919" s="21" t="s">
        <v>512</v>
      </c>
      <c r="K919" s="21" t="s">
        <v>3337</v>
      </c>
      <c r="L919" s="22" t="s">
        <v>36</v>
      </c>
      <c r="M919" s="21" t="s">
        <v>120</v>
      </c>
      <c r="N919" s="13" t="s">
        <v>106</v>
      </c>
      <c r="O919" s="23" t="n">
        <v>9.84</v>
      </c>
      <c r="P919" s="13" t="n">
        <v>1</v>
      </c>
      <c r="Q919" s="24" t="n">
        <v>46310.8430324074</v>
      </c>
      <c r="R919" s="22"/>
      <c r="S919" s="13" t="s">
        <v>164</v>
      </c>
      <c r="T919" s="13" t="str">
        <f aca="false">IF(S919="Oui",IF(R919=L919,"Identique","Changé"),"")</f>
        <v/>
      </c>
    </row>
    <row r="920" customFormat="false" ht="57.45" hidden="false" customHeight="false" outlineLevel="0" collapsed="false">
      <c r="A920" s="13" t="s">
        <v>3338</v>
      </c>
      <c r="B920" s="13" t="s">
        <v>3327</v>
      </c>
      <c r="C920" s="13" t="n">
        <v>4</v>
      </c>
      <c r="D920" s="13" t="s">
        <v>135</v>
      </c>
      <c r="E920" s="13" t="s">
        <v>570</v>
      </c>
      <c r="F920" s="13" t="s">
        <v>3335</v>
      </c>
      <c r="G920" s="13" t="s">
        <v>1883</v>
      </c>
      <c r="H920" s="13" t="s">
        <v>152</v>
      </c>
      <c r="I920" s="21" t="s">
        <v>3339</v>
      </c>
      <c r="J920" s="21" t="s">
        <v>154</v>
      </c>
      <c r="K920" s="21" t="s">
        <v>3340</v>
      </c>
      <c r="L920" s="22" t="s">
        <v>40</v>
      </c>
      <c r="M920" s="21" t="s">
        <v>156</v>
      </c>
      <c r="N920" s="13" t="s">
        <v>106</v>
      </c>
      <c r="O920" s="23" t="n">
        <v>10.75</v>
      </c>
      <c r="P920" s="13" t="n">
        <v>1</v>
      </c>
      <c r="Q920" s="24" t="n">
        <v>46310.843287037</v>
      </c>
      <c r="R920" s="22"/>
      <c r="S920" s="13" t="s">
        <v>164</v>
      </c>
      <c r="T920" s="13" t="str">
        <f aca="false">IF(S920="Oui",IF(R920=L920,"Identique","Changé"),"")</f>
        <v/>
      </c>
    </row>
    <row r="921" customFormat="false" ht="57.45" hidden="false" customHeight="false" outlineLevel="0" collapsed="false">
      <c r="A921" s="13" t="s">
        <v>3341</v>
      </c>
      <c r="B921" s="13" t="s">
        <v>3327</v>
      </c>
      <c r="C921" s="13" t="n">
        <v>5</v>
      </c>
      <c r="D921" s="13" t="s">
        <v>135</v>
      </c>
      <c r="E921" s="13" t="s">
        <v>171</v>
      </c>
      <c r="F921" s="13" t="s">
        <v>1947</v>
      </c>
      <c r="G921" s="13" t="s">
        <v>464</v>
      </c>
      <c r="H921" s="13" t="s">
        <v>101</v>
      </c>
      <c r="I921" s="21" t="s">
        <v>3342</v>
      </c>
      <c r="J921" s="21" t="s">
        <v>3343</v>
      </c>
      <c r="K921" s="21" t="s">
        <v>3344</v>
      </c>
      <c r="L921" s="22" t="s">
        <v>36</v>
      </c>
      <c r="M921" s="21" t="s">
        <v>120</v>
      </c>
      <c r="N921" s="13" t="s">
        <v>106</v>
      </c>
      <c r="O921" s="23" t="n">
        <v>15.4</v>
      </c>
      <c r="P921" s="13" t="n">
        <v>1</v>
      </c>
      <c r="Q921" s="24" t="n">
        <v>46310.8435763889</v>
      </c>
      <c r="R921" s="22"/>
      <c r="S921" s="13" t="s">
        <v>164</v>
      </c>
      <c r="T921" s="13" t="str">
        <f aca="false">IF(S921="Oui",IF(R921=L921,"Identique","Changé"),"")</f>
        <v/>
      </c>
    </row>
    <row r="922" customFormat="false" ht="796.25" hidden="false" customHeight="false" outlineLevel="0" collapsed="false">
      <c r="A922" s="13" t="s">
        <v>3345</v>
      </c>
      <c r="B922" s="13" t="s">
        <v>3346</v>
      </c>
      <c r="C922" s="13" t="n">
        <v>1</v>
      </c>
      <c r="D922" s="13" t="s">
        <v>97</v>
      </c>
      <c r="E922" s="13" t="s">
        <v>1730</v>
      </c>
      <c r="F922" s="13" t="s">
        <v>1473</v>
      </c>
      <c r="G922" s="13" t="s">
        <v>1753</v>
      </c>
      <c r="H922" s="13" t="s">
        <v>101</v>
      </c>
      <c r="I922" s="21" t="s">
        <v>3347</v>
      </c>
      <c r="J922" s="21" t="s">
        <v>3348</v>
      </c>
      <c r="K922" s="21" t="s">
        <v>3349</v>
      </c>
      <c r="L922" s="22" t="s">
        <v>36</v>
      </c>
      <c r="M922" s="21" t="s">
        <v>2007</v>
      </c>
      <c r="N922" s="13" t="s">
        <v>1085</v>
      </c>
      <c r="O922" s="23" t="n">
        <v>40.63</v>
      </c>
      <c r="P922" s="13" t="n">
        <v>1</v>
      </c>
      <c r="Q922" s="24" t="n">
        <v>46310.844212963</v>
      </c>
      <c r="R922" s="22"/>
      <c r="S922" s="13" t="s">
        <v>164</v>
      </c>
      <c r="T922" s="13" t="str">
        <f aca="false">IF(S922="Oui",IF(R922=L922,"Identique","Changé"),"")</f>
        <v/>
      </c>
    </row>
    <row r="923" customFormat="false" ht="35.05" hidden="false" customHeight="false" outlineLevel="0" collapsed="false">
      <c r="A923" s="13" t="s">
        <v>3350</v>
      </c>
      <c r="B923" s="13" t="s">
        <v>3346</v>
      </c>
      <c r="C923" s="13" t="n">
        <v>2</v>
      </c>
      <c r="D923" s="13" t="s">
        <v>97</v>
      </c>
      <c r="E923" s="13" t="s">
        <v>401</v>
      </c>
      <c r="F923" s="13" t="s">
        <v>1473</v>
      </c>
      <c r="G923" s="13" t="s">
        <v>402</v>
      </c>
      <c r="H923" s="13" t="s">
        <v>101</v>
      </c>
      <c r="I923" s="21" t="s">
        <v>3351</v>
      </c>
      <c r="J923" s="21" t="s">
        <v>3352</v>
      </c>
      <c r="K923" s="21" t="s">
        <v>3353</v>
      </c>
      <c r="L923" s="22" t="s">
        <v>36</v>
      </c>
      <c r="M923" s="21" t="s">
        <v>406</v>
      </c>
      <c r="N923" s="13" t="s">
        <v>106</v>
      </c>
      <c r="O923" s="23" t="n">
        <v>10.62</v>
      </c>
      <c r="P923" s="13" t="n">
        <v>1</v>
      </c>
      <c r="Q923" s="24" t="n">
        <v>46310.8444560185</v>
      </c>
      <c r="R923" s="22"/>
      <c r="S923" s="13" t="s">
        <v>164</v>
      </c>
      <c r="T923" s="13" t="str">
        <f aca="false">IF(S923="Oui",IF(R923=L923,"Identique","Changé"),"")</f>
        <v/>
      </c>
    </row>
    <row r="924" customFormat="false" ht="23.85" hidden="false" customHeight="false" outlineLevel="0" collapsed="false">
      <c r="A924" s="13" t="s">
        <v>3354</v>
      </c>
      <c r="B924" s="13" t="s">
        <v>3346</v>
      </c>
      <c r="C924" s="13" t="n">
        <v>3</v>
      </c>
      <c r="D924" s="13" t="s">
        <v>97</v>
      </c>
      <c r="E924" s="13" t="s">
        <v>114</v>
      </c>
      <c r="F924" s="13" t="s">
        <v>728</v>
      </c>
      <c r="G924" s="13" t="s">
        <v>1305</v>
      </c>
      <c r="H924" s="13" t="s">
        <v>101</v>
      </c>
      <c r="I924" s="21" t="s">
        <v>3355</v>
      </c>
      <c r="J924" s="21" t="s">
        <v>284</v>
      </c>
      <c r="K924" s="21" t="s">
        <v>3356</v>
      </c>
      <c r="L924" s="22" t="s">
        <v>36</v>
      </c>
      <c r="M924" s="21" t="s">
        <v>120</v>
      </c>
      <c r="N924" s="13" t="s">
        <v>106</v>
      </c>
      <c r="O924" s="23" t="n">
        <v>11.27</v>
      </c>
      <c r="P924" s="13" t="n">
        <v>1</v>
      </c>
      <c r="Q924" s="24" t="n">
        <v>46310.8446990741</v>
      </c>
      <c r="R924" s="22"/>
      <c r="S924" s="13" t="s">
        <v>164</v>
      </c>
      <c r="T924" s="13" t="str">
        <f aca="false">IF(S924="Oui",IF(R924=L924,"Identique","Changé"),"")</f>
        <v/>
      </c>
    </row>
    <row r="925" customFormat="false" ht="102.2" hidden="false" customHeight="false" outlineLevel="0" collapsed="false">
      <c r="A925" s="13" t="s">
        <v>3357</v>
      </c>
      <c r="B925" s="13" t="s">
        <v>3346</v>
      </c>
      <c r="C925" s="13" t="n">
        <v>4</v>
      </c>
      <c r="D925" s="13" t="s">
        <v>97</v>
      </c>
      <c r="E925" s="13" t="s">
        <v>1730</v>
      </c>
      <c r="F925" s="13" t="s">
        <v>728</v>
      </c>
      <c r="G925" s="13" t="s">
        <v>1732</v>
      </c>
      <c r="H925" s="13" t="s">
        <v>101</v>
      </c>
      <c r="I925" s="21" t="s">
        <v>3358</v>
      </c>
      <c r="J925" s="21" t="s">
        <v>3359</v>
      </c>
      <c r="K925" s="21" t="s">
        <v>3360</v>
      </c>
      <c r="L925" s="22" t="s">
        <v>36</v>
      </c>
      <c r="M925" s="21" t="s">
        <v>3361</v>
      </c>
      <c r="N925" s="13" t="s">
        <v>106</v>
      </c>
      <c r="O925" s="23" t="n">
        <v>10.66</v>
      </c>
      <c r="P925" s="13" t="n">
        <v>1</v>
      </c>
      <c r="Q925" s="24" t="n">
        <v>46310.8449421296</v>
      </c>
      <c r="R925" s="22"/>
      <c r="S925" s="13" t="s">
        <v>164</v>
      </c>
      <c r="T925" s="13" t="str">
        <f aca="false">IF(S925="Oui",IF(R925=L925,"Identique","Changé"),"")</f>
        <v/>
      </c>
    </row>
    <row r="926" customFormat="false" ht="35.05" hidden="false" customHeight="false" outlineLevel="0" collapsed="false">
      <c r="A926" s="13" t="s">
        <v>3362</v>
      </c>
      <c r="B926" s="13" t="s">
        <v>3346</v>
      </c>
      <c r="C926" s="13" t="n">
        <v>5</v>
      </c>
      <c r="D926" s="13" t="s">
        <v>97</v>
      </c>
      <c r="E926" s="13" t="s">
        <v>114</v>
      </c>
      <c r="F926" s="13" t="s">
        <v>1473</v>
      </c>
      <c r="G926" s="13" t="s">
        <v>2250</v>
      </c>
      <c r="H926" s="13" t="s">
        <v>101</v>
      </c>
      <c r="I926" s="21" t="s">
        <v>3363</v>
      </c>
      <c r="J926" s="21" t="s">
        <v>3239</v>
      </c>
      <c r="K926" s="21" t="s">
        <v>3364</v>
      </c>
      <c r="L926" s="22" t="s">
        <v>36</v>
      </c>
      <c r="M926" s="21" t="s">
        <v>120</v>
      </c>
      <c r="N926" s="13" t="s">
        <v>106</v>
      </c>
      <c r="O926" s="23" t="n">
        <v>19.24</v>
      </c>
      <c r="P926" s="13" t="n">
        <v>1</v>
      </c>
      <c r="Q926" s="24" t="n">
        <v>46310.8452893519</v>
      </c>
      <c r="R926" s="22"/>
      <c r="S926" s="13" t="s">
        <v>164</v>
      </c>
      <c r="T926" s="13" t="str">
        <f aca="false">IF(S926="Oui",IF(R926=L926,"Identique","Changé"),"")</f>
        <v/>
      </c>
    </row>
    <row r="927" customFormat="false" ht="23.85" hidden="false" customHeight="false" outlineLevel="0" collapsed="false">
      <c r="A927" s="13" t="s">
        <v>3365</v>
      </c>
      <c r="B927" s="13" t="s">
        <v>3366</v>
      </c>
      <c r="C927" s="13" t="n">
        <v>1</v>
      </c>
      <c r="D927" s="13" t="s">
        <v>135</v>
      </c>
      <c r="E927" s="13" t="s">
        <v>185</v>
      </c>
      <c r="F927" s="13" t="s">
        <v>1979</v>
      </c>
      <c r="G927" s="13" t="s">
        <v>186</v>
      </c>
      <c r="H927" s="13" t="s">
        <v>101</v>
      </c>
      <c r="I927" s="21" t="s">
        <v>3367</v>
      </c>
      <c r="J927" s="21" t="s">
        <v>188</v>
      </c>
      <c r="K927" s="21"/>
      <c r="L927" s="22" t="s">
        <v>39</v>
      </c>
      <c r="M927" s="21" t="s">
        <v>565</v>
      </c>
      <c r="N927" s="13" t="s">
        <v>106</v>
      </c>
      <c r="O927" s="23" t="n">
        <v>32.83</v>
      </c>
      <c r="P927" s="13" t="n">
        <v>3</v>
      </c>
      <c r="Q927" s="24" t="n">
        <v>46310.8555555556</v>
      </c>
      <c r="R927" s="22"/>
      <c r="S927" s="13" t="s">
        <v>164</v>
      </c>
      <c r="T927" s="13" t="str">
        <f aca="false">IF(S927="Oui",IF(R927=L927,"Identique","Changé"),"")</f>
        <v/>
      </c>
    </row>
    <row r="928" customFormat="false" ht="35.05" hidden="false" customHeight="false" outlineLevel="0" collapsed="false">
      <c r="A928" s="13" t="s">
        <v>3368</v>
      </c>
      <c r="B928" s="13" t="s">
        <v>3366</v>
      </c>
      <c r="C928" s="13" t="n">
        <v>2</v>
      </c>
      <c r="D928" s="13" t="s">
        <v>135</v>
      </c>
      <c r="E928" s="13" t="s">
        <v>98</v>
      </c>
      <c r="F928" s="13" t="s">
        <v>1979</v>
      </c>
      <c r="G928" s="13" t="s">
        <v>100</v>
      </c>
      <c r="H928" s="13" t="s">
        <v>101</v>
      </c>
      <c r="I928" s="21" t="s">
        <v>3369</v>
      </c>
      <c r="J928" s="21" t="s">
        <v>3370</v>
      </c>
      <c r="K928" s="21" t="s">
        <v>3371</v>
      </c>
      <c r="L928" s="22" t="s">
        <v>36</v>
      </c>
      <c r="M928" s="21" t="s">
        <v>105</v>
      </c>
      <c r="N928" s="13" t="s">
        <v>106</v>
      </c>
      <c r="O928" s="23" t="n">
        <v>12.7</v>
      </c>
      <c r="P928" s="13" t="n">
        <v>3</v>
      </c>
      <c r="Q928" s="24" t="n">
        <v>46310.8558101852</v>
      </c>
      <c r="R928" s="22"/>
      <c r="S928" s="13" t="s">
        <v>164</v>
      </c>
      <c r="T928" s="13" t="str">
        <f aca="false">IF(S928="Oui",IF(R928=L928,"Identique","Changé"),"")</f>
        <v/>
      </c>
    </row>
    <row r="929" customFormat="false" ht="35.05" hidden="false" customHeight="false" outlineLevel="0" collapsed="false">
      <c r="A929" s="13" t="s">
        <v>3372</v>
      </c>
      <c r="B929" s="13" t="s">
        <v>3366</v>
      </c>
      <c r="C929" s="13" t="n">
        <v>3</v>
      </c>
      <c r="D929" s="13" t="s">
        <v>135</v>
      </c>
      <c r="E929" s="13" t="s">
        <v>401</v>
      </c>
      <c r="F929" s="13" t="s">
        <v>1979</v>
      </c>
      <c r="G929" s="13" t="s">
        <v>419</v>
      </c>
      <c r="H929" s="13" t="s">
        <v>101</v>
      </c>
      <c r="I929" s="21" t="s">
        <v>3373</v>
      </c>
      <c r="J929" s="21" t="s">
        <v>3374</v>
      </c>
      <c r="K929" s="21" t="s">
        <v>3375</v>
      </c>
      <c r="L929" s="22" t="s">
        <v>36</v>
      </c>
      <c r="M929" s="21" t="s">
        <v>406</v>
      </c>
      <c r="N929" s="13" t="s">
        <v>106</v>
      </c>
      <c r="O929" s="23" t="n">
        <v>9.57</v>
      </c>
      <c r="P929" s="13" t="n">
        <v>3</v>
      </c>
      <c r="Q929" s="24" t="n">
        <v>46310.8560185185</v>
      </c>
      <c r="R929" s="22"/>
      <c r="S929" s="13" t="s">
        <v>164</v>
      </c>
      <c r="T929" s="13" t="str">
        <f aca="false">IF(S929="Oui",IF(R929=L929,"Identique","Changé"),"")</f>
        <v/>
      </c>
    </row>
    <row r="930" customFormat="false" ht="35.05" hidden="false" customHeight="false" outlineLevel="0" collapsed="false">
      <c r="A930" s="13" t="s">
        <v>3376</v>
      </c>
      <c r="B930" s="13" t="s">
        <v>3366</v>
      </c>
      <c r="C930" s="13" t="n">
        <v>4</v>
      </c>
      <c r="D930" s="13" t="s">
        <v>135</v>
      </c>
      <c r="E930" s="13" t="s">
        <v>98</v>
      </c>
      <c r="F930" s="13" t="s">
        <v>1979</v>
      </c>
      <c r="G930" s="13" t="s">
        <v>109</v>
      </c>
      <c r="H930" s="13" t="s">
        <v>101</v>
      </c>
      <c r="I930" s="21" t="s">
        <v>3377</v>
      </c>
      <c r="J930" s="21" t="s">
        <v>996</v>
      </c>
      <c r="K930" s="21" t="s">
        <v>3378</v>
      </c>
      <c r="L930" s="22" t="s">
        <v>36</v>
      </c>
      <c r="M930" s="21" t="s">
        <v>105</v>
      </c>
      <c r="N930" s="13" t="s">
        <v>106</v>
      </c>
      <c r="O930" s="23" t="n">
        <v>13.3</v>
      </c>
      <c r="P930" s="13" t="n">
        <v>3</v>
      </c>
      <c r="Q930" s="24" t="n">
        <v>46310.8562731482</v>
      </c>
      <c r="R930" s="22"/>
      <c r="S930" s="13" t="s">
        <v>164</v>
      </c>
      <c r="T930" s="13" t="str">
        <f aca="false">IF(S930="Oui",IF(R930=L930,"Identique","Changé"),"")</f>
        <v/>
      </c>
    </row>
    <row r="931" customFormat="false" ht="35.05" hidden="false" customHeight="false" outlineLevel="0" collapsed="false">
      <c r="A931" s="13" t="s">
        <v>3379</v>
      </c>
      <c r="B931" s="13" t="s">
        <v>3366</v>
      </c>
      <c r="C931" s="13" t="n">
        <v>5</v>
      </c>
      <c r="D931" s="13" t="s">
        <v>135</v>
      </c>
      <c r="E931" s="13" t="s">
        <v>128</v>
      </c>
      <c r="F931" s="13" t="s">
        <v>1979</v>
      </c>
      <c r="G931" s="13" t="s">
        <v>209</v>
      </c>
      <c r="H931" s="13" t="s">
        <v>101</v>
      </c>
      <c r="I931" s="21" t="s">
        <v>3380</v>
      </c>
      <c r="J931" s="21" t="s">
        <v>3381</v>
      </c>
      <c r="K931" s="21" t="s">
        <v>3382</v>
      </c>
      <c r="L931" s="22" t="s">
        <v>36</v>
      </c>
      <c r="M931" s="21" t="s">
        <v>120</v>
      </c>
      <c r="N931" s="13" t="s">
        <v>106</v>
      </c>
      <c r="O931" s="23" t="n">
        <v>14.54</v>
      </c>
      <c r="P931" s="13" t="n">
        <v>3</v>
      </c>
      <c r="Q931" s="24" t="n">
        <v>46310.8565509259</v>
      </c>
      <c r="R931" s="22"/>
      <c r="S931" s="13" t="s">
        <v>164</v>
      </c>
      <c r="T931" s="13" t="str">
        <f aca="false">IF(S931="Oui",IF(R931=L931,"Identique","Changé"),"")</f>
        <v/>
      </c>
    </row>
    <row r="932" customFormat="false" ht="46.25" hidden="false" customHeight="false" outlineLevel="0" collapsed="false">
      <c r="A932" s="13" t="s">
        <v>3383</v>
      </c>
      <c r="B932" s="13" t="s">
        <v>3384</v>
      </c>
      <c r="C932" s="13" t="n">
        <v>1</v>
      </c>
      <c r="D932" s="13" t="s">
        <v>97</v>
      </c>
      <c r="E932" s="13" t="s">
        <v>171</v>
      </c>
      <c r="F932" s="13" t="s">
        <v>409</v>
      </c>
      <c r="G932" s="13" t="s">
        <v>908</v>
      </c>
      <c r="H932" s="13" t="s">
        <v>101</v>
      </c>
      <c r="I932" s="21" t="s">
        <v>3385</v>
      </c>
      <c r="J932" s="21" t="s">
        <v>3386</v>
      </c>
      <c r="K932" s="21" t="s">
        <v>3387</v>
      </c>
      <c r="L932" s="22" t="s">
        <v>36</v>
      </c>
      <c r="M932" s="21" t="s">
        <v>120</v>
      </c>
      <c r="N932" s="13" t="s">
        <v>106</v>
      </c>
      <c r="O932" s="23" t="n">
        <v>39.16</v>
      </c>
      <c r="P932" s="13" t="n">
        <v>2</v>
      </c>
      <c r="Q932" s="24" t="n">
        <v>46310.8617708333</v>
      </c>
      <c r="R932" s="22"/>
      <c r="S932" s="13" t="s">
        <v>164</v>
      </c>
      <c r="T932" s="13" t="str">
        <f aca="false">IF(S932="Oui",IF(R932=L932,"Identique","Changé"),"")</f>
        <v/>
      </c>
    </row>
    <row r="933" customFormat="false" ht="35.05" hidden="false" customHeight="false" outlineLevel="0" collapsed="false">
      <c r="A933" s="13" t="s">
        <v>3388</v>
      </c>
      <c r="B933" s="13" t="s">
        <v>3384</v>
      </c>
      <c r="C933" s="13" t="n">
        <v>2</v>
      </c>
      <c r="D933" s="13" t="s">
        <v>97</v>
      </c>
      <c r="E933" s="13" t="s">
        <v>401</v>
      </c>
      <c r="F933" s="13" t="s">
        <v>409</v>
      </c>
      <c r="G933" s="13" t="s">
        <v>402</v>
      </c>
      <c r="H933" s="13" t="s">
        <v>101</v>
      </c>
      <c r="I933" s="21" t="s">
        <v>3389</v>
      </c>
      <c r="J933" s="21" t="s">
        <v>3390</v>
      </c>
      <c r="K933" s="21" t="s">
        <v>3391</v>
      </c>
      <c r="L933" s="22" t="s">
        <v>36</v>
      </c>
      <c r="M933" s="21" t="s">
        <v>406</v>
      </c>
      <c r="N933" s="13" t="s">
        <v>106</v>
      </c>
      <c r="O933" s="23" t="n">
        <v>11.24</v>
      </c>
      <c r="P933" s="13" t="n">
        <v>2</v>
      </c>
      <c r="Q933" s="24" t="n">
        <v>46310.8620023148</v>
      </c>
      <c r="R933" s="22"/>
      <c r="S933" s="13" t="s">
        <v>164</v>
      </c>
      <c r="T933" s="13" t="str">
        <f aca="false">IF(S933="Oui",IF(R933=L933,"Identique","Changé"),"")</f>
        <v/>
      </c>
    </row>
    <row r="934" customFormat="false" ht="57.45" hidden="false" customHeight="false" outlineLevel="0" collapsed="false">
      <c r="A934" s="13" t="s">
        <v>3392</v>
      </c>
      <c r="B934" s="13" t="s">
        <v>3384</v>
      </c>
      <c r="C934" s="13" t="n">
        <v>3</v>
      </c>
      <c r="D934" s="13" t="s">
        <v>97</v>
      </c>
      <c r="E934" s="13" t="s">
        <v>570</v>
      </c>
      <c r="F934" s="13" t="s">
        <v>215</v>
      </c>
      <c r="G934" s="13" t="s">
        <v>1824</v>
      </c>
      <c r="H934" s="13" t="s">
        <v>152</v>
      </c>
      <c r="I934" s="21" t="s">
        <v>3393</v>
      </c>
      <c r="J934" s="21" t="s">
        <v>154</v>
      </c>
      <c r="K934" s="21" t="s">
        <v>3394</v>
      </c>
      <c r="L934" s="22" t="s">
        <v>40</v>
      </c>
      <c r="M934" s="21" t="s">
        <v>156</v>
      </c>
      <c r="N934" s="13" t="s">
        <v>106</v>
      </c>
      <c r="O934" s="23" t="n">
        <v>13.71</v>
      </c>
      <c r="P934" s="13" t="n">
        <v>2</v>
      </c>
      <c r="Q934" s="24" t="n">
        <v>46310.8622569444</v>
      </c>
      <c r="R934" s="22"/>
      <c r="S934" s="13" t="s">
        <v>164</v>
      </c>
      <c r="T934" s="13" t="str">
        <f aca="false">IF(S934="Oui",IF(R934=L934,"Identique","Changé"),"")</f>
        <v/>
      </c>
    </row>
    <row r="935" customFormat="false" ht="35.05" hidden="false" customHeight="false" outlineLevel="0" collapsed="false">
      <c r="A935" s="13" t="s">
        <v>3395</v>
      </c>
      <c r="B935" s="13" t="s">
        <v>3384</v>
      </c>
      <c r="C935" s="13" t="n">
        <v>4</v>
      </c>
      <c r="D935" s="13" t="s">
        <v>97</v>
      </c>
      <c r="E935" s="13" t="s">
        <v>114</v>
      </c>
      <c r="F935" s="13" t="s">
        <v>215</v>
      </c>
      <c r="G935" s="13" t="s">
        <v>146</v>
      </c>
      <c r="H935" s="13" t="s">
        <v>101</v>
      </c>
      <c r="I935" s="21" t="s">
        <v>3396</v>
      </c>
      <c r="J935" s="21" t="s">
        <v>148</v>
      </c>
      <c r="K935" s="21" t="s">
        <v>3397</v>
      </c>
      <c r="L935" s="22" t="s">
        <v>36</v>
      </c>
      <c r="M935" s="21" t="s">
        <v>120</v>
      </c>
      <c r="N935" s="13" t="s">
        <v>106</v>
      </c>
      <c r="O935" s="23" t="n">
        <v>10.63</v>
      </c>
      <c r="P935" s="13" t="n">
        <v>2</v>
      </c>
      <c r="Q935" s="24" t="n">
        <v>46310.8624884259</v>
      </c>
      <c r="R935" s="22"/>
      <c r="S935" s="13" t="s">
        <v>164</v>
      </c>
      <c r="T935" s="13" t="str">
        <f aca="false">IF(S935="Oui",IF(R935=L935,"Identique","Changé"),"")</f>
        <v/>
      </c>
    </row>
    <row r="936" customFormat="false" ht="46.25" hidden="false" customHeight="false" outlineLevel="0" collapsed="false">
      <c r="A936" s="13" t="s">
        <v>3398</v>
      </c>
      <c r="B936" s="13" t="s">
        <v>3384</v>
      </c>
      <c r="C936" s="13" t="n">
        <v>5</v>
      </c>
      <c r="D936" s="13" t="s">
        <v>97</v>
      </c>
      <c r="E936" s="13" t="s">
        <v>171</v>
      </c>
      <c r="F936" s="13" t="s">
        <v>409</v>
      </c>
      <c r="G936" s="13" t="s">
        <v>464</v>
      </c>
      <c r="H936" s="13" t="s">
        <v>101</v>
      </c>
      <c r="I936" s="21" t="s">
        <v>3399</v>
      </c>
      <c r="J936" s="21" t="s">
        <v>496</v>
      </c>
      <c r="K936" s="21" t="s">
        <v>3400</v>
      </c>
      <c r="L936" s="22" t="s">
        <v>38</v>
      </c>
      <c r="M936" s="21" t="s">
        <v>3401</v>
      </c>
      <c r="N936" s="13" t="s">
        <v>106</v>
      </c>
      <c r="O936" s="23" t="n">
        <v>18.71</v>
      </c>
      <c r="P936" s="13" t="n">
        <v>2</v>
      </c>
      <c r="Q936" s="24" t="n">
        <v>46310.8628009259</v>
      </c>
      <c r="R936" s="22"/>
      <c r="S936" s="13" t="s">
        <v>164</v>
      </c>
      <c r="T936" s="13" t="str">
        <f aca="false">IF(S936="Oui",IF(R936=L936,"Identique","Changé"),"")</f>
        <v/>
      </c>
    </row>
    <row r="937" customFormat="false" ht="35.05" hidden="false" customHeight="false" outlineLevel="0" collapsed="false">
      <c r="A937" s="13" t="s">
        <v>3402</v>
      </c>
      <c r="B937" s="13" t="s">
        <v>3403</v>
      </c>
      <c r="C937" s="13" t="n">
        <v>1</v>
      </c>
      <c r="D937" s="13" t="s">
        <v>135</v>
      </c>
      <c r="E937" s="13" t="s">
        <v>185</v>
      </c>
      <c r="F937" s="13" t="s">
        <v>2023</v>
      </c>
      <c r="G937" s="13" t="s">
        <v>186</v>
      </c>
      <c r="H937" s="13" t="s">
        <v>101</v>
      </c>
      <c r="I937" s="21" t="s">
        <v>3404</v>
      </c>
      <c r="J937" s="21" t="s">
        <v>188</v>
      </c>
      <c r="K937" s="21" t="s">
        <v>3405</v>
      </c>
      <c r="L937" s="22" t="s">
        <v>36</v>
      </c>
      <c r="M937" s="21" t="s">
        <v>120</v>
      </c>
      <c r="N937" s="13" t="s">
        <v>106</v>
      </c>
      <c r="O937" s="23" t="n">
        <v>37.34</v>
      </c>
      <c r="P937" s="13" t="n">
        <v>1</v>
      </c>
      <c r="Q937" s="24" t="n">
        <v>46310.8634027778</v>
      </c>
      <c r="R937" s="22"/>
      <c r="S937" s="13" t="s">
        <v>164</v>
      </c>
      <c r="T937" s="13" t="str">
        <f aca="false">IF(S937="Oui",IF(R937=L937,"Identique","Changé"),"")</f>
        <v/>
      </c>
    </row>
    <row r="938" customFormat="false" ht="46.25" hidden="false" customHeight="false" outlineLevel="0" collapsed="false">
      <c r="A938" s="13" t="s">
        <v>3406</v>
      </c>
      <c r="B938" s="13" t="s">
        <v>3403</v>
      </c>
      <c r="C938" s="13" t="n">
        <v>2</v>
      </c>
      <c r="D938" s="13" t="s">
        <v>135</v>
      </c>
      <c r="E938" s="13" t="s">
        <v>114</v>
      </c>
      <c r="F938" s="13" t="s">
        <v>2023</v>
      </c>
      <c r="G938" s="13" t="s">
        <v>857</v>
      </c>
      <c r="H938" s="13" t="s">
        <v>101</v>
      </c>
      <c r="I938" s="21" t="s">
        <v>3407</v>
      </c>
      <c r="J938" s="21" t="s">
        <v>899</v>
      </c>
      <c r="K938" s="21" t="s">
        <v>3408</v>
      </c>
      <c r="L938" s="22" t="s">
        <v>36</v>
      </c>
      <c r="M938" s="21" t="s">
        <v>120</v>
      </c>
      <c r="N938" s="13" t="s">
        <v>106</v>
      </c>
      <c r="O938" s="23" t="n">
        <v>10.89</v>
      </c>
      <c r="P938" s="13" t="n">
        <v>1</v>
      </c>
      <c r="Q938" s="24" t="n">
        <v>46310.8636342593</v>
      </c>
      <c r="R938" s="22"/>
      <c r="S938" s="13" t="s">
        <v>164</v>
      </c>
      <c r="T938" s="13" t="str">
        <f aca="false">IF(S938="Oui",IF(R938=L938,"Identique","Changé"),"")</f>
        <v/>
      </c>
    </row>
    <row r="939" customFormat="false" ht="214.15" hidden="false" customHeight="false" outlineLevel="0" collapsed="false">
      <c r="A939" s="13" t="s">
        <v>3409</v>
      </c>
      <c r="B939" s="13" t="s">
        <v>3403</v>
      </c>
      <c r="C939" s="13" t="n">
        <v>3</v>
      </c>
      <c r="D939" s="13" t="s">
        <v>135</v>
      </c>
      <c r="E939" s="13" t="s">
        <v>1730</v>
      </c>
      <c r="F939" s="13" t="s">
        <v>2023</v>
      </c>
      <c r="G939" s="13" t="s">
        <v>1753</v>
      </c>
      <c r="H939" s="13" t="s">
        <v>101</v>
      </c>
      <c r="I939" s="21" t="s">
        <v>3410</v>
      </c>
      <c r="J939" s="21" t="s">
        <v>3411</v>
      </c>
      <c r="K939" s="21" t="s">
        <v>3412</v>
      </c>
      <c r="L939" s="22" t="s">
        <v>36</v>
      </c>
      <c r="M939" s="21" t="s">
        <v>1736</v>
      </c>
      <c r="N939" s="13" t="s">
        <v>106</v>
      </c>
      <c r="O939" s="23" t="n">
        <v>12.44</v>
      </c>
      <c r="P939" s="13" t="n">
        <v>1</v>
      </c>
      <c r="Q939" s="24" t="n">
        <v>46310.8638773148</v>
      </c>
      <c r="R939" s="22"/>
      <c r="S939" s="13" t="s">
        <v>164</v>
      </c>
      <c r="T939" s="13" t="str">
        <f aca="false">IF(S939="Oui",IF(R939=L939,"Identique","Changé"),"")</f>
        <v/>
      </c>
    </row>
    <row r="940" customFormat="false" ht="46.25" hidden="false" customHeight="false" outlineLevel="0" collapsed="false">
      <c r="A940" s="13" t="s">
        <v>3413</v>
      </c>
      <c r="B940" s="13" t="s">
        <v>3403</v>
      </c>
      <c r="C940" s="13" t="n">
        <v>4</v>
      </c>
      <c r="D940" s="13" t="s">
        <v>135</v>
      </c>
      <c r="E940" s="13" t="s">
        <v>570</v>
      </c>
      <c r="F940" s="13" t="s">
        <v>2023</v>
      </c>
      <c r="G940" s="13" t="s">
        <v>1739</v>
      </c>
      <c r="H940" s="13" t="s">
        <v>101</v>
      </c>
      <c r="I940" s="21" t="s">
        <v>3414</v>
      </c>
      <c r="J940" s="21" t="s">
        <v>233</v>
      </c>
      <c r="K940" s="21" t="s">
        <v>3415</v>
      </c>
      <c r="L940" s="22" t="s">
        <v>36</v>
      </c>
      <c r="M940" s="21" t="s">
        <v>235</v>
      </c>
      <c r="N940" s="13" t="s">
        <v>106</v>
      </c>
      <c r="O940" s="23" t="n">
        <v>10.76</v>
      </c>
      <c r="P940" s="13" t="n">
        <v>1</v>
      </c>
      <c r="Q940" s="24" t="n">
        <v>46310.8641087963</v>
      </c>
      <c r="R940" s="22"/>
      <c r="S940" s="13" t="s">
        <v>164</v>
      </c>
      <c r="T940" s="13" t="str">
        <f aca="false">IF(S940="Oui",IF(R940=L940,"Identique","Changé"),"")</f>
        <v/>
      </c>
    </row>
    <row r="941" customFormat="false" ht="35.05" hidden="false" customHeight="false" outlineLevel="0" collapsed="false">
      <c r="A941" s="13" t="s">
        <v>3416</v>
      </c>
      <c r="B941" s="13" t="s">
        <v>3403</v>
      </c>
      <c r="C941" s="13" t="n">
        <v>5</v>
      </c>
      <c r="D941" s="13" t="s">
        <v>135</v>
      </c>
      <c r="E941" s="13" t="s">
        <v>128</v>
      </c>
      <c r="F941" s="13" t="s">
        <v>2023</v>
      </c>
      <c r="G941" s="13" t="s">
        <v>204</v>
      </c>
      <c r="H941" s="13" t="s">
        <v>101</v>
      </c>
      <c r="I941" s="21" t="s">
        <v>3417</v>
      </c>
      <c r="J941" s="21" t="s">
        <v>206</v>
      </c>
      <c r="K941" s="21" t="s">
        <v>3418</v>
      </c>
      <c r="L941" s="22" t="s">
        <v>36</v>
      </c>
      <c r="M941" s="21" t="s">
        <v>120</v>
      </c>
      <c r="N941" s="13" t="s">
        <v>106</v>
      </c>
      <c r="O941" s="23" t="n">
        <v>16.26</v>
      </c>
      <c r="P941" s="13" t="n">
        <v>1</v>
      </c>
      <c r="Q941" s="24" t="n">
        <v>46310.8643981482</v>
      </c>
      <c r="R941" s="22"/>
      <c r="S941" s="13" t="s">
        <v>164</v>
      </c>
      <c r="T941" s="13" t="str">
        <f aca="false">IF(S941="Oui",IF(R941=L941,"Identique","Changé"),"")</f>
        <v/>
      </c>
    </row>
    <row r="942" customFormat="false" ht="57.45" hidden="false" customHeight="false" outlineLevel="0" collapsed="false">
      <c r="A942" s="13" t="s">
        <v>3419</v>
      </c>
      <c r="B942" s="13" t="s">
        <v>3420</v>
      </c>
      <c r="C942" s="13" t="n">
        <v>1</v>
      </c>
      <c r="D942" s="13" t="s">
        <v>97</v>
      </c>
      <c r="E942" s="13" t="s">
        <v>122</v>
      </c>
      <c r="F942" s="13" t="s">
        <v>664</v>
      </c>
      <c r="G942" s="13" t="s">
        <v>1744</v>
      </c>
      <c r="H942" s="13" t="s">
        <v>101</v>
      </c>
      <c r="I942" s="21" t="s">
        <v>3421</v>
      </c>
      <c r="J942" s="21" t="s">
        <v>3422</v>
      </c>
      <c r="K942" s="21" t="s">
        <v>3423</v>
      </c>
      <c r="L942" s="22" t="s">
        <v>36</v>
      </c>
      <c r="M942" s="21" t="s">
        <v>235</v>
      </c>
      <c r="N942" s="13" t="s">
        <v>106</v>
      </c>
      <c r="O942" s="23" t="n">
        <v>58.8</v>
      </c>
      <c r="P942" s="13" t="n">
        <v>3</v>
      </c>
      <c r="Q942" s="24" t="n">
        <v>46310.8748148148</v>
      </c>
      <c r="R942" s="22"/>
      <c r="S942" s="13" t="s">
        <v>164</v>
      </c>
      <c r="T942" s="13" t="str">
        <f aca="false">IF(S942="Oui",IF(R942=L942,"Identique","Changé"),"")</f>
        <v/>
      </c>
    </row>
    <row r="943" customFormat="false" ht="35.05" hidden="false" customHeight="false" outlineLevel="0" collapsed="false">
      <c r="A943" s="13" t="s">
        <v>3424</v>
      </c>
      <c r="B943" s="13" t="s">
        <v>3420</v>
      </c>
      <c r="C943" s="13" t="n">
        <v>2</v>
      </c>
      <c r="D943" s="13" t="s">
        <v>97</v>
      </c>
      <c r="E943" s="13" t="s">
        <v>114</v>
      </c>
      <c r="F943" s="13" t="s">
        <v>664</v>
      </c>
      <c r="G943" s="13" t="s">
        <v>1305</v>
      </c>
      <c r="H943" s="13" t="s">
        <v>101</v>
      </c>
      <c r="I943" s="21" t="s">
        <v>3425</v>
      </c>
      <c r="J943" s="21" t="s">
        <v>284</v>
      </c>
      <c r="K943" s="21" t="s">
        <v>3426</v>
      </c>
      <c r="L943" s="22" t="s">
        <v>36</v>
      </c>
      <c r="M943" s="21" t="s">
        <v>120</v>
      </c>
      <c r="N943" s="13" t="s">
        <v>106</v>
      </c>
      <c r="O943" s="23" t="n">
        <v>10.13</v>
      </c>
      <c r="P943" s="13" t="n">
        <v>3</v>
      </c>
      <c r="Q943" s="24" t="n">
        <v>46310.8750347222</v>
      </c>
      <c r="R943" s="22"/>
      <c r="S943" s="13" t="s">
        <v>164</v>
      </c>
      <c r="T943" s="13" t="str">
        <f aca="false">IF(S943="Oui",IF(R943=L943,"Identique","Changé"),"")</f>
        <v/>
      </c>
    </row>
    <row r="944" customFormat="false" ht="46.25" hidden="false" customHeight="false" outlineLevel="0" collapsed="false">
      <c r="A944" s="13" t="s">
        <v>3427</v>
      </c>
      <c r="B944" s="13" t="s">
        <v>3420</v>
      </c>
      <c r="C944" s="13" t="n">
        <v>3</v>
      </c>
      <c r="D944" s="13" t="s">
        <v>97</v>
      </c>
      <c r="E944" s="13" t="s">
        <v>128</v>
      </c>
      <c r="F944" s="13" t="s">
        <v>115</v>
      </c>
      <c r="G944" s="13" t="s">
        <v>968</v>
      </c>
      <c r="H944" s="13" t="s">
        <v>101</v>
      </c>
      <c r="I944" s="21" t="s">
        <v>3428</v>
      </c>
      <c r="J944" s="21" t="s">
        <v>355</v>
      </c>
      <c r="K944" s="21" t="s">
        <v>3429</v>
      </c>
      <c r="L944" s="22" t="s">
        <v>38</v>
      </c>
      <c r="M944" s="21" t="s">
        <v>2185</v>
      </c>
      <c r="N944" s="13" t="s">
        <v>1085</v>
      </c>
      <c r="O944" s="23" t="n">
        <v>13.4</v>
      </c>
      <c r="P944" s="13" t="n">
        <v>3</v>
      </c>
      <c r="Q944" s="24" t="n">
        <v>46310.8752893519</v>
      </c>
      <c r="R944" s="22"/>
      <c r="S944" s="13" t="s">
        <v>164</v>
      </c>
      <c r="T944" s="13" t="str">
        <f aca="false">IF(S944="Oui",IF(R944=L944,"Identique","Changé"),"")</f>
        <v/>
      </c>
    </row>
    <row r="945" customFormat="false" ht="46.25" hidden="false" customHeight="false" outlineLevel="0" collapsed="false">
      <c r="A945" s="13" t="s">
        <v>3430</v>
      </c>
      <c r="B945" s="13" t="s">
        <v>3420</v>
      </c>
      <c r="C945" s="13" t="n">
        <v>4</v>
      </c>
      <c r="D945" s="13" t="s">
        <v>97</v>
      </c>
      <c r="E945" s="13" t="s">
        <v>570</v>
      </c>
      <c r="F945" s="13" t="s">
        <v>115</v>
      </c>
      <c r="G945" s="13" t="s">
        <v>1930</v>
      </c>
      <c r="H945" s="13" t="s">
        <v>152</v>
      </c>
      <c r="I945" s="21" t="s">
        <v>3431</v>
      </c>
      <c r="J945" s="21" t="s">
        <v>154</v>
      </c>
      <c r="K945" s="21" t="s">
        <v>3432</v>
      </c>
      <c r="L945" s="22" t="s">
        <v>40</v>
      </c>
      <c r="M945" s="21" t="s">
        <v>156</v>
      </c>
      <c r="N945" s="13" t="s">
        <v>106</v>
      </c>
      <c r="O945" s="23" t="n">
        <v>8.99</v>
      </c>
      <c r="P945" s="13" t="n">
        <v>3</v>
      </c>
      <c r="Q945" s="24" t="n">
        <v>46310.8754976852</v>
      </c>
      <c r="R945" s="22"/>
      <c r="S945" s="13" t="s">
        <v>164</v>
      </c>
      <c r="T945" s="13" t="str">
        <f aca="false">IF(S945="Oui",IF(R945=L945,"Identique","Changé"),"")</f>
        <v/>
      </c>
    </row>
    <row r="946" customFormat="false" ht="46.25" hidden="false" customHeight="false" outlineLevel="0" collapsed="false">
      <c r="A946" s="13" t="s">
        <v>3433</v>
      </c>
      <c r="B946" s="13" t="s">
        <v>3420</v>
      </c>
      <c r="C946" s="13" t="n">
        <v>5</v>
      </c>
      <c r="D946" s="13" t="s">
        <v>97</v>
      </c>
      <c r="E946" s="13" t="s">
        <v>98</v>
      </c>
      <c r="F946" s="13" t="s">
        <v>664</v>
      </c>
      <c r="G946" s="13" t="s">
        <v>109</v>
      </c>
      <c r="H946" s="13" t="s">
        <v>101</v>
      </c>
      <c r="I946" s="21" t="s">
        <v>3434</v>
      </c>
      <c r="J946" s="21" t="s">
        <v>974</v>
      </c>
      <c r="K946" s="21" t="s">
        <v>3435</v>
      </c>
      <c r="L946" s="22" t="s">
        <v>36</v>
      </c>
      <c r="M946" s="21" t="s">
        <v>120</v>
      </c>
      <c r="N946" s="13" t="s">
        <v>106</v>
      </c>
      <c r="O946" s="23" t="n">
        <v>10.45</v>
      </c>
      <c r="P946" s="13" t="n">
        <v>3</v>
      </c>
      <c r="Q946" s="24" t="n">
        <v>46310.8757291667</v>
      </c>
      <c r="R946" s="22"/>
      <c r="S946" s="13" t="s">
        <v>164</v>
      </c>
      <c r="T946" s="13" t="str">
        <f aca="false">IF(S946="Oui",IF(R946=L946,"Identique","Changé"),"")</f>
        <v/>
      </c>
    </row>
    <row r="947" customFormat="false" ht="68.65" hidden="false" customHeight="false" outlineLevel="0" collapsed="false">
      <c r="A947" s="13" t="s">
        <v>3436</v>
      </c>
      <c r="B947" s="13" t="s">
        <v>3437</v>
      </c>
      <c r="C947" s="13" t="n">
        <v>1</v>
      </c>
      <c r="D947" s="13" t="s">
        <v>135</v>
      </c>
      <c r="E947" s="13" t="s">
        <v>1730</v>
      </c>
      <c r="F947" s="13" t="s">
        <v>3438</v>
      </c>
      <c r="G947" s="13" t="s">
        <v>1732</v>
      </c>
      <c r="H947" s="13" t="s">
        <v>101</v>
      </c>
      <c r="I947" s="21" t="s">
        <v>3439</v>
      </c>
      <c r="J947" s="21" t="s">
        <v>3440</v>
      </c>
      <c r="K947" s="21" t="s">
        <v>3441</v>
      </c>
      <c r="L947" s="22" t="s">
        <v>36</v>
      </c>
      <c r="M947" s="21" t="s">
        <v>120</v>
      </c>
      <c r="N947" s="13" t="s">
        <v>106</v>
      </c>
      <c r="O947" s="23" t="n">
        <v>33.31</v>
      </c>
      <c r="P947" s="13" t="n">
        <v>1</v>
      </c>
      <c r="Q947" s="24" t="n">
        <v>46310.8762847222</v>
      </c>
      <c r="R947" s="22"/>
      <c r="S947" s="13" t="s">
        <v>164</v>
      </c>
      <c r="T947" s="13" t="str">
        <f aca="false">IF(S947="Oui",IF(R947=L947,"Identique","Changé"),"")</f>
        <v/>
      </c>
    </row>
    <row r="948" customFormat="false" ht="35.05" hidden="false" customHeight="false" outlineLevel="0" collapsed="false">
      <c r="A948" s="13" t="s">
        <v>3442</v>
      </c>
      <c r="B948" s="13" t="s">
        <v>3437</v>
      </c>
      <c r="C948" s="13" t="n">
        <v>2</v>
      </c>
      <c r="D948" s="13" t="s">
        <v>135</v>
      </c>
      <c r="E948" s="13" t="s">
        <v>114</v>
      </c>
      <c r="F948" s="13" t="s">
        <v>3438</v>
      </c>
      <c r="G948" s="13" t="s">
        <v>141</v>
      </c>
      <c r="H948" s="13" t="s">
        <v>101</v>
      </c>
      <c r="I948" s="21" t="s">
        <v>3443</v>
      </c>
      <c r="J948" s="21" t="s">
        <v>3291</v>
      </c>
      <c r="K948" s="21" t="s">
        <v>3444</v>
      </c>
      <c r="L948" s="22" t="s">
        <v>36</v>
      </c>
      <c r="M948" s="21" t="s">
        <v>120</v>
      </c>
      <c r="N948" s="13" t="s">
        <v>106</v>
      </c>
      <c r="O948" s="23" t="n">
        <v>12.03</v>
      </c>
      <c r="P948" s="13" t="n">
        <v>1</v>
      </c>
      <c r="Q948" s="24" t="n">
        <v>46310.8765162037</v>
      </c>
      <c r="R948" s="22"/>
      <c r="S948" s="13" t="s">
        <v>164</v>
      </c>
      <c r="T948" s="13" t="str">
        <f aca="false">IF(S948="Oui",IF(R948=L948,"Identique","Changé"),"")</f>
        <v/>
      </c>
    </row>
    <row r="949" customFormat="false" ht="46.25" hidden="false" customHeight="false" outlineLevel="0" collapsed="false">
      <c r="A949" s="13" t="s">
        <v>3445</v>
      </c>
      <c r="B949" s="13" t="s">
        <v>3437</v>
      </c>
      <c r="C949" s="13" t="n">
        <v>3</v>
      </c>
      <c r="D949" s="13" t="s">
        <v>135</v>
      </c>
      <c r="E949" s="13" t="s">
        <v>260</v>
      </c>
      <c r="F949" s="13" t="s">
        <v>3446</v>
      </c>
      <c r="G949" s="13" t="s">
        <v>261</v>
      </c>
      <c r="H949" s="13" t="s">
        <v>101</v>
      </c>
      <c r="I949" s="21" t="s">
        <v>3447</v>
      </c>
      <c r="J949" s="21" t="s">
        <v>263</v>
      </c>
      <c r="K949" s="21" t="s">
        <v>3448</v>
      </c>
      <c r="L949" s="22" t="s">
        <v>36</v>
      </c>
      <c r="M949" s="21" t="s">
        <v>120</v>
      </c>
      <c r="N949" s="13" t="s">
        <v>106</v>
      </c>
      <c r="O949" s="23" t="n">
        <v>20.04</v>
      </c>
      <c r="P949" s="13" t="n">
        <v>1</v>
      </c>
      <c r="Q949" s="24" t="n">
        <v>46310.8768518519</v>
      </c>
      <c r="R949" s="22"/>
      <c r="S949" s="13" t="s">
        <v>164</v>
      </c>
      <c r="T949" s="13" t="str">
        <f aca="false">IF(S949="Oui",IF(R949=L949,"Identique","Changé"),"")</f>
        <v/>
      </c>
    </row>
    <row r="950" customFormat="false" ht="35.05" hidden="false" customHeight="false" outlineLevel="0" collapsed="false">
      <c r="A950" s="13" t="s">
        <v>3449</v>
      </c>
      <c r="B950" s="13" t="s">
        <v>3437</v>
      </c>
      <c r="C950" s="13" t="n">
        <v>4</v>
      </c>
      <c r="D950" s="13" t="s">
        <v>135</v>
      </c>
      <c r="E950" s="13" t="s">
        <v>114</v>
      </c>
      <c r="F950" s="13" t="s">
        <v>3446</v>
      </c>
      <c r="G950" s="13" t="s">
        <v>146</v>
      </c>
      <c r="H950" s="13" t="s">
        <v>101</v>
      </c>
      <c r="I950" s="21" t="s">
        <v>3450</v>
      </c>
      <c r="J950" s="21" t="s">
        <v>3451</v>
      </c>
      <c r="K950" s="21" t="s">
        <v>3452</v>
      </c>
      <c r="L950" s="22" t="s">
        <v>36</v>
      </c>
      <c r="M950" s="21" t="s">
        <v>120</v>
      </c>
      <c r="N950" s="13" t="s">
        <v>106</v>
      </c>
      <c r="O950" s="23" t="n">
        <v>9.94</v>
      </c>
      <c r="P950" s="13" t="n">
        <v>1</v>
      </c>
      <c r="Q950" s="24" t="n">
        <v>46310.8770717593</v>
      </c>
      <c r="R950" s="22"/>
      <c r="S950" s="13" t="s">
        <v>164</v>
      </c>
      <c r="T950" s="13" t="str">
        <f aca="false">IF(S950="Oui",IF(R950=L950,"Identique","Changé"),"")</f>
        <v/>
      </c>
    </row>
    <row r="951" customFormat="false" ht="35.05" hidden="false" customHeight="false" outlineLevel="0" collapsed="false">
      <c r="A951" s="13" t="s">
        <v>3453</v>
      </c>
      <c r="B951" s="13" t="s">
        <v>3437</v>
      </c>
      <c r="C951" s="13" t="n">
        <v>5</v>
      </c>
      <c r="D951" s="13" t="s">
        <v>135</v>
      </c>
      <c r="E951" s="13" t="s">
        <v>122</v>
      </c>
      <c r="F951" s="13" t="s">
        <v>3438</v>
      </c>
      <c r="G951" s="13" t="s">
        <v>1744</v>
      </c>
      <c r="H951" s="13" t="s">
        <v>101</v>
      </c>
      <c r="I951" s="21" t="s">
        <v>3454</v>
      </c>
      <c r="J951" s="21" t="s">
        <v>1741</v>
      </c>
      <c r="K951" s="21" t="s">
        <v>3455</v>
      </c>
      <c r="L951" s="22" t="s">
        <v>36</v>
      </c>
      <c r="M951" s="21" t="s">
        <v>235</v>
      </c>
      <c r="N951" s="13" t="s">
        <v>106</v>
      </c>
      <c r="O951" s="23" t="n">
        <v>138.51</v>
      </c>
      <c r="P951" s="13" t="n">
        <v>1</v>
      </c>
      <c r="Q951" s="24" t="n">
        <v>46310.8787847222</v>
      </c>
      <c r="R951" s="22"/>
      <c r="S951" s="13" t="s">
        <v>164</v>
      </c>
      <c r="T951" s="13" t="str">
        <f aca="false">IF(S951="Oui",IF(R951=L951,"Identique","Changé"),"")</f>
        <v/>
      </c>
    </row>
    <row r="952" customFormat="false" ht="23.85" hidden="false" customHeight="false" outlineLevel="0" collapsed="false">
      <c r="A952" s="13" t="s">
        <v>3456</v>
      </c>
      <c r="B952" s="13" t="s">
        <v>3457</v>
      </c>
      <c r="C952" s="13" t="n">
        <v>1</v>
      </c>
      <c r="D952" s="13" t="s">
        <v>97</v>
      </c>
      <c r="E952" s="13" t="s">
        <v>401</v>
      </c>
      <c r="F952" s="13" t="s">
        <v>256</v>
      </c>
      <c r="G952" s="13" t="s">
        <v>419</v>
      </c>
      <c r="H952" s="13" t="s">
        <v>101</v>
      </c>
      <c r="I952" s="21" t="s">
        <v>3458</v>
      </c>
      <c r="J952" s="21" t="s">
        <v>3459</v>
      </c>
      <c r="K952" s="21" t="s">
        <v>1105</v>
      </c>
      <c r="L952" s="22" t="s">
        <v>37</v>
      </c>
      <c r="M952" s="21" t="s">
        <v>163</v>
      </c>
      <c r="N952" s="13" t="s">
        <v>106</v>
      </c>
      <c r="O952" s="23" t="n">
        <v>24.73</v>
      </c>
      <c r="P952" s="13" t="n">
        <v>1</v>
      </c>
      <c r="Q952" s="24" t="n">
        <v>46310.8792476852</v>
      </c>
      <c r="R952" s="22"/>
      <c r="S952" s="13" t="s">
        <v>164</v>
      </c>
      <c r="T952" s="13" t="str">
        <f aca="false">IF(S952="Oui",IF(R952=L952,"Identique","Changé"),"")</f>
        <v/>
      </c>
    </row>
    <row r="953" customFormat="false" ht="35.05" hidden="false" customHeight="false" outlineLevel="0" collapsed="false">
      <c r="A953" s="13" t="s">
        <v>3460</v>
      </c>
      <c r="B953" s="13" t="s">
        <v>3457</v>
      </c>
      <c r="C953" s="13" t="n">
        <v>2</v>
      </c>
      <c r="D953" s="13" t="s">
        <v>97</v>
      </c>
      <c r="E953" s="13" t="s">
        <v>570</v>
      </c>
      <c r="F953" s="13" t="s">
        <v>256</v>
      </c>
      <c r="G953" s="13" t="s">
        <v>2415</v>
      </c>
      <c r="H953" s="13" t="s">
        <v>101</v>
      </c>
      <c r="I953" s="21" t="s">
        <v>3461</v>
      </c>
      <c r="J953" s="21" t="s">
        <v>2406</v>
      </c>
      <c r="K953" s="21" t="s">
        <v>3462</v>
      </c>
      <c r="L953" s="22" t="s">
        <v>37</v>
      </c>
      <c r="M953" s="21" t="s">
        <v>163</v>
      </c>
      <c r="N953" s="13" t="s">
        <v>106</v>
      </c>
      <c r="O953" s="23" t="n">
        <v>11.15</v>
      </c>
      <c r="P953" s="13" t="n">
        <v>1</v>
      </c>
      <c r="Q953" s="24" t="n">
        <v>46310.8794791667</v>
      </c>
      <c r="R953" s="22"/>
      <c r="S953" s="13" t="s">
        <v>164</v>
      </c>
      <c r="T953" s="13" t="str">
        <f aca="false">IF(S953="Oui",IF(R953=L953,"Identique","Changé"),"")</f>
        <v/>
      </c>
    </row>
    <row r="954" customFormat="false" ht="35.05" hidden="false" customHeight="false" outlineLevel="0" collapsed="false">
      <c r="A954" s="13" t="s">
        <v>3463</v>
      </c>
      <c r="B954" s="13" t="s">
        <v>3457</v>
      </c>
      <c r="C954" s="13" t="n">
        <v>3</v>
      </c>
      <c r="D954" s="13" t="s">
        <v>97</v>
      </c>
      <c r="E954" s="13" t="s">
        <v>171</v>
      </c>
      <c r="F954" s="13" t="s">
        <v>256</v>
      </c>
      <c r="G954" s="13" t="s">
        <v>464</v>
      </c>
      <c r="H954" s="13" t="s">
        <v>101</v>
      </c>
      <c r="I954" s="21" t="s">
        <v>3464</v>
      </c>
      <c r="J954" s="21" t="s">
        <v>496</v>
      </c>
      <c r="K954" s="21" t="s">
        <v>3465</v>
      </c>
      <c r="L954" s="22" t="s">
        <v>37</v>
      </c>
      <c r="M954" s="21" t="s">
        <v>163</v>
      </c>
      <c r="N954" s="13" t="s">
        <v>106</v>
      </c>
      <c r="O954" s="23" t="n">
        <v>11.5</v>
      </c>
      <c r="P954" s="13" t="n">
        <v>1</v>
      </c>
      <c r="Q954" s="24" t="n">
        <v>46310.8797106482</v>
      </c>
      <c r="R954" s="22"/>
      <c r="S954" s="13" t="s">
        <v>164</v>
      </c>
      <c r="T954" s="13" t="str">
        <f aca="false">IF(S954="Oui",IF(R954=L954,"Identique","Changé"),"")</f>
        <v/>
      </c>
    </row>
    <row r="955" customFormat="false" ht="35.05" hidden="false" customHeight="false" outlineLevel="0" collapsed="false">
      <c r="A955" s="13" t="s">
        <v>3466</v>
      </c>
      <c r="B955" s="13" t="s">
        <v>3457</v>
      </c>
      <c r="C955" s="13" t="n">
        <v>4</v>
      </c>
      <c r="D955" s="13" t="s">
        <v>97</v>
      </c>
      <c r="E955" s="13" t="s">
        <v>185</v>
      </c>
      <c r="F955" s="13" t="s">
        <v>256</v>
      </c>
      <c r="G955" s="13" t="s">
        <v>186</v>
      </c>
      <c r="H955" s="13" t="s">
        <v>101</v>
      </c>
      <c r="I955" s="21" t="s">
        <v>3467</v>
      </c>
      <c r="J955" s="21" t="s">
        <v>1362</v>
      </c>
      <c r="K955" s="21" t="s">
        <v>3468</v>
      </c>
      <c r="L955" s="22" t="s">
        <v>36</v>
      </c>
      <c r="M955" s="21" t="s">
        <v>120</v>
      </c>
      <c r="N955" s="13" t="s">
        <v>106</v>
      </c>
      <c r="O955" s="23" t="n">
        <v>18.34</v>
      </c>
      <c r="P955" s="13" t="n">
        <v>1</v>
      </c>
      <c r="Q955" s="24" t="n">
        <v>46310.8800347222</v>
      </c>
      <c r="R955" s="22"/>
      <c r="S955" s="13" t="s">
        <v>164</v>
      </c>
      <c r="T955" s="13" t="str">
        <f aca="false">IF(S955="Oui",IF(R955=L955,"Identique","Changé"),"")</f>
        <v/>
      </c>
    </row>
    <row r="956" customFormat="false" ht="35.05" hidden="false" customHeight="false" outlineLevel="0" collapsed="false">
      <c r="A956" s="13" t="s">
        <v>3469</v>
      </c>
      <c r="B956" s="13" t="s">
        <v>3457</v>
      </c>
      <c r="C956" s="13" t="n">
        <v>5</v>
      </c>
      <c r="D956" s="13" t="s">
        <v>97</v>
      </c>
      <c r="E956" s="13" t="s">
        <v>401</v>
      </c>
      <c r="F956" s="13" t="s">
        <v>256</v>
      </c>
      <c r="G956" s="13" t="s">
        <v>402</v>
      </c>
      <c r="H956" s="13" t="s">
        <v>101</v>
      </c>
      <c r="I956" s="21" t="s">
        <v>3470</v>
      </c>
      <c r="J956" s="21" t="s">
        <v>3471</v>
      </c>
      <c r="K956" s="21" t="s">
        <v>3472</v>
      </c>
      <c r="L956" s="22" t="s">
        <v>36</v>
      </c>
      <c r="M956" s="21" t="s">
        <v>406</v>
      </c>
      <c r="N956" s="13" t="s">
        <v>106</v>
      </c>
      <c r="O956" s="23" t="n">
        <v>10.56</v>
      </c>
      <c r="P956" s="13" t="n">
        <v>1</v>
      </c>
      <c r="Q956" s="24" t="n">
        <v>46310.8802546296</v>
      </c>
      <c r="R956" s="22"/>
      <c r="S956" s="13" t="s">
        <v>164</v>
      </c>
      <c r="T956" s="13" t="str">
        <f aca="false">IF(S956="Oui",IF(R956=L956,"Identique","Changé"),"")</f>
        <v/>
      </c>
    </row>
    <row r="957" customFormat="false" ht="57.45" hidden="false" customHeight="false" outlineLevel="0" collapsed="false">
      <c r="A957" s="13" t="s">
        <v>3473</v>
      </c>
      <c r="B957" s="13" t="s">
        <v>3474</v>
      </c>
      <c r="C957" s="13" t="n">
        <v>1</v>
      </c>
      <c r="D957" s="13" t="s">
        <v>135</v>
      </c>
      <c r="E957" s="13" t="s">
        <v>570</v>
      </c>
      <c r="F957" s="13" t="s">
        <v>3475</v>
      </c>
      <c r="G957" s="13" t="s">
        <v>2442</v>
      </c>
      <c r="H957" s="13" t="s">
        <v>101</v>
      </c>
      <c r="I957" s="21" t="s">
        <v>3476</v>
      </c>
      <c r="J957" s="21" t="s">
        <v>1741</v>
      </c>
      <c r="K957" s="21" t="s">
        <v>3477</v>
      </c>
      <c r="L957" s="22" t="s">
        <v>36</v>
      </c>
      <c r="M957" s="21" t="s">
        <v>235</v>
      </c>
      <c r="N957" s="13" t="s">
        <v>106</v>
      </c>
      <c r="O957" s="23" t="n">
        <v>52.2</v>
      </c>
      <c r="P957" s="13" t="n">
        <v>1</v>
      </c>
      <c r="Q957" s="24" t="n">
        <v>46310.8810300926</v>
      </c>
      <c r="R957" s="22"/>
      <c r="S957" s="13" t="s">
        <v>164</v>
      </c>
      <c r="T957" s="13" t="str">
        <f aca="false">IF(S957="Oui",IF(R957=L957,"Identique","Changé"),"")</f>
        <v/>
      </c>
    </row>
    <row r="958" customFormat="false" ht="35.05" hidden="false" customHeight="false" outlineLevel="0" collapsed="false">
      <c r="A958" s="13" t="s">
        <v>3478</v>
      </c>
      <c r="B958" s="13" t="s">
        <v>3474</v>
      </c>
      <c r="C958" s="13" t="n">
        <v>2</v>
      </c>
      <c r="D958" s="13" t="s">
        <v>135</v>
      </c>
      <c r="E958" s="13" t="s">
        <v>98</v>
      </c>
      <c r="F958" s="13" t="s">
        <v>3475</v>
      </c>
      <c r="G958" s="13" t="s">
        <v>100</v>
      </c>
      <c r="H958" s="13" t="s">
        <v>101</v>
      </c>
      <c r="I958" s="21" t="s">
        <v>3479</v>
      </c>
      <c r="J958" s="21" t="s">
        <v>3480</v>
      </c>
      <c r="K958" s="21" t="s">
        <v>3481</v>
      </c>
      <c r="L958" s="22" t="s">
        <v>36</v>
      </c>
      <c r="M958" s="21" t="s">
        <v>105</v>
      </c>
      <c r="N958" s="13" t="s">
        <v>106</v>
      </c>
      <c r="O958" s="23" t="n">
        <v>10.78</v>
      </c>
      <c r="P958" s="13" t="n">
        <v>1</v>
      </c>
      <c r="Q958" s="24" t="n">
        <v>46310.88125</v>
      </c>
      <c r="R958" s="22"/>
      <c r="S958" s="13" t="s">
        <v>164</v>
      </c>
      <c r="T958" s="13" t="str">
        <f aca="false">IF(S958="Oui",IF(R958=L958,"Identique","Changé"),"")</f>
        <v/>
      </c>
    </row>
    <row r="959" customFormat="false" ht="79.85" hidden="false" customHeight="false" outlineLevel="0" collapsed="false">
      <c r="A959" s="13" t="s">
        <v>3482</v>
      </c>
      <c r="B959" s="13" t="s">
        <v>3474</v>
      </c>
      <c r="C959" s="13" t="n">
        <v>3</v>
      </c>
      <c r="D959" s="13" t="s">
        <v>135</v>
      </c>
      <c r="E959" s="13" t="s">
        <v>570</v>
      </c>
      <c r="F959" s="13" t="s">
        <v>3483</v>
      </c>
      <c r="G959" s="13" t="s">
        <v>639</v>
      </c>
      <c r="H959" s="13" t="s">
        <v>152</v>
      </c>
      <c r="I959" s="21" t="s">
        <v>3484</v>
      </c>
      <c r="J959" s="21" t="s">
        <v>154</v>
      </c>
      <c r="K959" s="21" t="s">
        <v>3485</v>
      </c>
      <c r="L959" s="22" t="s">
        <v>40</v>
      </c>
      <c r="M959" s="21" t="s">
        <v>156</v>
      </c>
      <c r="N959" s="13" t="s">
        <v>106</v>
      </c>
      <c r="O959" s="23" t="n">
        <v>18.4</v>
      </c>
      <c r="P959" s="13" t="n">
        <v>1</v>
      </c>
      <c r="Q959" s="24" t="n">
        <v>46310.8815625</v>
      </c>
      <c r="R959" s="22"/>
      <c r="S959" s="13" t="s">
        <v>164</v>
      </c>
      <c r="T959" s="13" t="str">
        <f aca="false">IF(S959="Oui",IF(R959=L959,"Identique","Changé"),"")</f>
        <v/>
      </c>
    </row>
    <row r="960" customFormat="false" ht="46.25" hidden="false" customHeight="false" outlineLevel="0" collapsed="false">
      <c r="A960" s="13" t="s">
        <v>3486</v>
      </c>
      <c r="B960" s="13" t="s">
        <v>3474</v>
      </c>
      <c r="C960" s="13" t="n">
        <v>4</v>
      </c>
      <c r="D960" s="13" t="s">
        <v>135</v>
      </c>
      <c r="E960" s="13" t="s">
        <v>128</v>
      </c>
      <c r="F960" s="13" t="s">
        <v>3483</v>
      </c>
      <c r="G960" s="13" t="s">
        <v>204</v>
      </c>
      <c r="H960" s="13" t="s">
        <v>101</v>
      </c>
      <c r="I960" s="21" t="s">
        <v>3487</v>
      </c>
      <c r="J960" s="21" t="s">
        <v>206</v>
      </c>
      <c r="K960" s="21" t="s">
        <v>3488</v>
      </c>
      <c r="L960" s="22" t="s">
        <v>36</v>
      </c>
      <c r="M960" s="21" t="s">
        <v>120</v>
      </c>
      <c r="N960" s="13" t="s">
        <v>106</v>
      </c>
      <c r="O960" s="23" t="n">
        <v>9.59</v>
      </c>
      <c r="P960" s="13" t="n">
        <v>1</v>
      </c>
      <c r="Q960" s="24" t="n">
        <v>46310.8817824074</v>
      </c>
      <c r="R960" s="22"/>
      <c r="S960" s="13" t="s">
        <v>164</v>
      </c>
      <c r="T960" s="13" t="str">
        <f aca="false">IF(S960="Oui",IF(R960=L960,"Identique","Changé"),"")</f>
        <v/>
      </c>
    </row>
    <row r="961" customFormat="false" ht="35.05" hidden="false" customHeight="false" outlineLevel="0" collapsed="false">
      <c r="A961" s="13" t="s">
        <v>3489</v>
      </c>
      <c r="B961" s="13" t="s">
        <v>3474</v>
      </c>
      <c r="C961" s="13" t="n">
        <v>5</v>
      </c>
      <c r="D961" s="13" t="s">
        <v>135</v>
      </c>
      <c r="E961" s="13" t="s">
        <v>128</v>
      </c>
      <c r="F961" s="13" t="s">
        <v>3475</v>
      </c>
      <c r="G961" s="13" t="s">
        <v>193</v>
      </c>
      <c r="H961" s="13" t="s">
        <v>101</v>
      </c>
      <c r="I961" s="21" t="s">
        <v>3490</v>
      </c>
      <c r="J961" s="21" t="s">
        <v>195</v>
      </c>
      <c r="K961" s="21" t="s">
        <v>3491</v>
      </c>
      <c r="L961" s="22" t="s">
        <v>36</v>
      </c>
      <c r="M961" s="21" t="s">
        <v>120</v>
      </c>
      <c r="N961" s="13" t="s">
        <v>106</v>
      </c>
      <c r="O961" s="23" t="n">
        <v>10.4</v>
      </c>
      <c r="P961" s="13" t="n">
        <v>1</v>
      </c>
      <c r="Q961" s="24" t="n">
        <v>46310.8820138889</v>
      </c>
      <c r="R961" s="22"/>
      <c r="S961" s="13" t="s">
        <v>164</v>
      </c>
      <c r="T961" s="13" t="str">
        <f aca="false">IF(S961="Oui",IF(R961=L961,"Identique","Changé"),"")</f>
        <v/>
      </c>
    </row>
    <row r="962" customFormat="false" ht="46.25" hidden="false" customHeight="false" outlineLevel="0" collapsed="false">
      <c r="A962" s="13" t="s">
        <v>3492</v>
      </c>
      <c r="B962" s="13" t="s">
        <v>3493</v>
      </c>
      <c r="C962" s="13" t="n">
        <v>1</v>
      </c>
      <c r="D962" s="13" t="s">
        <v>97</v>
      </c>
      <c r="E962" s="13" t="s">
        <v>570</v>
      </c>
      <c r="F962" s="13" t="s">
        <v>1210</v>
      </c>
      <c r="G962" s="13" t="s">
        <v>2438</v>
      </c>
      <c r="H962" s="13" t="s">
        <v>101</v>
      </c>
      <c r="I962" s="21" t="s">
        <v>3494</v>
      </c>
      <c r="J962" s="21" t="s">
        <v>2406</v>
      </c>
      <c r="K962" s="21" t="s">
        <v>3495</v>
      </c>
      <c r="L962" s="22" t="s">
        <v>36</v>
      </c>
      <c r="M962" s="21" t="s">
        <v>235</v>
      </c>
      <c r="N962" s="13" t="s">
        <v>106</v>
      </c>
      <c r="O962" s="23" t="n">
        <v>28.49</v>
      </c>
      <c r="P962" s="13" t="n">
        <v>1</v>
      </c>
      <c r="Q962" s="24" t="n">
        <v>46310.8825115741</v>
      </c>
      <c r="R962" s="22"/>
      <c r="S962" s="13" t="s">
        <v>164</v>
      </c>
      <c r="T962" s="13" t="str">
        <f aca="false">IF(S962="Oui",IF(R962=L962,"Identique","Changé"),"")</f>
        <v/>
      </c>
    </row>
    <row r="963" customFormat="false" ht="79.85" hidden="false" customHeight="false" outlineLevel="0" collapsed="false">
      <c r="A963" s="13" t="s">
        <v>3496</v>
      </c>
      <c r="B963" s="13" t="s">
        <v>3493</v>
      </c>
      <c r="C963" s="13" t="n">
        <v>2</v>
      </c>
      <c r="D963" s="13" t="s">
        <v>97</v>
      </c>
      <c r="E963" s="13" t="s">
        <v>570</v>
      </c>
      <c r="F963" s="13" t="s">
        <v>1210</v>
      </c>
      <c r="G963" s="13" t="s">
        <v>1758</v>
      </c>
      <c r="H963" s="13" t="s">
        <v>101</v>
      </c>
      <c r="I963" s="21" t="s">
        <v>3497</v>
      </c>
      <c r="J963" s="21" t="s">
        <v>1741</v>
      </c>
      <c r="K963" s="21" t="s">
        <v>3498</v>
      </c>
      <c r="L963" s="22" t="s">
        <v>36</v>
      </c>
      <c r="M963" s="21" t="s">
        <v>235</v>
      </c>
      <c r="N963" s="13" t="s">
        <v>106</v>
      </c>
      <c r="O963" s="23" t="n">
        <v>13.12</v>
      </c>
      <c r="P963" s="13" t="n">
        <v>1</v>
      </c>
      <c r="Q963" s="24" t="n">
        <v>46310.8827662037</v>
      </c>
      <c r="R963" s="22"/>
      <c r="S963" s="13" t="s">
        <v>164</v>
      </c>
      <c r="T963" s="13" t="str">
        <f aca="false">IF(S963="Oui",IF(R963=L963,"Identique","Changé"),"")</f>
        <v/>
      </c>
    </row>
    <row r="964" customFormat="false" ht="35.05" hidden="false" customHeight="false" outlineLevel="0" collapsed="false">
      <c r="A964" s="13" t="s">
        <v>3499</v>
      </c>
      <c r="B964" s="13" t="s">
        <v>3493</v>
      </c>
      <c r="C964" s="13" t="n">
        <v>3</v>
      </c>
      <c r="D964" s="13" t="s">
        <v>97</v>
      </c>
      <c r="E964" s="13" t="s">
        <v>128</v>
      </c>
      <c r="F964" s="13" t="s">
        <v>1210</v>
      </c>
      <c r="G964" s="13" t="s">
        <v>193</v>
      </c>
      <c r="H964" s="13" t="s">
        <v>101</v>
      </c>
      <c r="I964" s="21" t="s">
        <v>3500</v>
      </c>
      <c r="J964" s="21" t="s">
        <v>195</v>
      </c>
      <c r="K964" s="21" t="s">
        <v>3501</v>
      </c>
      <c r="L964" s="22" t="s">
        <v>36</v>
      </c>
      <c r="M964" s="21" t="s">
        <v>120</v>
      </c>
      <c r="N964" s="13" t="s">
        <v>106</v>
      </c>
      <c r="O964" s="23" t="n">
        <v>15.98</v>
      </c>
      <c r="P964" s="13" t="n">
        <v>1</v>
      </c>
      <c r="Q964" s="24" t="n">
        <v>46310.8830555556</v>
      </c>
      <c r="R964" s="22"/>
      <c r="S964" s="13" t="s">
        <v>164</v>
      </c>
      <c r="T964" s="13" t="str">
        <f aca="false">IF(S964="Oui",IF(R964=L964,"Identique","Changé"),"")</f>
        <v/>
      </c>
    </row>
    <row r="965" customFormat="false" ht="46.25" hidden="false" customHeight="false" outlineLevel="0" collapsed="false">
      <c r="A965" s="13" t="s">
        <v>3502</v>
      </c>
      <c r="B965" s="13" t="s">
        <v>3493</v>
      </c>
      <c r="C965" s="13" t="n">
        <v>4</v>
      </c>
      <c r="D965" s="13" t="s">
        <v>97</v>
      </c>
      <c r="E965" s="13" t="s">
        <v>570</v>
      </c>
      <c r="F965" s="13" t="s">
        <v>1210</v>
      </c>
      <c r="G965" s="13" t="s">
        <v>1775</v>
      </c>
      <c r="H965" s="13" t="s">
        <v>101</v>
      </c>
      <c r="I965" s="21" t="s">
        <v>3503</v>
      </c>
      <c r="J965" s="21" t="s">
        <v>1777</v>
      </c>
      <c r="K965" s="21" t="s">
        <v>3504</v>
      </c>
      <c r="L965" s="22" t="s">
        <v>36</v>
      </c>
      <c r="M965" s="21" t="s">
        <v>120</v>
      </c>
      <c r="N965" s="13" t="s">
        <v>106</v>
      </c>
      <c r="O965" s="23" t="n">
        <v>10.95</v>
      </c>
      <c r="P965" s="13" t="n">
        <v>1</v>
      </c>
      <c r="Q965" s="24" t="n">
        <v>46310.883287037</v>
      </c>
      <c r="R965" s="22"/>
      <c r="S965" s="13" t="s">
        <v>164</v>
      </c>
      <c r="T965" s="13" t="str">
        <f aca="false">IF(S965="Oui",IF(R965=L965,"Identique","Changé"),"")</f>
        <v/>
      </c>
    </row>
    <row r="966" customFormat="false" ht="46.25" hidden="false" customHeight="false" outlineLevel="0" collapsed="false">
      <c r="A966" s="13" t="s">
        <v>3505</v>
      </c>
      <c r="B966" s="13" t="s">
        <v>3493</v>
      </c>
      <c r="C966" s="13" t="n">
        <v>5</v>
      </c>
      <c r="D966" s="13" t="s">
        <v>97</v>
      </c>
      <c r="E966" s="13" t="s">
        <v>570</v>
      </c>
      <c r="F966" s="13" t="s">
        <v>1210</v>
      </c>
      <c r="G966" s="13" t="s">
        <v>1805</v>
      </c>
      <c r="H966" s="13" t="s">
        <v>101</v>
      </c>
      <c r="I966" s="21" t="s">
        <v>3506</v>
      </c>
      <c r="J966" s="21" t="s">
        <v>284</v>
      </c>
      <c r="K966" s="21" t="s">
        <v>3507</v>
      </c>
      <c r="L966" s="22" t="s">
        <v>36</v>
      </c>
      <c r="M966" s="21" t="s">
        <v>120</v>
      </c>
      <c r="N966" s="13" t="s">
        <v>106</v>
      </c>
      <c r="O966" s="23" t="n">
        <v>10.16</v>
      </c>
      <c r="P966" s="13" t="n">
        <v>1</v>
      </c>
      <c r="Q966" s="24" t="n">
        <v>46310.8835069445</v>
      </c>
      <c r="R966" s="22"/>
      <c r="S966" s="13" t="s">
        <v>164</v>
      </c>
      <c r="T966" s="13" t="str">
        <f aca="false">IF(S966="Oui",IF(R966=L966,"Identique","Changé"),"")</f>
        <v/>
      </c>
    </row>
    <row r="967" customFormat="false" ht="35.05" hidden="false" customHeight="false" outlineLevel="0" collapsed="false">
      <c r="A967" s="13" t="s">
        <v>3508</v>
      </c>
      <c r="B967" s="13" t="s">
        <v>3509</v>
      </c>
      <c r="C967" s="13" t="n">
        <v>1</v>
      </c>
      <c r="D967" s="13" t="s">
        <v>135</v>
      </c>
      <c r="E967" s="13" t="s">
        <v>260</v>
      </c>
      <c r="F967" s="13" t="s">
        <v>2147</v>
      </c>
      <c r="G967" s="13" t="s">
        <v>261</v>
      </c>
      <c r="H967" s="13" t="s">
        <v>101</v>
      </c>
      <c r="I967" s="21" t="s">
        <v>3510</v>
      </c>
      <c r="J967" s="21" t="s">
        <v>263</v>
      </c>
      <c r="K967" s="21" t="s">
        <v>3511</v>
      </c>
      <c r="L967" s="22" t="s">
        <v>36</v>
      </c>
      <c r="M967" s="21" t="s">
        <v>120</v>
      </c>
      <c r="N967" s="13" t="s">
        <v>106</v>
      </c>
      <c r="O967" s="23" t="n">
        <v>40.24</v>
      </c>
      <c r="P967" s="13" t="n">
        <v>1</v>
      </c>
      <c r="Q967" s="24" t="n">
        <v>46310.8841435185</v>
      </c>
      <c r="R967" s="22"/>
      <c r="S967" s="13" t="s">
        <v>164</v>
      </c>
      <c r="T967" s="13" t="str">
        <f aca="false">IF(S967="Oui",IF(R967=L967,"Identique","Changé"),"")</f>
        <v/>
      </c>
    </row>
    <row r="968" customFormat="false" ht="169.4" hidden="false" customHeight="false" outlineLevel="0" collapsed="false">
      <c r="A968" s="13" t="s">
        <v>3512</v>
      </c>
      <c r="B968" s="13" t="s">
        <v>3509</v>
      </c>
      <c r="C968" s="13" t="n">
        <v>2</v>
      </c>
      <c r="D968" s="13" t="s">
        <v>135</v>
      </c>
      <c r="E968" s="13" t="s">
        <v>1730</v>
      </c>
      <c r="F968" s="13" t="s">
        <v>2147</v>
      </c>
      <c r="G968" s="13" t="s">
        <v>1753</v>
      </c>
      <c r="H968" s="13" t="s">
        <v>101</v>
      </c>
      <c r="I968" s="21" t="s">
        <v>3513</v>
      </c>
      <c r="J968" s="21" t="s">
        <v>3514</v>
      </c>
      <c r="K968" s="21" t="s">
        <v>3515</v>
      </c>
      <c r="L968" s="22" t="s">
        <v>36</v>
      </c>
      <c r="M968" s="21" t="s">
        <v>3516</v>
      </c>
      <c r="N968" s="13" t="s">
        <v>106</v>
      </c>
      <c r="O968" s="23" t="n">
        <v>10.97</v>
      </c>
      <c r="P968" s="13" t="n">
        <v>1</v>
      </c>
      <c r="Q968" s="24" t="n">
        <v>46310.8843634259</v>
      </c>
      <c r="R968" s="22"/>
      <c r="S968" s="13" t="s">
        <v>164</v>
      </c>
      <c r="T968" s="13" t="str">
        <f aca="false">IF(S968="Oui",IF(R968=L968,"Identique","Changé"),"")</f>
        <v/>
      </c>
    </row>
    <row r="969" customFormat="false" ht="35.05" hidden="false" customHeight="false" outlineLevel="0" collapsed="false">
      <c r="A969" s="13" t="s">
        <v>3517</v>
      </c>
      <c r="B969" s="13" t="s">
        <v>3509</v>
      </c>
      <c r="C969" s="13" t="n">
        <v>3</v>
      </c>
      <c r="D969" s="13" t="s">
        <v>135</v>
      </c>
      <c r="E969" s="13" t="s">
        <v>128</v>
      </c>
      <c r="F969" s="13" t="s">
        <v>3518</v>
      </c>
      <c r="G969" s="13" t="s">
        <v>204</v>
      </c>
      <c r="H969" s="13" t="s">
        <v>101</v>
      </c>
      <c r="I969" s="21" t="s">
        <v>3519</v>
      </c>
      <c r="J969" s="21" t="s">
        <v>443</v>
      </c>
      <c r="K969" s="21" t="s">
        <v>3520</v>
      </c>
      <c r="L969" s="22" t="s">
        <v>36</v>
      </c>
      <c r="M969" s="21" t="s">
        <v>120</v>
      </c>
      <c r="N969" s="13" t="s">
        <v>106</v>
      </c>
      <c r="O969" s="23" t="n">
        <v>12.83</v>
      </c>
      <c r="P969" s="13" t="n">
        <v>1</v>
      </c>
      <c r="Q969" s="24" t="n">
        <v>46310.8846180556</v>
      </c>
      <c r="R969" s="22"/>
      <c r="S969" s="13" t="s">
        <v>164</v>
      </c>
      <c r="T969" s="13" t="str">
        <f aca="false">IF(S969="Oui",IF(R969=L969,"Identique","Changé"),"")</f>
        <v/>
      </c>
    </row>
    <row r="970" customFormat="false" ht="35.05" hidden="false" customHeight="false" outlineLevel="0" collapsed="false">
      <c r="A970" s="13" t="s">
        <v>3521</v>
      </c>
      <c r="B970" s="13" t="s">
        <v>3509</v>
      </c>
      <c r="C970" s="13" t="n">
        <v>4</v>
      </c>
      <c r="D970" s="13" t="s">
        <v>135</v>
      </c>
      <c r="E970" s="13" t="s">
        <v>570</v>
      </c>
      <c r="F970" s="13" t="s">
        <v>3518</v>
      </c>
      <c r="G970" s="13" t="s">
        <v>571</v>
      </c>
      <c r="H970" s="13" t="s">
        <v>152</v>
      </c>
      <c r="I970" s="21" t="s">
        <v>3522</v>
      </c>
      <c r="J970" s="21" t="s">
        <v>154</v>
      </c>
      <c r="K970" s="21" t="s">
        <v>3523</v>
      </c>
      <c r="L970" s="22" t="s">
        <v>40</v>
      </c>
      <c r="M970" s="21" t="s">
        <v>156</v>
      </c>
      <c r="N970" s="13" t="s">
        <v>106</v>
      </c>
      <c r="O970" s="23" t="n">
        <v>11.64</v>
      </c>
      <c r="P970" s="13" t="n">
        <v>1</v>
      </c>
      <c r="Q970" s="24" t="n">
        <v>46310.8848611111</v>
      </c>
      <c r="R970" s="22"/>
      <c r="S970" s="13" t="s">
        <v>164</v>
      </c>
      <c r="T970" s="13" t="str">
        <f aca="false">IF(S970="Oui",IF(R970=L970,"Identique","Changé"),"")</f>
        <v/>
      </c>
    </row>
    <row r="971" customFormat="false" ht="23.85" hidden="false" customHeight="false" outlineLevel="0" collapsed="false">
      <c r="A971" s="13" t="s">
        <v>3524</v>
      </c>
      <c r="B971" s="13" t="s">
        <v>3509</v>
      </c>
      <c r="C971" s="13" t="n">
        <v>5</v>
      </c>
      <c r="D971" s="13" t="s">
        <v>135</v>
      </c>
      <c r="E971" s="13" t="s">
        <v>114</v>
      </c>
      <c r="F971" s="13" t="s">
        <v>2147</v>
      </c>
      <c r="G971" s="13" t="s">
        <v>146</v>
      </c>
      <c r="H971" s="13" t="s">
        <v>101</v>
      </c>
      <c r="I971" s="21" t="s">
        <v>3525</v>
      </c>
      <c r="J971" s="21" t="s">
        <v>148</v>
      </c>
      <c r="K971" s="21" t="s">
        <v>3526</v>
      </c>
      <c r="L971" s="22" t="s">
        <v>36</v>
      </c>
      <c r="M971" s="21" t="s">
        <v>120</v>
      </c>
      <c r="N971" s="13" t="s">
        <v>106</v>
      </c>
      <c r="O971" s="23" t="n">
        <v>9.85</v>
      </c>
      <c r="P971" s="13" t="n">
        <v>1</v>
      </c>
      <c r="Q971" s="24" t="n">
        <v>46310.8850810185</v>
      </c>
      <c r="R971" s="22"/>
      <c r="S971" s="13" t="s">
        <v>164</v>
      </c>
      <c r="T971" s="13" t="str">
        <f aca="false">IF(S971="Oui",IF(R971=L971,"Identique","Changé"),"")</f>
        <v/>
      </c>
    </row>
    <row r="972" customFormat="false" ht="46.25" hidden="false" customHeight="false" outlineLevel="0" collapsed="false">
      <c r="A972" s="13" t="s">
        <v>3527</v>
      </c>
      <c r="B972" s="13" t="s">
        <v>3528</v>
      </c>
      <c r="C972" s="13" t="n">
        <v>1</v>
      </c>
      <c r="D972" s="13" t="s">
        <v>97</v>
      </c>
      <c r="E972" s="13" t="s">
        <v>98</v>
      </c>
      <c r="F972" s="13" t="s">
        <v>488</v>
      </c>
      <c r="G972" s="13" t="s">
        <v>109</v>
      </c>
      <c r="H972" s="13" t="s">
        <v>101</v>
      </c>
      <c r="I972" s="21" t="s">
        <v>3529</v>
      </c>
      <c r="J972" s="21" t="s">
        <v>530</v>
      </c>
      <c r="K972" s="21" t="s">
        <v>3530</v>
      </c>
      <c r="L972" s="22" t="s">
        <v>36</v>
      </c>
      <c r="M972" s="21" t="s">
        <v>105</v>
      </c>
      <c r="N972" s="13" t="s">
        <v>106</v>
      </c>
      <c r="O972" s="23" t="n">
        <v>33.2</v>
      </c>
      <c r="P972" s="13" t="n">
        <v>1</v>
      </c>
      <c r="Q972" s="24" t="n">
        <v>46310.885625</v>
      </c>
      <c r="R972" s="22"/>
      <c r="S972" s="13" t="s">
        <v>164</v>
      </c>
      <c r="T972" s="13" t="str">
        <f aca="false">IF(S972="Oui",IF(R972=L972,"Identique","Changé"),"")</f>
        <v/>
      </c>
    </row>
    <row r="973" customFormat="false" ht="46.25" hidden="false" customHeight="false" outlineLevel="0" collapsed="false">
      <c r="A973" s="13" t="s">
        <v>3531</v>
      </c>
      <c r="B973" s="13" t="s">
        <v>3528</v>
      </c>
      <c r="C973" s="13" t="n">
        <v>2</v>
      </c>
      <c r="D973" s="13" t="s">
        <v>97</v>
      </c>
      <c r="E973" s="13" t="s">
        <v>570</v>
      </c>
      <c r="F973" s="13" t="s">
        <v>488</v>
      </c>
      <c r="G973" s="13" t="s">
        <v>1785</v>
      </c>
      <c r="H973" s="13" t="s">
        <v>101</v>
      </c>
      <c r="I973" s="21" t="s">
        <v>3532</v>
      </c>
      <c r="J973" s="21" t="s">
        <v>3533</v>
      </c>
      <c r="K973" s="21" t="s">
        <v>3534</v>
      </c>
      <c r="L973" s="22" t="s">
        <v>36</v>
      </c>
      <c r="M973" s="21" t="s">
        <v>235</v>
      </c>
      <c r="N973" s="13" t="s">
        <v>106</v>
      </c>
      <c r="O973" s="23" t="n">
        <v>11.12</v>
      </c>
      <c r="P973" s="13" t="n">
        <v>1</v>
      </c>
      <c r="Q973" s="24" t="n">
        <v>46310.8858564815</v>
      </c>
      <c r="R973" s="22"/>
      <c r="S973" s="13" t="s">
        <v>164</v>
      </c>
      <c r="T973" s="13" t="str">
        <f aca="false">IF(S973="Oui",IF(R973=L973,"Identique","Changé"),"")</f>
        <v/>
      </c>
    </row>
    <row r="974" customFormat="false" ht="35.05" hidden="false" customHeight="false" outlineLevel="0" collapsed="false">
      <c r="A974" s="13" t="s">
        <v>3535</v>
      </c>
      <c r="B974" s="13" t="s">
        <v>3528</v>
      </c>
      <c r="C974" s="13" t="n">
        <v>3</v>
      </c>
      <c r="D974" s="13" t="s">
        <v>97</v>
      </c>
      <c r="E974" s="13" t="s">
        <v>185</v>
      </c>
      <c r="F974" s="13" t="s">
        <v>1094</v>
      </c>
      <c r="G974" s="13" t="s">
        <v>2131</v>
      </c>
      <c r="H974" s="13" t="s">
        <v>101</v>
      </c>
      <c r="I974" s="21" t="s">
        <v>3536</v>
      </c>
      <c r="J974" s="21" t="s">
        <v>3537</v>
      </c>
      <c r="K974" s="21" t="s">
        <v>3538</v>
      </c>
      <c r="L974" s="22" t="s">
        <v>36</v>
      </c>
      <c r="M974" s="21" t="s">
        <v>2135</v>
      </c>
      <c r="N974" s="13" t="s">
        <v>106</v>
      </c>
      <c r="O974" s="23" t="n">
        <v>9.85</v>
      </c>
      <c r="P974" s="13" t="n">
        <v>1</v>
      </c>
      <c r="Q974" s="24" t="n">
        <v>46310.8860763889</v>
      </c>
      <c r="R974" s="22"/>
      <c r="S974" s="13" t="s">
        <v>164</v>
      </c>
      <c r="T974" s="13" t="str">
        <f aca="false">IF(S974="Oui",IF(R974=L974,"Identique","Changé"),"")</f>
        <v/>
      </c>
    </row>
    <row r="975" customFormat="false" ht="35.05" hidden="false" customHeight="false" outlineLevel="0" collapsed="false">
      <c r="A975" s="13" t="s">
        <v>3539</v>
      </c>
      <c r="B975" s="13" t="s">
        <v>3528</v>
      </c>
      <c r="C975" s="13" t="n">
        <v>4</v>
      </c>
      <c r="D975" s="13" t="s">
        <v>97</v>
      </c>
      <c r="E975" s="13" t="s">
        <v>570</v>
      </c>
      <c r="F975" s="13" t="s">
        <v>1094</v>
      </c>
      <c r="G975" s="13" t="s">
        <v>1739</v>
      </c>
      <c r="H975" s="13" t="s">
        <v>101</v>
      </c>
      <c r="I975" s="21" t="s">
        <v>3540</v>
      </c>
      <c r="J975" s="21" t="s">
        <v>1741</v>
      </c>
      <c r="K975" s="21" t="s">
        <v>3541</v>
      </c>
      <c r="L975" s="22" t="s">
        <v>36</v>
      </c>
      <c r="M975" s="21" t="s">
        <v>235</v>
      </c>
      <c r="N975" s="13" t="s">
        <v>106</v>
      </c>
      <c r="O975" s="23" t="n">
        <v>9.78</v>
      </c>
      <c r="P975" s="13" t="n">
        <v>1</v>
      </c>
      <c r="Q975" s="24" t="n">
        <v>46310.8862847222</v>
      </c>
      <c r="R975" s="22"/>
      <c r="S975" s="13" t="s">
        <v>164</v>
      </c>
      <c r="T975" s="13" t="str">
        <f aca="false">IF(S975="Oui",IF(R975=L975,"Identique","Changé"),"")</f>
        <v/>
      </c>
    </row>
    <row r="976" customFormat="false" ht="35.05" hidden="false" customHeight="false" outlineLevel="0" collapsed="false">
      <c r="A976" s="13" t="s">
        <v>3542</v>
      </c>
      <c r="B976" s="13" t="s">
        <v>3528</v>
      </c>
      <c r="C976" s="13" t="n">
        <v>5</v>
      </c>
      <c r="D976" s="13" t="s">
        <v>97</v>
      </c>
      <c r="E976" s="13" t="s">
        <v>570</v>
      </c>
      <c r="F976" s="13" t="s">
        <v>488</v>
      </c>
      <c r="G976" s="13" t="s">
        <v>1780</v>
      </c>
      <c r="H976" s="13" t="s">
        <v>101</v>
      </c>
      <c r="I976" s="21" t="s">
        <v>3543</v>
      </c>
      <c r="J976" s="21" t="s">
        <v>284</v>
      </c>
      <c r="K976" s="21" t="s">
        <v>3544</v>
      </c>
      <c r="L976" s="22" t="s">
        <v>36</v>
      </c>
      <c r="M976" s="21" t="s">
        <v>120</v>
      </c>
      <c r="N976" s="13" t="s">
        <v>106</v>
      </c>
      <c r="O976" s="23" t="n">
        <v>9.91</v>
      </c>
      <c r="P976" s="13" t="n">
        <v>1</v>
      </c>
      <c r="Q976" s="24" t="n">
        <v>46310.8865046296</v>
      </c>
      <c r="R976" s="22"/>
      <c r="S976" s="13" t="s">
        <v>164</v>
      </c>
      <c r="T976" s="13" t="str">
        <f aca="false">IF(S976="Oui",IF(R976=L976,"Identique","Changé"),"")</f>
        <v/>
      </c>
    </row>
    <row r="977" customFormat="false" ht="124.6" hidden="false" customHeight="false" outlineLevel="0" collapsed="false">
      <c r="A977" s="13" t="s">
        <v>3545</v>
      </c>
      <c r="B977" s="13" t="s">
        <v>3546</v>
      </c>
      <c r="C977" s="13" t="n">
        <v>1</v>
      </c>
      <c r="D977" s="13" t="s">
        <v>135</v>
      </c>
      <c r="E977" s="13" t="s">
        <v>1730</v>
      </c>
      <c r="F977" s="13" t="s">
        <v>2191</v>
      </c>
      <c r="G977" s="13" t="s">
        <v>1732</v>
      </c>
      <c r="H977" s="13" t="s">
        <v>101</v>
      </c>
      <c r="I977" s="21" t="s">
        <v>3547</v>
      </c>
      <c r="J977" s="21" t="s">
        <v>3548</v>
      </c>
      <c r="K977" s="21" t="s">
        <v>3549</v>
      </c>
      <c r="L977" s="22" t="s">
        <v>36</v>
      </c>
      <c r="M977" s="21" t="s">
        <v>3550</v>
      </c>
      <c r="N977" s="13" t="s">
        <v>106</v>
      </c>
      <c r="O977" s="23" t="n">
        <v>33.87</v>
      </c>
      <c r="P977" s="13" t="n">
        <v>1</v>
      </c>
      <c r="Q977" s="24" t="n">
        <v>46310.8870601852</v>
      </c>
      <c r="R977" s="22"/>
      <c r="S977" s="13" t="s">
        <v>164</v>
      </c>
      <c r="T977" s="13" t="str">
        <f aca="false">IF(S977="Oui",IF(R977=L977,"Identique","Changé"),"")</f>
        <v/>
      </c>
    </row>
    <row r="978" customFormat="false" ht="23.85" hidden="false" customHeight="false" outlineLevel="0" collapsed="false">
      <c r="A978" s="13" t="s">
        <v>3551</v>
      </c>
      <c r="B978" s="13" t="s">
        <v>3546</v>
      </c>
      <c r="C978" s="13" t="n">
        <v>2</v>
      </c>
      <c r="D978" s="13" t="s">
        <v>135</v>
      </c>
      <c r="E978" s="13" t="s">
        <v>570</v>
      </c>
      <c r="F978" s="13" t="s">
        <v>2191</v>
      </c>
      <c r="G978" s="13" t="s">
        <v>1739</v>
      </c>
      <c r="H978" s="13" t="s">
        <v>101</v>
      </c>
      <c r="I978" s="21" t="s">
        <v>3552</v>
      </c>
      <c r="J978" s="21" t="s">
        <v>1649</v>
      </c>
      <c r="K978" s="21" t="s">
        <v>3553</v>
      </c>
      <c r="L978" s="22" t="s">
        <v>36</v>
      </c>
      <c r="M978" s="21" t="s">
        <v>235</v>
      </c>
      <c r="N978" s="13" t="s">
        <v>106</v>
      </c>
      <c r="O978" s="23" t="n">
        <v>9.22</v>
      </c>
      <c r="P978" s="13" t="n">
        <v>1</v>
      </c>
      <c r="Q978" s="24" t="n">
        <v>46310.8872685185</v>
      </c>
      <c r="R978" s="22"/>
      <c r="S978" s="13" t="s">
        <v>164</v>
      </c>
      <c r="T978" s="13" t="str">
        <f aca="false">IF(S978="Oui",IF(R978=L978,"Identique","Changé"),"")</f>
        <v/>
      </c>
    </row>
    <row r="979" customFormat="false" ht="35.05" hidden="false" customHeight="false" outlineLevel="0" collapsed="false">
      <c r="A979" s="13" t="s">
        <v>3554</v>
      </c>
      <c r="B979" s="13" t="s">
        <v>3546</v>
      </c>
      <c r="C979" s="13" t="n">
        <v>3</v>
      </c>
      <c r="D979" s="13" t="s">
        <v>135</v>
      </c>
      <c r="E979" s="13" t="s">
        <v>122</v>
      </c>
      <c r="F979" s="13" t="s">
        <v>2191</v>
      </c>
      <c r="G979" s="13" t="s">
        <v>1848</v>
      </c>
      <c r="H979" s="13" t="s">
        <v>101</v>
      </c>
      <c r="I979" s="21" t="s">
        <v>3555</v>
      </c>
      <c r="J979" s="21" t="s">
        <v>2690</v>
      </c>
      <c r="K979" s="21" t="s">
        <v>3556</v>
      </c>
      <c r="L979" s="22" t="s">
        <v>36</v>
      </c>
      <c r="M979" s="21" t="s">
        <v>235</v>
      </c>
      <c r="N979" s="13" t="s">
        <v>106</v>
      </c>
      <c r="O979" s="23" t="n">
        <v>11.27</v>
      </c>
      <c r="P979" s="13" t="n">
        <v>1</v>
      </c>
      <c r="Q979" s="24" t="n">
        <v>46310.8875</v>
      </c>
      <c r="R979" s="22"/>
      <c r="S979" s="13" t="s">
        <v>164</v>
      </c>
      <c r="T979" s="13" t="str">
        <f aca="false">IF(S979="Oui",IF(R979=L979,"Identique","Changé"),"")</f>
        <v/>
      </c>
    </row>
    <row r="980" customFormat="false" ht="79.85" hidden="false" customHeight="false" outlineLevel="0" collapsed="false">
      <c r="A980" s="13" t="s">
        <v>3557</v>
      </c>
      <c r="B980" s="13" t="s">
        <v>3546</v>
      </c>
      <c r="C980" s="13" t="n">
        <v>4</v>
      </c>
      <c r="D980" s="13" t="s">
        <v>135</v>
      </c>
      <c r="E980" s="13" t="s">
        <v>1730</v>
      </c>
      <c r="F980" s="13" t="s">
        <v>2191</v>
      </c>
      <c r="G980" s="13" t="s">
        <v>1753</v>
      </c>
      <c r="H980" s="13" t="s">
        <v>101</v>
      </c>
      <c r="I980" s="21" t="s">
        <v>3558</v>
      </c>
      <c r="J980" s="21" t="s">
        <v>3559</v>
      </c>
      <c r="K980" s="21" t="s">
        <v>3560</v>
      </c>
      <c r="L980" s="22" t="s">
        <v>36</v>
      </c>
      <c r="M980" s="21" t="s">
        <v>120</v>
      </c>
      <c r="N980" s="13" t="s">
        <v>106</v>
      </c>
      <c r="O980" s="23" t="n">
        <v>13.45</v>
      </c>
      <c r="P980" s="13" t="n">
        <v>1</v>
      </c>
      <c r="Q980" s="24" t="n">
        <v>46310.8877662037</v>
      </c>
      <c r="R980" s="22"/>
      <c r="S980" s="13" t="s">
        <v>164</v>
      </c>
      <c r="T980" s="13" t="str">
        <f aca="false">IF(S980="Oui",IF(R980=L980,"Identique","Changé"),"")</f>
        <v/>
      </c>
    </row>
    <row r="981" customFormat="false" ht="23.85" hidden="false" customHeight="false" outlineLevel="0" collapsed="false">
      <c r="A981" s="13" t="s">
        <v>3561</v>
      </c>
      <c r="B981" s="13" t="s">
        <v>3546</v>
      </c>
      <c r="C981" s="13" t="n">
        <v>5</v>
      </c>
      <c r="D981" s="13" t="s">
        <v>135</v>
      </c>
      <c r="E981" s="13" t="s">
        <v>260</v>
      </c>
      <c r="F981" s="13" t="s">
        <v>2191</v>
      </c>
      <c r="G981" s="13" t="s">
        <v>261</v>
      </c>
      <c r="H981" s="13" t="s">
        <v>101</v>
      </c>
      <c r="I981" s="21" t="s">
        <v>3562</v>
      </c>
      <c r="J981" s="21" t="s">
        <v>263</v>
      </c>
      <c r="K981" s="21" t="s">
        <v>3563</v>
      </c>
      <c r="L981" s="22" t="s">
        <v>36</v>
      </c>
      <c r="M981" s="21" t="s">
        <v>120</v>
      </c>
      <c r="N981" s="13" t="s">
        <v>106</v>
      </c>
      <c r="O981" s="23" t="n">
        <v>11.45</v>
      </c>
      <c r="P981" s="13" t="n">
        <v>1</v>
      </c>
      <c r="Q981" s="24" t="n">
        <v>46310.8880092593</v>
      </c>
      <c r="R981" s="22"/>
      <c r="S981" s="13" t="s">
        <v>164</v>
      </c>
      <c r="T981" s="13" t="str">
        <f aca="false">IF(S981="Oui",IF(R981=L981,"Identique","Changé"),"")</f>
        <v/>
      </c>
    </row>
    <row r="982" customFormat="false" ht="35.05" hidden="false" customHeight="false" outlineLevel="0" collapsed="false">
      <c r="A982" s="13" t="s">
        <v>3564</v>
      </c>
      <c r="B982" s="13" t="s">
        <v>3565</v>
      </c>
      <c r="C982" s="13" t="n">
        <v>1</v>
      </c>
      <c r="D982" s="13" t="s">
        <v>97</v>
      </c>
      <c r="E982" s="13" t="s">
        <v>570</v>
      </c>
      <c r="F982" s="13" t="s">
        <v>701</v>
      </c>
      <c r="G982" s="13" t="s">
        <v>2404</v>
      </c>
      <c r="H982" s="13" t="s">
        <v>101</v>
      </c>
      <c r="I982" s="21" t="s">
        <v>3566</v>
      </c>
      <c r="J982" s="21" t="s">
        <v>2406</v>
      </c>
      <c r="K982" s="21" t="s">
        <v>3567</v>
      </c>
      <c r="L982" s="22" t="s">
        <v>36</v>
      </c>
      <c r="M982" s="21" t="s">
        <v>235</v>
      </c>
      <c r="N982" s="13" t="s">
        <v>106</v>
      </c>
      <c r="O982" s="23" t="n">
        <v>23.47</v>
      </c>
      <c r="P982" s="13" t="n">
        <v>1</v>
      </c>
      <c r="Q982" s="24" t="n">
        <v>46310.8884375</v>
      </c>
      <c r="R982" s="22"/>
      <c r="S982" s="13" t="s">
        <v>164</v>
      </c>
      <c r="T982" s="13" t="str">
        <f aca="false">IF(S982="Oui",IF(R982=L982,"Identique","Changé"),"")</f>
        <v/>
      </c>
    </row>
    <row r="983" customFormat="false" ht="35.05" hidden="false" customHeight="false" outlineLevel="0" collapsed="false">
      <c r="A983" s="13" t="s">
        <v>3568</v>
      </c>
      <c r="B983" s="13" t="s">
        <v>3565</v>
      </c>
      <c r="C983" s="13" t="n">
        <v>2</v>
      </c>
      <c r="D983" s="13" t="s">
        <v>97</v>
      </c>
      <c r="E983" s="13" t="s">
        <v>570</v>
      </c>
      <c r="F983" s="13" t="s">
        <v>701</v>
      </c>
      <c r="G983" s="13" t="s">
        <v>1790</v>
      </c>
      <c r="H983" s="13" t="s">
        <v>101</v>
      </c>
      <c r="I983" s="21" t="s">
        <v>3569</v>
      </c>
      <c r="J983" s="21" t="s">
        <v>512</v>
      </c>
      <c r="K983" s="21" t="s">
        <v>3570</v>
      </c>
      <c r="L983" s="22" t="s">
        <v>36</v>
      </c>
      <c r="M983" s="21" t="s">
        <v>120</v>
      </c>
      <c r="N983" s="13" t="s">
        <v>106</v>
      </c>
      <c r="O983" s="23" t="n">
        <v>9.22</v>
      </c>
      <c r="P983" s="13" t="n">
        <v>1</v>
      </c>
      <c r="Q983" s="24" t="n">
        <v>46310.8886458333</v>
      </c>
      <c r="R983" s="22"/>
      <c r="S983" s="13" t="s">
        <v>164</v>
      </c>
      <c r="T983" s="13" t="str">
        <f aca="false">IF(S983="Oui",IF(R983=L983,"Identique","Changé"),"")</f>
        <v/>
      </c>
    </row>
    <row r="984" customFormat="false" ht="46.25" hidden="false" customHeight="false" outlineLevel="0" collapsed="false">
      <c r="A984" s="13" t="s">
        <v>3571</v>
      </c>
      <c r="B984" s="13" t="s">
        <v>3565</v>
      </c>
      <c r="C984" s="13" t="n">
        <v>3</v>
      </c>
      <c r="D984" s="13" t="s">
        <v>97</v>
      </c>
      <c r="E984" s="13" t="s">
        <v>122</v>
      </c>
      <c r="F984" s="13" t="s">
        <v>946</v>
      </c>
      <c r="G984" s="13" t="s">
        <v>2036</v>
      </c>
      <c r="H984" s="13" t="s">
        <v>152</v>
      </c>
      <c r="I984" s="21" t="s">
        <v>3572</v>
      </c>
      <c r="J984" s="21" t="s">
        <v>154</v>
      </c>
      <c r="K984" s="21" t="s">
        <v>3573</v>
      </c>
      <c r="L984" s="22" t="s">
        <v>40</v>
      </c>
      <c r="M984" s="21" t="s">
        <v>156</v>
      </c>
      <c r="N984" s="13" t="s">
        <v>106</v>
      </c>
      <c r="O984" s="23" t="n">
        <v>15.37</v>
      </c>
      <c r="P984" s="13" t="n">
        <v>1</v>
      </c>
      <c r="Q984" s="24" t="n">
        <v>46310.8889236111</v>
      </c>
      <c r="R984" s="22"/>
      <c r="S984" s="13" t="s">
        <v>164</v>
      </c>
      <c r="T984" s="13" t="str">
        <f aca="false">IF(S984="Oui",IF(R984=L984,"Identique","Changé"),"")</f>
        <v/>
      </c>
    </row>
    <row r="985" customFormat="false" ht="46.25" hidden="false" customHeight="false" outlineLevel="0" collapsed="false">
      <c r="A985" s="13" t="s">
        <v>3574</v>
      </c>
      <c r="B985" s="13" t="s">
        <v>3565</v>
      </c>
      <c r="C985" s="13" t="n">
        <v>4</v>
      </c>
      <c r="D985" s="13" t="s">
        <v>97</v>
      </c>
      <c r="E985" s="13" t="s">
        <v>122</v>
      </c>
      <c r="F985" s="13" t="s">
        <v>946</v>
      </c>
      <c r="G985" s="13" t="s">
        <v>1744</v>
      </c>
      <c r="H985" s="13" t="s">
        <v>101</v>
      </c>
      <c r="I985" s="21" t="s">
        <v>3575</v>
      </c>
      <c r="J985" s="21" t="s">
        <v>1746</v>
      </c>
      <c r="K985" s="21" t="s">
        <v>3576</v>
      </c>
      <c r="L985" s="22" t="s">
        <v>36</v>
      </c>
      <c r="M985" s="21" t="s">
        <v>235</v>
      </c>
      <c r="N985" s="13" t="s">
        <v>106</v>
      </c>
      <c r="O985" s="23" t="n">
        <v>9.42</v>
      </c>
      <c r="P985" s="13" t="n">
        <v>1</v>
      </c>
      <c r="Q985" s="24" t="n">
        <v>46310.8891319444</v>
      </c>
      <c r="R985" s="22"/>
      <c r="S985" s="13" t="s">
        <v>164</v>
      </c>
      <c r="T985" s="13" t="str">
        <f aca="false">IF(S985="Oui",IF(R985=L985,"Identique","Changé"),"")</f>
        <v/>
      </c>
    </row>
    <row r="986" customFormat="false" ht="124.6" hidden="false" customHeight="false" outlineLevel="0" collapsed="false">
      <c r="A986" s="13" t="s">
        <v>3577</v>
      </c>
      <c r="B986" s="13" t="s">
        <v>3565</v>
      </c>
      <c r="C986" s="13" t="n">
        <v>5</v>
      </c>
      <c r="D986" s="13" t="s">
        <v>97</v>
      </c>
      <c r="E986" s="13" t="s">
        <v>1730</v>
      </c>
      <c r="F986" s="13" t="s">
        <v>701</v>
      </c>
      <c r="G986" s="13" t="s">
        <v>1732</v>
      </c>
      <c r="H986" s="13" t="s">
        <v>101</v>
      </c>
      <c r="I986" s="21" t="s">
        <v>3578</v>
      </c>
      <c r="J986" s="21" t="s">
        <v>3579</v>
      </c>
      <c r="K986" s="21" t="s">
        <v>3580</v>
      </c>
      <c r="L986" s="22" t="s">
        <v>36</v>
      </c>
      <c r="M986" s="21" t="s">
        <v>3581</v>
      </c>
      <c r="N986" s="13" t="s">
        <v>106</v>
      </c>
      <c r="O986" s="23" t="n">
        <v>9.84</v>
      </c>
      <c r="P986" s="13" t="n">
        <v>1</v>
      </c>
      <c r="Q986" s="24" t="n">
        <v>46310.8893518519</v>
      </c>
      <c r="R986" s="22"/>
      <c r="S986" s="13" t="s">
        <v>164</v>
      </c>
      <c r="T986" s="13" t="str">
        <f aca="false">IF(S986="Oui",IF(R986=L986,"Identique","Changé"),"")</f>
        <v/>
      </c>
    </row>
    <row r="987" customFormat="false" ht="46.25" hidden="false" customHeight="false" outlineLevel="0" collapsed="false">
      <c r="A987" s="13" t="s">
        <v>3582</v>
      </c>
      <c r="B987" s="13" t="s">
        <v>3583</v>
      </c>
      <c r="C987" s="13" t="n">
        <v>1</v>
      </c>
      <c r="D987" s="13" t="s">
        <v>135</v>
      </c>
      <c r="E987" s="13" t="s">
        <v>570</v>
      </c>
      <c r="F987" s="13" t="s">
        <v>2234</v>
      </c>
      <c r="G987" s="13" t="s">
        <v>1780</v>
      </c>
      <c r="H987" s="13" t="s">
        <v>101</v>
      </c>
      <c r="I987" s="21" t="s">
        <v>3584</v>
      </c>
      <c r="J987" s="21" t="s">
        <v>284</v>
      </c>
      <c r="K987" s="21" t="s">
        <v>3585</v>
      </c>
      <c r="L987" s="22" t="s">
        <v>36</v>
      </c>
      <c r="M987" s="21" t="s">
        <v>120</v>
      </c>
      <c r="N987" s="13" t="s">
        <v>106</v>
      </c>
      <c r="O987" s="23" t="n">
        <v>33.37</v>
      </c>
      <c r="P987" s="13" t="n">
        <v>1</v>
      </c>
      <c r="Q987" s="24" t="n">
        <v>46310.8899074074</v>
      </c>
      <c r="R987" s="22"/>
      <c r="S987" s="13" t="s">
        <v>164</v>
      </c>
      <c r="T987" s="13" t="str">
        <f aca="false">IF(S987="Oui",IF(R987=L987,"Identique","Changé"),"")</f>
        <v/>
      </c>
    </row>
    <row r="988" customFormat="false" ht="46.25" hidden="false" customHeight="false" outlineLevel="0" collapsed="false">
      <c r="A988" s="13" t="s">
        <v>3586</v>
      </c>
      <c r="B988" s="13" t="s">
        <v>3583</v>
      </c>
      <c r="C988" s="13" t="n">
        <v>2</v>
      </c>
      <c r="D988" s="13" t="s">
        <v>135</v>
      </c>
      <c r="E988" s="13" t="s">
        <v>122</v>
      </c>
      <c r="F988" s="13" t="s">
        <v>2234</v>
      </c>
      <c r="G988" s="13" t="s">
        <v>1833</v>
      </c>
      <c r="H988" s="13" t="s">
        <v>101</v>
      </c>
      <c r="I988" s="21" t="s">
        <v>3587</v>
      </c>
      <c r="J988" s="21" t="s">
        <v>1741</v>
      </c>
      <c r="K988" s="21" t="s">
        <v>3588</v>
      </c>
      <c r="L988" s="22" t="s">
        <v>36</v>
      </c>
      <c r="M988" s="21" t="s">
        <v>235</v>
      </c>
      <c r="N988" s="13" t="s">
        <v>106</v>
      </c>
      <c r="O988" s="23" t="n">
        <v>11.11</v>
      </c>
      <c r="P988" s="13" t="n">
        <v>1</v>
      </c>
      <c r="Q988" s="24" t="n">
        <v>46310.8901273148</v>
      </c>
      <c r="R988" s="22"/>
      <c r="S988" s="13" t="s">
        <v>164</v>
      </c>
      <c r="T988" s="13" t="str">
        <f aca="false">IF(S988="Oui",IF(R988=L988,"Identique","Changé"),"")</f>
        <v/>
      </c>
    </row>
    <row r="989" customFormat="false" ht="46.25" hidden="false" customHeight="false" outlineLevel="0" collapsed="false">
      <c r="A989" s="13" t="s">
        <v>3589</v>
      </c>
      <c r="B989" s="13" t="s">
        <v>3583</v>
      </c>
      <c r="C989" s="13" t="n">
        <v>3</v>
      </c>
      <c r="D989" s="13" t="s">
        <v>135</v>
      </c>
      <c r="E989" s="13" t="s">
        <v>122</v>
      </c>
      <c r="F989" s="13" t="s">
        <v>2234</v>
      </c>
      <c r="G989" s="13" t="s">
        <v>1819</v>
      </c>
      <c r="H989" s="13" t="s">
        <v>101</v>
      </c>
      <c r="I989" s="21" t="s">
        <v>3590</v>
      </c>
      <c r="J989" s="21" t="s">
        <v>1741</v>
      </c>
      <c r="K989" s="21" t="s">
        <v>3591</v>
      </c>
      <c r="L989" s="22" t="s">
        <v>36</v>
      </c>
      <c r="M989" s="21" t="s">
        <v>235</v>
      </c>
      <c r="N989" s="13" t="s">
        <v>106</v>
      </c>
      <c r="O989" s="23" t="n">
        <v>10.16</v>
      </c>
      <c r="P989" s="13" t="n">
        <v>1</v>
      </c>
      <c r="Q989" s="24" t="n">
        <v>46310.8903472222</v>
      </c>
      <c r="R989" s="22"/>
      <c r="S989" s="13" t="s">
        <v>164</v>
      </c>
      <c r="T989" s="13" t="str">
        <f aca="false">IF(S989="Oui",IF(R989=L989,"Identique","Changé"),"")</f>
        <v/>
      </c>
    </row>
    <row r="990" customFormat="false" ht="35.05" hidden="false" customHeight="false" outlineLevel="0" collapsed="false">
      <c r="A990" s="13" t="s">
        <v>3592</v>
      </c>
      <c r="B990" s="13" t="s">
        <v>3583</v>
      </c>
      <c r="C990" s="13" t="n">
        <v>4</v>
      </c>
      <c r="D990" s="13" t="s">
        <v>135</v>
      </c>
      <c r="E990" s="13" t="s">
        <v>570</v>
      </c>
      <c r="F990" s="13" t="s">
        <v>2234</v>
      </c>
      <c r="G990" s="13" t="s">
        <v>1790</v>
      </c>
      <c r="H990" s="13" t="s">
        <v>101</v>
      </c>
      <c r="I990" s="21" t="s">
        <v>3593</v>
      </c>
      <c r="J990" s="21" t="s">
        <v>512</v>
      </c>
      <c r="K990" s="21" t="s">
        <v>3594</v>
      </c>
      <c r="L990" s="22" t="s">
        <v>36</v>
      </c>
      <c r="M990" s="21" t="s">
        <v>120</v>
      </c>
      <c r="N990" s="13" t="s">
        <v>106</v>
      </c>
      <c r="O990" s="23" t="n">
        <v>10.8</v>
      </c>
      <c r="P990" s="13" t="n">
        <v>1</v>
      </c>
      <c r="Q990" s="24" t="n">
        <v>46310.8905787037</v>
      </c>
      <c r="R990" s="22"/>
      <c r="S990" s="13" t="s">
        <v>164</v>
      </c>
      <c r="T990" s="13" t="str">
        <f aca="false">IF(S990="Oui",IF(R990=L990,"Identique","Changé"),"")</f>
        <v/>
      </c>
    </row>
    <row r="991" customFormat="false" ht="35.05" hidden="false" customHeight="false" outlineLevel="0" collapsed="false">
      <c r="A991" s="13" t="s">
        <v>3595</v>
      </c>
      <c r="B991" s="13" t="s">
        <v>3583</v>
      </c>
      <c r="C991" s="13" t="n">
        <v>5</v>
      </c>
      <c r="D991" s="13" t="s">
        <v>135</v>
      </c>
      <c r="E991" s="13" t="s">
        <v>570</v>
      </c>
      <c r="F991" s="13" t="s">
        <v>2234</v>
      </c>
      <c r="G991" s="13" t="s">
        <v>1775</v>
      </c>
      <c r="H991" s="13" t="s">
        <v>101</v>
      </c>
      <c r="I991" s="21" t="s">
        <v>3596</v>
      </c>
      <c r="J991" s="21" t="s">
        <v>1777</v>
      </c>
      <c r="K991" s="21" t="s">
        <v>3597</v>
      </c>
      <c r="L991" s="22" t="s">
        <v>36</v>
      </c>
      <c r="M991" s="21" t="s">
        <v>120</v>
      </c>
      <c r="N991" s="13" t="s">
        <v>106</v>
      </c>
      <c r="O991" s="23" t="n">
        <v>11.16</v>
      </c>
      <c r="P991" s="13" t="n">
        <v>1</v>
      </c>
      <c r="Q991" s="24" t="n">
        <v>46310.8908217593</v>
      </c>
      <c r="R991" s="22"/>
      <c r="S991" s="13" t="s">
        <v>164</v>
      </c>
      <c r="T991" s="13" t="str">
        <f aca="false">IF(S991="Oui",IF(R991=L991,"Identique","Changé"),"")</f>
        <v/>
      </c>
    </row>
    <row r="992" customFormat="false" ht="46.25" hidden="false" customHeight="false" outlineLevel="0" collapsed="false">
      <c r="A992" s="13" t="s">
        <v>3598</v>
      </c>
      <c r="B992" s="13" t="s">
        <v>3599</v>
      </c>
      <c r="C992" s="13" t="n">
        <v>1</v>
      </c>
      <c r="D992" s="13" t="s">
        <v>97</v>
      </c>
      <c r="E992" s="13" t="s">
        <v>570</v>
      </c>
      <c r="F992" s="13" t="s">
        <v>1615</v>
      </c>
      <c r="G992" s="13" t="s">
        <v>1805</v>
      </c>
      <c r="H992" s="13" t="s">
        <v>101</v>
      </c>
      <c r="I992" s="21" t="s">
        <v>3600</v>
      </c>
      <c r="J992" s="21" t="s">
        <v>284</v>
      </c>
      <c r="K992" s="21" t="s">
        <v>3601</v>
      </c>
      <c r="L992" s="22" t="s">
        <v>36</v>
      </c>
      <c r="M992" s="21" t="s">
        <v>120</v>
      </c>
      <c r="N992" s="13" t="s">
        <v>106</v>
      </c>
      <c r="O992" s="23" t="n">
        <v>27.13</v>
      </c>
      <c r="P992" s="13" t="n">
        <v>2</v>
      </c>
      <c r="Q992" s="24" t="n">
        <v>46310.8958796296</v>
      </c>
      <c r="R992" s="22"/>
      <c r="S992" s="13" t="s">
        <v>164</v>
      </c>
      <c r="T992" s="13" t="str">
        <f aca="false">IF(S992="Oui",IF(R992=L992,"Identique","Changé"),"")</f>
        <v/>
      </c>
    </row>
    <row r="993" customFormat="false" ht="68.65" hidden="false" customHeight="false" outlineLevel="0" collapsed="false">
      <c r="A993" s="13" t="s">
        <v>3602</v>
      </c>
      <c r="B993" s="13" t="s">
        <v>3599</v>
      </c>
      <c r="C993" s="13" t="n">
        <v>2</v>
      </c>
      <c r="D993" s="13" t="s">
        <v>97</v>
      </c>
      <c r="E993" s="13" t="s">
        <v>122</v>
      </c>
      <c r="F993" s="13" t="s">
        <v>1615</v>
      </c>
      <c r="G993" s="13" t="s">
        <v>1840</v>
      </c>
      <c r="H993" s="13" t="s">
        <v>101</v>
      </c>
      <c r="I993" s="21" t="s">
        <v>3603</v>
      </c>
      <c r="J993" s="21" t="s">
        <v>284</v>
      </c>
      <c r="K993" s="21" t="s">
        <v>3604</v>
      </c>
      <c r="L993" s="22" t="s">
        <v>37</v>
      </c>
      <c r="M993" s="21" t="s">
        <v>163</v>
      </c>
      <c r="N993" s="13" t="s">
        <v>106</v>
      </c>
      <c r="O993" s="23" t="n">
        <v>20.31</v>
      </c>
      <c r="P993" s="13" t="n">
        <v>2</v>
      </c>
      <c r="Q993" s="24" t="n">
        <v>46310.8962152778</v>
      </c>
      <c r="R993" s="22"/>
      <c r="S993" s="13" t="s">
        <v>164</v>
      </c>
      <c r="T993" s="13" t="str">
        <f aca="false">IF(S993="Oui",IF(R993=L993,"Identique","Changé"),"")</f>
        <v/>
      </c>
    </row>
    <row r="994" customFormat="false" ht="46.25" hidden="false" customHeight="false" outlineLevel="0" collapsed="false">
      <c r="A994" s="13" t="s">
        <v>3605</v>
      </c>
      <c r="B994" s="13" t="s">
        <v>3599</v>
      </c>
      <c r="C994" s="13" t="n">
        <v>3</v>
      </c>
      <c r="D994" s="13" t="s">
        <v>97</v>
      </c>
      <c r="E994" s="13" t="s">
        <v>570</v>
      </c>
      <c r="F994" s="13" t="s">
        <v>296</v>
      </c>
      <c r="G994" s="13" t="s">
        <v>1800</v>
      </c>
      <c r="H994" s="13" t="s">
        <v>101</v>
      </c>
      <c r="I994" s="21" t="s">
        <v>3606</v>
      </c>
      <c r="J994" s="21" t="s">
        <v>3607</v>
      </c>
      <c r="K994" s="21" t="s">
        <v>3608</v>
      </c>
      <c r="L994" s="22" t="s">
        <v>36</v>
      </c>
      <c r="M994" s="21" t="s">
        <v>235</v>
      </c>
      <c r="N994" s="13" t="s">
        <v>106</v>
      </c>
      <c r="O994" s="23" t="n">
        <v>80.16</v>
      </c>
      <c r="P994" s="13" t="n">
        <v>2</v>
      </c>
      <c r="Q994" s="24" t="n">
        <v>46310.8972453704</v>
      </c>
      <c r="R994" s="22"/>
      <c r="S994" s="13" t="s">
        <v>164</v>
      </c>
      <c r="T994" s="13" t="str">
        <f aca="false">IF(S994="Oui",IF(R994=L994,"Identique","Changé"),"")</f>
        <v/>
      </c>
    </row>
    <row r="995" customFormat="false" ht="57.45" hidden="false" customHeight="false" outlineLevel="0" collapsed="false">
      <c r="A995" s="13" t="s">
        <v>3609</v>
      </c>
      <c r="B995" s="13" t="s">
        <v>3599</v>
      </c>
      <c r="C995" s="13" t="n">
        <v>4</v>
      </c>
      <c r="D995" s="13" t="s">
        <v>97</v>
      </c>
      <c r="E995" s="13" t="s">
        <v>570</v>
      </c>
      <c r="F995" s="13" t="s">
        <v>296</v>
      </c>
      <c r="G995" s="13" t="s">
        <v>571</v>
      </c>
      <c r="H995" s="13" t="s">
        <v>152</v>
      </c>
      <c r="I995" s="21" t="s">
        <v>3610</v>
      </c>
      <c r="J995" s="21" t="s">
        <v>154</v>
      </c>
      <c r="K995" s="21" t="s">
        <v>3611</v>
      </c>
      <c r="L995" s="22" t="s">
        <v>40</v>
      </c>
      <c r="M995" s="21" t="s">
        <v>156</v>
      </c>
      <c r="N995" s="13" t="s">
        <v>106</v>
      </c>
      <c r="O995" s="23" t="n">
        <v>10.44</v>
      </c>
      <c r="P995" s="13" t="n">
        <v>2</v>
      </c>
      <c r="Q995" s="24" t="n">
        <v>46310.8974652778</v>
      </c>
      <c r="R995" s="22"/>
      <c r="S995" s="13" t="s">
        <v>164</v>
      </c>
      <c r="T995" s="13" t="str">
        <f aca="false">IF(S995="Oui",IF(R995=L995,"Identique","Changé"),"")</f>
        <v/>
      </c>
    </row>
    <row r="996" customFormat="false" ht="46.25" hidden="false" customHeight="false" outlineLevel="0" collapsed="false">
      <c r="A996" s="13" t="s">
        <v>3612</v>
      </c>
      <c r="B996" s="13" t="s">
        <v>3599</v>
      </c>
      <c r="C996" s="13" t="n">
        <v>5</v>
      </c>
      <c r="D996" s="13" t="s">
        <v>97</v>
      </c>
      <c r="E996" s="13" t="s">
        <v>570</v>
      </c>
      <c r="F996" s="13" t="s">
        <v>1615</v>
      </c>
      <c r="G996" s="13" t="s">
        <v>2438</v>
      </c>
      <c r="H996" s="13" t="s">
        <v>101</v>
      </c>
      <c r="I996" s="21" t="s">
        <v>3613</v>
      </c>
      <c r="J996" s="21" t="s">
        <v>2406</v>
      </c>
      <c r="K996" s="21" t="s">
        <v>3614</v>
      </c>
      <c r="L996" s="22" t="s">
        <v>36</v>
      </c>
      <c r="M996" s="21" t="s">
        <v>235</v>
      </c>
      <c r="N996" s="13" t="s">
        <v>106</v>
      </c>
      <c r="O996" s="23" t="n">
        <v>9.01</v>
      </c>
      <c r="P996" s="13" t="n">
        <v>2</v>
      </c>
      <c r="Q996" s="24" t="n">
        <v>46310.8976736111</v>
      </c>
      <c r="R996" s="22"/>
      <c r="S996" s="13" t="s">
        <v>164</v>
      </c>
      <c r="T996" s="13" t="str">
        <f aca="false">IF(S996="Oui",IF(R996=L996,"Identique","Changé"),"")</f>
        <v/>
      </c>
    </row>
    <row r="997" customFormat="false" ht="57.45" hidden="false" customHeight="false" outlineLevel="0" collapsed="false">
      <c r="A997" s="13" t="s">
        <v>3615</v>
      </c>
      <c r="B997" s="13" t="s">
        <v>3616</v>
      </c>
      <c r="C997" s="13" t="n">
        <v>1</v>
      </c>
      <c r="D997" s="13" t="s">
        <v>135</v>
      </c>
      <c r="E997" s="13" t="s">
        <v>1730</v>
      </c>
      <c r="F997" s="13" t="s">
        <v>3617</v>
      </c>
      <c r="G997" s="13" t="s">
        <v>1732</v>
      </c>
      <c r="H997" s="13" t="s">
        <v>101</v>
      </c>
      <c r="I997" s="21" t="s">
        <v>3618</v>
      </c>
      <c r="J997" s="21" t="s">
        <v>3619</v>
      </c>
      <c r="K997" s="21" t="s">
        <v>3620</v>
      </c>
      <c r="L997" s="22" t="s">
        <v>36</v>
      </c>
      <c r="M997" s="21" t="s">
        <v>120</v>
      </c>
      <c r="N997" s="13" t="s">
        <v>106</v>
      </c>
      <c r="O997" s="23" t="n">
        <v>38.84</v>
      </c>
      <c r="P997" s="13" t="n">
        <v>1</v>
      </c>
      <c r="Q997" s="24" t="n">
        <v>46310.8982986111</v>
      </c>
      <c r="R997" s="22"/>
      <c r="S997" s="13" t="s">
        <v>164</v>
      </c>
      <c r="T997" s="13" t="str">
        <f aca="false">IF(S997="Oui",IF(R997=L997,"Identique","Changé"),"")</f>
        <v/>
      </c>
    </row>
    <row r="998" customFormat="false" ht="35.05" hidden="false" customHeight="false" outlineLevel="0" collapsed="false">
      <c r="A998" s="13" t="s">
        <v>3621</v>
      </c>
      <c r="B998" s="13" t="s">
        <v>3616</v>
      </c>
      <c r="C998" s="13" t="n">
        <v>2</v>
      </c>
      <c r="D998" s="13" t="s">
        <v>135</v>
      </c>
      <c r="E998" s="13" t="s">
        <v>98</v>
      </c>
      <c r="F998" s="13" t="s">
        <v>3617</v>
      </c>
      <c r="G998" s="13" t="s">
        <v>100</v>
      </c>
      <c r="H998" s="13" t="s">
        <v>101</v>
      </c>
      <c r="I998" s="21" t="s">
        <v>3622</v>
      </c>
      <c r="J998" s="21" t="s">
        <v>3480</v>
      </c>
      <c r="K998" s="21" t="s">
        <v>3623</v>
      </c>
      <c r="L998" s="22" t="s">
        <v>36</v>
      </c>
      <c r="M998" s="21" t="s">
        <v>105</v>
      </c>
      <c r="N998" s="13" t="s">
        <v>106</v>
      </c>
      <c r="O998" s="23" t="n">
        <v>11.74</v>
      </c>
      <c r="P998" s="13" t="n">
        <v>1</v>
      </c>
      <c r="Q998" s="24" t="n">
        <v>46310.8985300926</v>
      </c>
      <c r="R998" s="22"/>
      <c r="S998" s="13" t="s">
        <v>164</v>
      </c>
      <c r="T998" s="13" t="str">
        <f aca="false">IF(S998="Oui",IF(R998=L998,"Identique","Changé"),"")</f>
        <v/>
      </c>
    </row>
    <row r="999" customFormat="false" ht="46.25" hidden="false" customHeight="false" outlineLevel="0" collapsed="false">
      <c r="A999" s="13" t="s">
        <v>3624</v>
      </c>
      <c r="B999" s="13" t="s">
        <v>3616</v>
      </c>
      <c r="C999" s="13" t="n">
        <v>3</v>
      </c>
      <c r="D999" s="13" t="s">
        <v>135</v>
      </c>
      <c r="E999" s="13" t="s">
        <v>570</v>
      </c>
      <c r="F999" s="13" t="s">
        <v>3625</v>
      </c>
      <c r="G999" s="13" t="s">
        <v>1794</v>
      </c>
      <c r="H999" s="13" t="s">
        <v>101</v>
      </c>
      <c r="I999" s="21" t="s">
        <v>3626</v>
      </c>
      <c r="J999" s="21" t="s">
        <v>3627</v>
      </c>
      <c r="K999" s="21" t="s">
        <v>3628</v>
      </c>
      <c r="L999" s="22" t="s">
        <v>38</v>
      </c>
      <c r="M999" s="21" t="s">
        <v>1822</v>
      </c>
      <c r="N999" s="13" t="s">
        <v>106</v>
      </c>
      <c r="O999" s="23" t="n">
        <v>11.22</v>
      </c>
      <c r="P999" s="13" t="n">
        <v>1</v>
      </c>
      <c r="Q999" s="24" t="n">
        <v>46310.8987615741</v>
      </c>
      <c r="R999" s="22"/>
      <c r="S999" s="13" t="s">
        <v>164</v>
      </c>
      <c r="T999" s="13" t="str">
        <f aca="false">IF(S999="Oui",IF(R999=L999,"Identique","Changé"),"")</f>
        <v/>
      </c>
    </row>
    <row r="1000" customFormat="false" ht="57.45" hidden="false" customHeight="false" outlineLevel="0" collapsed="false">
      <c r="A1000" s="13" t="s">
        <v>3629</v>
      </c>
      <c r="B1000" s="13" t="s">
        <v>3616</v>
      </c>
      <c r="C1000" s="13" t="n">
        <v>4</v>
      </c>
      <c r="D1000" s="13" t="s">
        <v>135</v>
      </c>
      <c r="E1000" s="13" t="s">
        <v>570</v>
      </c>
      <c r="F1000" s="13" t="s">
        <v>3625</v>
      </c>
      <c r="G1000" s="13" t="s">
        <v>1811</v>
      </c>
      <c r="H1000" s="13" t="s">
        <v>101</v>
      </c>
      <c r="I1000" s="21" t="s">
        <v>3630</v>
      </c>
      <c r="J1000" s="21" t="s">
        <v>1649</v>
      </c>
      <c r="K1000" s="21" t="s">
        <v>3631</v>
      </c>
      <c r="L1000" s="22" t="s">
        <v>36</v>
      </c>
      <c r="M1000" s="21" t="s">
        <v>235</v>
      </c>
      <c r="N1000" s="13" t="s">
        <v>106</v>
      </c>
      <c r="O1000" s="23" t="n">
        <v>9.19</v>
      </c>
      <c r="P1000" s="13" t="n">
        <v>1</v>
      </c>
      <c r="Q1000" s="24" t="n">
        <v>46310.8989814815</v>
      </c>
      <c r="R1000" s="22"/>
      <c r="S1000" s="13" t="s">
        <v>164</v>
      </c>
      <c r="T1000" s="13" t="str">
        <f aca="false">IF(S1000="Oui",IF(R1000=L1000,"Identique","Changé"),"")</f>
        <v/>
      </c>
    </row>
    <row r="1001" customFormat="false" ht="46.25" hidden="false" customHeight="false" outlineLevel="0" collapsed="false">
      <c r="A1001" s="13" t="s">
        <v>3632</v>
      </c>
      <c r="B1001" s="13" t="s">
        <v>3616</v>
      </c>
      <c r="C1001" s="13" t="n">
        <v>5</v>
      </c>
      <c r="D1001" s="13" t="s">
        <v>135</v>
      </c>
      <c r="E1001" s="13" t="s">
        <v>122</v>
      </c>
      <c r="F1001" s="13" t="s">
        <v>3617</v>
      </c>
      <c r="G1001" s="13" t="s">
        <v>1744</v>
      </c>
      <c r="H1001" s="13" t="s">
        <v>101</v>
      </c>
      <c r="I1001" s="21" t="s">
        <v>3633</v>
      </c>
      <c r="J1001" s="21" t="s">
        <v>1741</v>
      </c>
      <c r="K1001" s="21" t="s">
        <v>3634</v>
      </c>
      <c r="L1001" s="22" t="s">
        <v>36</v>
      </c>
      <c r="M1001" s="21" t="s">
        <v>235</v>
      </c>
      <c r="N1001" s="13" t="s">
        <v>106</v>
      </c>
      <c r="O1001" s="23" t="n">
        <v>10.68</v>
      </c>
      <c r="P1001" s="13" t="n">
        <v>1</v>
      </c>
      <c r="Q1001" s="24" t="n">
        <v>46310.899212963</v>
      </c>
      <c r="R1001" s="22"/>
      <c r="S1001" s="13" t="s">
        <v>164</v>
      </c>
      <c r="T1001" s="13" t="str">
        <f aca="false">IF(S1001="Oui",IF(R1001=L1001,"Identique","Changé"),"")</f>
        <v/>
      </c>
    </row>
    <row r="1002" customFormat="false" ht="68.65" hidden="false" customHeight="false" outlineLevel="0" collapsed="false">
      <c r="A1002" s="13" t="s">
        <v>3635</v>
      </c>
      <c r="B1002" s="13" t="s">
        <v>3636</v>
      </c>
      <c r="C1002" s="13" t="n">
        <v>1</v>
      </c>
      <c r="D1002" s="13" t="s">
        <v>97</v>
      </c>
      <c r="E1002" s="13" t="s">
        <v>570</v>
      </c>
      <c r="F1002" s="13" t="s">
        <v>816</v>
      </c>
      <c r="G1002" s="13" t="s">
        <v>2442</v>
      </c>
      <c r="H1002" s="13" t="s">
        <v>101</v>
      </c>
      <c r="I1002" s="21" t="s">
        <v>3637</v>
      </c>
      <c r="J1002" s="21" t="s">
        <v>2406</v>
      </c>
      <c r="K1002" s="21" t="s">
        <v>3638</v>
      </c>
      <c r="L1002" s="22" t="s">
        <v>36</v>
      </c>
      <c r="M1002" s="21" t="s">
        <v>235</v>
      </c>
      <c r="N1002" s="13" t="s">
        <v>106</v>
      </c>
      <c r="O1002" s="23" t="n">
        <v>85.74</v>
      </c>
      <c r="P1002" s="13" t="n">
        <v>1</v>
      </c>
      <c r="Q1002" s="24" t="n">
        <v>46310.9003703704</v>
      </c>
      <c r="R1002" s="22"/>
      <c r="S1002" s="13" t="s">
        <v>164</v>
      </c>
      <c r="T1002" s="13" t="str">
        <f aca="false">IF(S1002="Oui",IF(R1002=L1002,"Identique","Changé"),"")</f>
        <v/>
      </c>
    </row>
    <row r="1003" customFormat="false" ht="46.25" hidden="false" customHeight="false" outlineLevel="0" collapsed="false">
      <c r="A1003" s="13" t="s">
        <v>3639</v>
      </c>
      <c r="B1003" s="13" t="s">
        <v>3636</v>
      </c>
      <c r="C1003" s="13" t="n">
        <v>2</v>
      </c>
      <c r="D1003" s="13" t="s">
        <v>97</v>
      </c>
      <c r="E1003" s="13" t="s">
        <v>570</v>
      </c>
      <c r="F1003" s="13" t="s">
        <v>816</v>
      </c>
      <c r="G1003" s="13" t="s">
        <v>2415</v>
      </c>
      <c r="H1003" s="13" t="s">
        <v>101</v>
      </c>
      <c r="I1003" s="21" t="s">
        <v>3640</v>
      </c>
      <c r="J1003" s="21" t="s">
        <v>2406</v>
      </c>
      <c r="K1003" s="21" t="s">
        <v>3641</v>
      </c>
      <c r="L1003" s="22" t="s">
        <v>38</v>
      </c>
      <c r="M1003" s="21" t="s">
        <v>1127</v>
      </c>
      <c r="N1003" s="13" t="s">
        <v>1085</v>
      </c>
      <c r="O1003" s="23" t="n">
        <v>10.21</v>
      </c>
      <c r="P1003" s="13" t="n">
        <v>1</v>
      </c>
      <c r="Q1003" s="24" t="n">
        <v>46310.9005902778</v>
      </c>
      <c r="R1003" s="22"/>
      <c r="S1003" s="13" t="s">
        <v>164</v>
      </c>
      <c r="T1003" s="13" t="str">
        <f aca="false">IF(S1003="Oui",IF(R1003=L1003,"Identique","Changé"),"")</f>
        <v/>
      </c>
    </row>
    <row r="1004" customFormat="false" ht="57.45" hidden="false" customHeight="false" outlineLevel="0" collapsed="false">
      <c r="A1004" s="13" t="s">
        <v>3642</v>
      </c>
      <c r="B1004" s="13" t="s">
        <v>3636</v>
      </c>
      <c r="C1004" s="13" t="n">
        <v>3</v>
      </c>
      <c r="D1004" s="13" t="s">
        <v>97</v>
      </c>
      <c r="E1004" s="13" t="s">
        <v>122</v>
      </c>
      <c r="F1004" s="13" t="s">
        <v>816</v>
      </c>
      <c r="G1004" s="13" t="s">
        <v>1905</v>
      </c>
      <c r="H1004" s="13" t="s">
        <v>101</v>
      </c>
      <c r="I1004" s="21" t="s">
        <v>3643</v>
      </c>
      <c r="J1004" s="21" t="s">
        <v>284</v>
      </c>
      <c r="K1004" s="21" t="s">
        <v>3644</v>
      </c>
      <c r="L1004" s="22" t="s">
        <v>38</v>
      </c>
      <c r="M1004" s="21" t="s">
        <v>1127</v>
      </c>
      <c r="N1004" s="13" t="s">
        <v>1085</v>
      </c>
      <c r="O1004" s="23" t="n">
        <v>21.31</v>
      </c>
      <c r="P1004" s="13" t="n">
        <v>1</v>
      </c>
      <c r="Q1004" s="24" t="n">
        <v>46310.9009375</v>
      </c>
      <c r="R1004" s="22"/>
      <c r="S1004" s="13" t="s">
        <v>164</v>
      </c>
      <c r="T1004" s="13" t="str">
        <f aca="false">IF(S1004="Oui",IF(R1004=L1004,"Identique","Changé"),"")</f>
        <v/>
      </c>
    </row>
    <row r="1005" customFormat="false" ht="46.25" hidden="false" customHeight="false" outlineLevel="0" collapsed="false">
      <c r="A1005" s="13" t="s">
        <v>3645</v>
      </c>
      <c r="B1005" s="13" t="s">
        <v>3636</v>
      </c>
      <c r="C1005" s="13" t="n">
        <v>4</v>
      </c>
      <c r="D1005" s="13" t="s">
        <v>97</v>
      </c>
      <c r="E1005" s="13" t="s">
        <v>122</v>
      </c>
      <c r="F1005" s="13" t="s">
        <v>816</v>
      </c>
      <c r="G1005" s="13" t="s">
        <v>1874</v>
      </c>
      <c r="H1005" s="13" t="s">
        <v>101</v>
      </c>
      <c r="I1005" s="21" t="s">
        <v>3646</v>
      </c>
      <c r="J1005" s="21" t="s">
        <v>1876</v>
      </c>
      <c r="K1005" s="21" t="s">
        <v>3647</v>
      </c>
      <c r="L1005" s="22" t="s">
        <v>38</v>
      </c>
      <c r="M1005" s="21" t="s">
        <v>1127</v>
      </c>
      <c r="N1005" s="13" t="s">
        <v>1085</v>
      </c>
      <c r="O1005" s="23" t="n">
        <v>10.64</v>
      </c>
      <c r="P1005" s="13" t="n">
        <v>1</v>
      </c>
      <c r="Q1005" s="24" t="n">
        <v>46310.9011574074</v>
      </c>
      <c r="R1005" s="22"/>
      <c r="S1005" s="13" t="s">
        <v>164</v>
      </c>
      <c r="T1005" s="13" t="str">
        <f aca="false">IF(S1005="Oui",IF(R1005=L1005,"Identique","Changé"),"")</f>
        <v/>
      </c>
    </row>
    <row r="1006" customFormat="false" ht="46.25" hidden="false" customHeight="false" outlineLevel="0" collapsed="false">
      <c r="A1006" s="13" t="s">
        <v>3648</v>
      </c>
      <c r="B1006" s="13" t="s">
        <v>3636</v>
      </c>
      <c r="C1006" s="13" t="n">
        <v>5</v>
      </c>
      <c r="D1006" s="13" t="s">
        <v>97</v>
      </c>
      <c r="E1006" s="13" t="s">
        <v>570</v>
      </c>
      <c r="F1006" s="13" t="s">
        <v>816</v>
      </c>
      <c r="G1006" s="13" t="s">
        <v>1794</v>
      </c>
      <c r="H1006" s="13" t="s">
        <v>101</v>
      </c>
      <c r="I1006" s="21" t="s">
        <v>3649</v>
      </c>
      <c r="J1006" s="21" t="s">
        <v>3650</v>
      </c>
      <c r="K1006" s="21" t="s">
        <v>3651</v>
      </c>
      <c r="L1006" s="22" t="s">
        <v>38</v>
      </c>
      <c r="M1006" s="21" t="s">
        <v>1127</v>
      </c>
      <c r="N1006" s="13" t="s">
        <v>1085</v>
      </c>
      <c r="O1006" s="23" t="n">
        <v>12.44</v>
      </c>
      <c r="P1006" s="13" t="n">
        <v>1</v>
      </c>
      <c r="Q1006" s="24" t="n">
        <v>46310.901400463</v>
      </c>
      <c r="R1006" s="22"/>
      <c r="S1006" s="13" t="s">
        <v>164</v>
      </c>
      <c r="T1006" s="13" t="str">
        <f aca="false">IF(S1006="Oui",IF(R1006=L1006,"Identique","Changé"),"")</f>
        <v/>
      </c>
    </row>
    <row r="1007" customFormat="false" ht="46.25" hidden="false" customHeight="false" outlineLevel="0" collapsed="false">
      <c r="A1007" s="13" t="s">
        <v>3652</v>
      </c>
      <c r="B1007" s="13" t="s">
        <v>3653</v>
      </c>
      <c r="C1007" s="13" t="n">
        <v>1</v>
      </c>
      <c r="D1007" s="13" t="s">
        <v>135</v>
      </c>
      <c r="E1007" s="13" t="s">
        <v>570</v>
      </c>
      <c r="F1007" s="13" t="s">
        <v>3654</v>
      </c>
      <c r="G1007" s="13" t="s">
        <v>1859</v>
      </c>
      <c r="H1007" s="13" t="s">
        <v>101</v>
      </c>
      <c r="I1007" s="21" t="s">
        <v>3655</v>
      </c>
      <c r="J1007" s="21" t="s">
        <v>1741</v>
      </c>
      <c r="K1007" s="21" t="s">
        <v>3656</v>
      </c>
      <c r="L1007" s="22" t="s">
        <v>36</v>
      </c>
      <c r="M1007" s="21" t="s">
        <v>235</v>
      </c>
      <c r="N1007" s="13" t="s">
        <v>106</v>
      </c>
      <c r="O1007" s="23" t="n">
        <v>31.87</v>
      </c>
      <c r="P1007" s="13" t="n">
        <v>1</v>
      </c>
      <c r="Q1007" s="24" t="n">
        <v>46310.9019560185</v>
      </c>
      <c r="R1007" s="22"/>
      <c r="S1007" s="13" t="s">
        <v>164</v>
      </c>
      <c r="T1007" s="13" t="str">
        <f aca="false">IF(S1007="Oui",IF(R1007=L1007,"Identique","Changé"),"")</f>
        <v/>
      </c>
    </row>
    <row r="1008" customFormat="false" ht="23.85" hidden="false" customHeight="false" outlineLevel="0" collapsed="false">
      <c r="A1008" s="13" t="s">
        <v>3657</v>
      </c>
      <c r="B1008" s="13" t="s">
        <v>3653</v>
      </c>
      <c r="C1008" s="13" t="n">
        <v>2</v>
      </c>
      <c r="D1008" s="13" t="s">
        <v>135</v>
      </c>
      <c r="E1008" s="13" t="s">
        <v>128</v>
      </c>
      <c r="F1008" s="13" t="s">
        <v>3654</v>
      </c>
      <c r="G1008" s="13" t="s">
        <v>193</v>
      </c>
      <c r="H1008" s="13" t="s">
        <v>101</v>
      </c>
      <c r="I1008" s="21" t="s">
        <v>3658</v>
      </c>
      <c r="J1008" s="21" t="s">
        <v>195</v>
      </c>
      <c r="K1008" s="21" t="s">
        <v>3659</v>
      </c>
      <c r="L1008" s="22" t="s">
        <v>36</v>
      </c>
      <c r="M1008" s="21" t="s">
        <v>120</v>
      </c>
      <c r="N1008" s="13" t="s">
        <v>106</v>
      </c>
      <c r="O1008" s="23" t="n">
        <v>11.49</v>
      </c>
      <c r="P1008" s="13" t="n">
        <v>1</v>
      </c>
      <c r="Q1008" s="24" t="n">
        <v>46310.9021875</v>
      </c>
      <c r="R1008" s="22"/>
      <c r="S1008" s="13" t="s">
        <v>164</v>
      </c>
      <c r="T1008" s="13" t="str">
        <f aca="false">IF(S1008="Oui",IF(R1008=L1008,"Identique","Changé"),"")</f>
        <v/>
      </c>
    </row>
    <row r="1009" customFormat="false" ht="57.45" hidden="false" customHeight="false" outlineLevel="0" collapsed="false">
      <c r="A1009" s="13" t="s">
        <v>3660</v>
      </c>
      <c r="B1009" s="13" t="s">
        <v>3653</v>
      </c>
      <c r="C1009" s="13" t="n">
        <v>3</v>
      </c>
      <c r="D1009" s="13" t="s">
        <v>135</v>
      </c>
      <c r="E1009" s="13" t="s">
        <v>570</v>
      </c>
      <c r="F1009" s="13" t="s">
        <v>3661</v>
      </c>
      <c r="G1009" s="13" t="s">
        <v>639</v>
      </c>
      <c r="H1009" s="13" t="s">
        <v>152</v>
      </c>
      <c r="I1009" s="21" t="s">
        <v>3662</v>
      </c>
      <c r="J1009" s="21" t="s">
        <v>154</v>
      </c>
      <c r="K1009" s="21" t="s">
        <v>3663</v>
      </c>
      <c r="L1009" s="22" t="s">
        <v>40</v>
      </c>
      <c r="M1009" s="21" t="s">
        <v>156</v>
      </c>
      <c r="N1009" s="13" t="s">
        <v>106</v>
      </c>
      <c r="O1009" s="23" t="n">
        <v>18.13</v>
      </c>
      <c r="P1009" s="13" t="n">
        <v>1</v>
      </c>
      <c r="Q1009" s="24" t="n">
        <v>46310.9025</v>
      </c>
      <c r="R1009" s="22"/>
      <c r="S1009" s="13" t="s">
        <v>164</v>
      </c>
      <c r="T1009" s="13" t="str">
        <f aca="false">IF(S1009="Oui",IF(R1009=L1009,"Identique","Changé"),"")</f>
        <v/>
      </c>
    </row>
    <row r="1010" customFormat="false" ht="35.05" hidden="false" customHeight="false" outlineLevel="0" collapsed="false">
      <c r="A1010" s="13" t="s">
        <v>3664</v>
      </c>
      <c r="B1010" s="13" t="s">
        <v>3653</v>
      </c>
      <c r="C1010" s="13" t="n">
        <v>4</v>
      </c>
      <c r="D1010" s="13" t="s">
        <v>135</v>
      </c>
      <c r="E1010" s="13" t="s">
        <v>570</v>
      </c>
      <c r="F1010" s="13" t="s">
        <v>3661</v>
      </c>
      <c r="G1010" s="13" t="s">
        <v>2404</v>
      </c>
      <c r="H1010" s="13" t="s">
        <v>101</v>
      </c>
      <c r="I1010" s="21" t="s">
        <v>3665</v>
      </c>
      <c r="J1010" s="21" t="s">
        <v>2406</v>
      </c>
      <c r="K1010" s="21" t="s">
        <v>3666</v>
      </c>
      <c r="L1010" s="22" t="s">
        <v>36</v>
      </c>
      <c r="M1010" s="21" t="s">
        <v>235</v>
      </c>
      <c r="N1010" s="13" t="s">
        <v>106</v>
      </c>
      <c r="O1010" s="23" t="n">
        <v>11.24</v>
      </c>
      <c r="P1010" s="13" t="n">
        <v>1</v>
      </c>
      <c r="Q1010" s="24" t="n">
        <v>46310.9027314815</v>
      </c>
      <c r="R1010" s="22"/>
      <c r="S1010" s="13" t="s">
        <v>164</v>
      </c>
      <c r="T1010" s="13" t="str">
        <f aca="false">IF(S1010="Oui",IF(R1010=L1010,"Identique","Changé"),"")</f>
        <v/>
      </c>
    </row>
    <row r="1011" customFormat="false" ht="35.05" hidden="false" customHeight="false" outlineLevel="0" collapsed="false">
      <c r="A1011" s="13" t="s">
        <v>3667</v>
      </c>
      <c r="B1011" s="13" t="s">
        <v>3653</v>
      </c>
      <c r="C1011" s="13" t="n">
        <v>5</v>
      </c>
      <c r="D1011" s="13" t="s">
        <v>135</v>
      </c>
      <c r="E1011" s="13" t="s">
        <v>114</v>
      </c>
      <c r="F1011" s="13" t="s">
        <v>3654</v>
      </c>
      <c r="G1011" s="13" t="s">
        <v>1887</v>
      </c>
      <c r="H1011" s="13" t="s">
        <v>101</v>
      </c>
      <c r="I1011" s="21" t="s">
        <v>3668</v>
      </c>
      <c r="J1011" s="21" t="s">
        <v>512</v>
      </c>
      <c r="K1011" s="21" t="s">
        <v>3669</v>
      </c>
      <c r="L1011" s="22" t="s">
        <v>36</v>
      </c>
      <c r="M1011" s="21" t="s">
        <v>120</v>
      </c>
      <c r="N1011" s="13" t="s">
        <v>106</v>
      </c>
      <c r="O1011" s="23" t="n">
        <v>10.23</v>
      </c>
      <c r="P1011" s="13" t="n">
        <v>1</v>
      </c>
      <c r="Q1011" s="24" t="n">
        <v>46310.902962963</v>
      </c>
      <c r="R1011" s="22"/>
      <c r="S1011" s="13" t="s">
        <v>164</v>
      </c>
      <c r="T1011" s="13" t="str">
        <f aca="false">IF(S1011="Oui",IF(R1011=L1011,"Identique","Changé"),"")</f>
        <v/>
      </c>
    </row>
    <row r="1012" customFormat="false" ht="35.05" hidden="false" customHeight="false" outlineLevel="0" collapsed="false">
      <c r="A1012" s="13" t="s">
        <v>3670</v>
      </c>
      <c r="B1012" s="13" t="s">
        <v>3671</v>
      </c>
      <c r="C1012" s="13" t="n">
        <v>1</v>
      </c>
      <c r="D1012" s="13" t="s">
        <v>97</v>
      </c>
      <c r="E1012" s="13" t="s">
        <v>570</v>
      </c>
      <c r="F1012" s="13" t="s">
        <v>728</v>
      </c>
      <c r="G1012" s="13" t="s">
        <v>1800</v>
      </c>
      <c r="H1012" s="13" t="s">
        <v>101</v>
      </c>
      <c r="I1012" s="21" t="s">
        <v>3672</v>
      </c>
      <c r="J1012" s="21" t="s">
        <v>3673</v>
      </c>
      <c r="K1012" s="21" t="s">
        <v>3674</v>
      </c>
      <c r="L1012" s="22" t="s">
        <v>37</v>
      </c>
      <c r="M1012" s="21" t="s">
        <v>163</v>
      </c>
      <c r="N1012" s="13" t="s">
        <v>106</v>
      </c>
      <c r="O1012" s="23" t="n">
        <v>20.25</v>
      </c>
      <c r="P1012" s="13" t="n">
        <v>1</v>
      </c>
      <c r="Q1012" s="24" t="n">
        <v>46310.9033912037</v>
      </c>
      <c r="R1012" s="22"/>
      <c r="S1012" s="13" t="s">
        <v>164</v>
      </c>
      <c r="T1012" s="13" t="str">
        <f aca="false">IF(S1012="Oui",IF(R1012=L1012,"Identique","Changé"),"")</f>
        <v/>
      </c>
    </row>
    <row r="1013" customFormat="false" ht="35.05" hidden="false" customHeight="false" outlineLevel="0" collapsed="false">
      <c r="A1013" s="13" t="s">
        <v>3675</v>
      </c>
      <c r="B1013" s="13" t="s">
        <v>3671</v>
      </c>
      <c r="C1013" s="13" t="n">
        <v>2</v>
      </c>
      <c r="D1013" s="13" t="s">
        <v>97</v>
      </c>
      <c r="E1013" s="13" t="s">
        <v>260</v>
      </c>
      <c r="F1013" s="13" t="s">
        <v>728</v>
      </c>
      <c r="G1013" s="13" t="s">
        <v>1897</v>
      </c>
      <c r="H1013" s="13" t="s">
        <v>101</v>
      </c>
      <c r="I1013" s="21" t="s">
        <v>3676</v>
      </c>
      <c r="J1013" s="21" t="s">
        <v>1899</v>
      </c>
      <c r="K1013" s="21" t="s">
        <v>3677</v>
      </c>
      <c r="L1013" s="22" t="s">
        <v>37</v>
      </c>
      <c r="M1013" s="21" t="s">
        <v>163</v>
      </c>
      <c r="N1013" s="13" t="s">
        <v>106</v>
      </c>
      <c r="O1013" s="23" t="n">
        <v>9.1</v>
      </c>
      <c r="P1013" s="13" t="n">
        <v>1</v>
      </c>
      <c r="Q1013" s="24" t="n">
        <v>46310.903599537</v>
      </c>
      <c r="R1013" s="22"/>
      <c r="S1013" s="13" t="s">
        <v>164</v>
      </c>
      <c r="T1013" s="13" t="str">
        <f aca="false">IF(S1013="Oui",IF(R1013=L1013,"Identique","Changé"),"")</f>
        <v/>
      </c>
    </row>
    <row r="1014" customFormat="false" ht="35.05" hidden="false" customHeight="false" outlineLevel="0" collapsed="false">
      <c r="A1014" s="13" t="s">
        <v>3678</v>
      </c>
      <c r="B1014" s="13" t="s">
        <v>3671</v>
      </c>
      <c r="C1014" s="13" t="n">
        <v>3</v>
      </c>
      <c r="D1014" s="13" t="s">
        <v>97</v>
      </c>
      <c r="E1014" s="13" t="s">
        <v>570</v>
      </c>
      <c r="F1014" s="13" t="s">
        <v>728</v>
      </c>
      <c r="G1014" s="13" t="s">
        <v>1785</v>
      </c>
      <c r="H1014" s="13" t="s">
        <v>101</v>
      </c>
      <c r="I1014" s="21" t="s">
        <v>3679</v>
      </c>
      <c r="J1014" s="21" t="s">
        <v>2571</v>
      </c>
      <c r="K1014" s="21" t="s">
        <v>3680</v>
      </c>
      <c r="L1014" s="22" t="s">
        <v>37</v>
      </c>
      <c r="M1014" s="21" t="s">
        <v>163</v>
      </c>
      <c r="N1014" s="13" t="s">
        <v>106</v>
      </c>
      <c r="O1014" s="23" t="n">
        <v>9.35</v>
      </c>
      <c r="P1014" s="13" t="n">
        <v>1</v>
      </c>
      <c r="Q1014" s="24" t="n">
        <v>46310.9038078704</v>
      </c>
      <c r="R1014" s="22"/>
      <c r="S1014" s="13" t="s">
        <v>164</v>
      </c>
      <c r="T1014" s="13" t="str">
        <f aca="false">IF(S1014="Oui",IF(R1014=L1014,"Identique","Changé"),"")</f>
        <v/>
      </c>
    </row>
    <row r="1015" customFormat="false" ht="23.85" hidden="false" customHeight="false" outlineLevel="0" collapsed="false">
      <c r="A1015" s="13" t="s">
        <v>3681</v>
      </c>
      <c r="B1015" s="13" t="s">
        <v>3671</v>
      </c>
      <c r="C1015" s="13" t="n">
        <v>4</v>
      </c>
      <c r="D1015" s="13" t="s">
        <v>97</v>
      </c>
      <c r="E1015" s="13" t="s">
        <v>570</v>
      </c>
      <c r="F1015" s="13" t="s">
        <v>728</v>
      </c>
      <c r="G1015" s="13" t="s">
        <v>2442</v>
      </c>
      <c r="H1015" s="13" t="s">
        <v>101</v>
      </c>
      <c r="I1015" s="21" t="s">
        <v>3682</v>
      </c>
      <c r="J1015" s="21" t="s">
        <v>2406</v>
      </c>
      <c r="K1015" s="21" t="s">
        <v>1105</v>
      </c>
      <c r="L1015" s="22" t="s">
        <v>37</v>
      </c>
      <c r="M1015" s="21" t="s">
        <v>163</v>
      </c>
      <c r="N1015" s="13" t="s">
        <v>106</v>
      </c>
      <c r="O1015" s="23" t="n">
        <v>9.4</v>
      </c>
      <c r="P1015" s="13" t="n">
        <v>1</v>
      </c>
      <c r="Q1015" s="24" t="n">
        <v>46310.9040162037</v>
      </c>
      <c r="R1015" s="22"/>
      <c r="S1015" s="13" t="s">
        <v>164</v>
      </c>
      <c r="T1015" s="13" t="str">
        <f aca="false">IF(S1015="Oui",IF(R1015=L1015,"Identique","Changé"),"")</f>
        <v/>
      </c>
    </row>
    <row r="1016" customFormat="false" ht="23.85" hidden="false" customHeight="false" outlineLevel="0" collapsed="false">
      <c r="A1016" s="13" t="s">
        <v>3683</v>
      </c>
      <c r="B1016" s="13" t="s">
        <v>3671</v>
      </c>
      <c r="C1016" s="13" t="n">
        <v>5</v>
      </c>
      <c r="D1016" s="13" t="s">
        <v>97</v>
      </c>
      <c r="E1016" s="13" t="s">
        <v>122</v>
      </c>
      <c r="F1016" s="13" t="s">
        <v>728</v>
      </c>
      <c r="G1016" s="13" t="s">
        <v>1891</v>
      </c>
      <c r="H1016" s="13" t="s">
        <v>101</v>
      </c>
      <c r="I1016" s="21" t="s">
        <v>3684</v>
      </c>
      <c r="J1016" s="21" t="s">
        <v>1741</v>
      </c>
      <c r="K1016" s="21" t="s">
        <v>1105</v>
      </c>
      <c r="L1016" s="22" t="s">
        <v>37</v>
      </c>
      <c r="M1016" s="21" t="s">
        <v>163</v>
      </c>
      <c r="N1016" s="13" t="s">
        <v>106</v>
      </c>
      <c r="O1016" s="23" t="n">
        <v>10.02</v>
      </c>
      <c r="P1016" s="13" t="n">
        <v>1</v>
      </c>
      <c r="Q1016" s="24" t="n">
        <v>46310.9042476852</v>
      </c>
      <c r="R1016" s="22"/>
      <c r="S1016" s="13" t="s">
        <v>164</v>
      </c>
      <c r="T1016" s="13" t="str">
        <f aca="false">IF(S1016="Oui",IF(R1016=L1016,"Identique","Changé"),"")</f>
        <v/>
      </c>
    </row>
    <row r="1017" customFormat="false" ht="57.45" hidden="false" customHeight="false" outlineLevel="0" collapsed="false">
      <c r="A1017" s="13" t="s">
        <v>3685</v>
      </c>
      <c r="B1017" s="13" t="s">
        <v>3686</v>
      </c>
      <c r="C1017" s="13" t="n">
        <v>1</v>
      </c>
      <c r="D1017" s="13" t="s">
        <v>135</v>
      </c>
      <c r="E1017" s="13" t="s">
        <v>570</v>
      </c>
      <c r="F1017" s="13" t="s">
        <v>2348</v>
      </c>
      <c r="G1017" s="13" t="s">
        <v>2415</v>
      </c>
      <c r="H1017" s="13" t="s">
        <v>101</v>
      </c>
      <c r="I1017" s="21" t="s">
        <v>3687</v>
      </c>
      <c r="J1017" s="21" t="s">
        <v>1741</v>
      </c>
      <c r="K1017" s="21" t="s">
        <v>3688</v>
      </c>
      <c r="L1017" s="22" t="s">
        <v>36</v>
      </c>
      <c r="M1017" s="21" t="s">
        <v>235</v>
      </c>
      <c r="N1017" s="13" t="s">
        <v>106</v>
      </c>
      <c r="O1017" s="23" t="n">
        <v>29.73</v>
      </c>
      <c r="P1017" s="13" t="n">
        <v>1</v>
      </c>
      <c r="Q1017" s="24" t="n">
        <v>46310.9047685185</v>
      </c>
      <c r="R1017" s="22"/>
      <c r="S1017" s="13" t="s">
        <v>164</v>
      </c>
      <c r="T1017" s="13" t="str">
        <f aca="false">IF(S1017="Oui",IF(R1017=L1017,"Identique","Changé"),"")</f>
        <v/>
      </c>
    </row>
    <row r="1018" customFormat="false" ht="35.05" hidden="false" customHeight="false" outlineLevel="0" collapsed="false">
      <c r="A1018" s="13" t="s">
        <v>3689</v>
      </c>
      <c r="B1018" s="13" t="s">
        <v>3686</v>
      </c>
      <c r="C1018" s="13" t="n">
        <v>2</v>
      </c>
      <c r="D1018" s="13" t="s">
        <v>135</v>
      </c>
      <c r="E1018" s="13" t="s">
        <v>158</v>
      </c>
      <c r="F1018" s="13" t="s">
        <v>2348</v>
      </c>
      <c r="G1018" s="13" t="s">
        <v>1951</v>
      </c>
      <c r="H1018" s="13" t="s">
        <v>101</v>
      </c>
      <c r="I1018" s="21" t="s">
        <v>3690</v>
      </c>
      <c r="J1018" s="21" t="s">
        <v>284</v>
      </c>
      <c r="K1018" s="21" t="s">
        <v>3691</v>
      </c>
      <c r="L1018" s="22" t="s">
        <v>36</v>
      </c>
      <c r="M1018" s="21" t="s">
        <v>120</v>
      </c>
      <c r="N1018" s="13" t="s">
        <v>106</v>
      </c>
      <c r="O1018" s="23" t="n">
        <v>10.31</v>
      </c>
      <c r="P1018" s="13" t="n">
        <v>1</v>
      </c>
      <c r="Q1018" s="24" t="n">
        <v>46310.9049884259</v>
      </c>
      <c r="R1018" s="22"/>
      <c r="S1018" s="13" t="s">
        <v>164</v>
      </c>
      <c r="T1018" s="13" t="str">
        <f aca="false">IF(S1018="Oui",IF(R1018=L1018,"Identique","Changé"),"")</f>
        <v/>
      </c>
    </row>
    <row r="1019" customFormat="false" ht="35.05" hidden="false" customHeight="false" outlineLevel="0" collapsed="false">
      <c r="A1019" s="13" t="s">
        <v>3692</v>
      </c>
      <c r="B1019" s="13" t="s">
        <v>3686</v>
      </c>
      <c r="C1019" s="13" t="n">
        <v>3</v>
      </c>
      <c r="D1019" s="13" t="s">
        <v>135</v>
      </c>
      <c r="E1019" s="13" t="s">
        <v>570</v>
      </c>
      <c r="F1019" s="13" t="s">
        <v>3693</v>
      </c>
      <c r="G1019" s="13" t="s">
        <v>2404</v>
      </c>
      <c r="H1019" s="13" t="s">
        <v>101</v>
      </c>
      <c r="I1019" s="21" t="s">
        <v>3694</v>
      </c>
      <c r="J1019" s="21" t="s">
        <v>2406</v>
      </c>
      <c r="K1019" s="21" t="s">
        <v>3695</v>
      </c>
      <c r="L1019" s="22" t="s">
        <v>36</v>
      </c>
      <c r="M1019" s="21" t="s">
        <v>235</v>
      </c>
      <c r="N1019" s="13" t="s">
        <v>106</v>
      </c>
      <c r="O1019" s="23" t="n">
        <v>9.54</v>
      </c>
      <c r="P1019" s="13" t="n">
        <v>1</v>
      </c>
      <c r="Q1019" s="24" t="n">
        <v>46310.9051967593</v>
      </c>
      <c r="R1019" s="22"/>
      <c r="S1019" s="13" t="s">
        <v>164</v>
      </c>
      <c r="T1019" s="13" t="str">
        <f aca="false">IF(S1019="Oui",IF(R1019=L1019,"Identique","Changé"),"")</f>
        <v/>
      </c>
    </row>
    <row r="1020" customFormat="false" ht="46.25" hidden="false" customHeight="false" outlineLevel="0" collapsed="false">
      <c r="A1020" s="13" t="s">
        <v>3696</v>
      </c>
      <c r="B1020" s="13" t="s">
        <v>3686</v>
      </c>
      <c r="C1020" s="13" t="n">
        <v>4</v>
      </c>
      <c r="D1020" s="13" t="s">
        <v>135</v>
      </c>
      <c r="E1020" s="13" t="s">
        <v>185</v>
      </c>
      <c r="F1020" s="13" t="s">
        <v>3693</v>
      </c>
      <c r="G1020" s="13" t="s">
        <v>380</v>
      </c>
      <c r="H1020" s="13" t="s">
        <v>152</v>
      </c>
      <c r="I1020" s="21" t="s">
        <v>3697</v>
      </c>
      <c r="J1020" s="21" t="s">
        <v>154</v>
      </c>
      <c r="K1020" s="21" t="s">
        <v>3698</v>
      </c>
      <c r="L1020" s="22" t="s">
        <v>40</v>
      </c>
      <c r="M1020" s="21" t="s">
        <v>156</v>
      </c>
      <c r="N1020" s="13" t="s">
        <v>106</v>
      </c>
      <c r="O1020" s="23" t="n">
        <v>21.57</v>
      </c>
      <c r="P1020" s="13" t="n">
        <v>1</v>
      </c>
      <c r="Q1020" s="24" t="n">
        <v>46310.9055439815</v>
      </c>
      <c r="R1020" s="22"/>
      <c r="S1020" s="13" t="s">
        <v>164</v>
      </c>
      <c r="T1020" s="13" t="str">
        <f aca="false">IF(S1020="Oui",IF(R1020=L1020,"Identique","Changé"),"")</f>
        <v/>
      </c>
    </row>
    <row r="1021" customFormat="false" ht="46.25" hidden="false" customHeight="false" outlineLevel="0" collapsed="false">
      <c r="A1021" s="13" t="s">
        <v>3699</v>
      </c>
      <c r="B1021" s="13" t="s">
        <v>3686</v>
      </c>
      <c r="C1021" s="13" t="n">
        <v>5</v>
      </c>
      <c r="D1021" s="13" t="s">
        <v>135</v>
      </c>
      <c r="E1021" s="13" t="s">
        <v>158</v>
      </c>
      <c r="F1021" s="13" t="s">
        <v>2348</v>
      </c>
      <c r="G1021" s="13" t="s">
        <v>1909</v>
      </c>
      <c r="H1021" s="13" t="s">
        <v>101</v>
      </c>
      <c r="I1021" s="21" t="s">
        <v>3700</v>
      </c>
      <c r="J1021" s="21" t="s">
        <v>284</v>
      </c>
      <c r="K1021" s="21" t="s">
        <v>3701</v>
      </c>
      <c r="L1021" s="22" t="s">
        <v>36</v>
      </c>
      <c r="M1021" s="21" t="s">
        <v>120</v>
      </c>
      <c r="N1021" s="13" t="s">
        <v>106</v>
      </c>
      <c r="O1021" s="23" t="n">
        <v>10.36</v>
      </c>
      <c r="P1021" s="13" t="n">
        <v>1</v>
      </c>
      <c r="Q1021" s="24" t="n">
        <v>46310.9057638889</v>
      </c>
      <c r="R1021" s="22"/>
      <c r="S1021" s="13" t="s">
        <v>164</v>
      </c>
      <c r="T1021" s="13" t="str">
        <f aca="false">IF(S1021="Oui",IF(R1021=L1021,"Identique","Changé"),"")</f>
        <v/>
      </c>
    </row>
    <row r="1022" customFormat="false" ht="46.25" hidden="false" customHeight="false" outlineLevel="0" collapsed="false">
      <c r="A1022" s="13" t="s">
        <v>3702</v>
      </c>
      <c r="B1022" s="13" t="s">
        <v>3703</v>
      </c>
      <c r="C1022" s="13" t="n">
        <v>1</v>
      </c>
      <c r="D1022" s="13" t="s">
        <v>97</v>
      </c>
      <c r="E1022" s="13" t="s">
        <v>570</v>
      </c>
      <c r="F1022" s="13" t="s">
        <v>215</v>
      </c>
      <c r="G1022" s="13" t="s">
        <v>1758</v>
      </c>
      <c r="H1022" s="13" t="s">
        <v>101</v>
      </c>
      <c r="I1022" s="21" t="s">
        <v>3704</v>
      </c>
      <c r="J1022" s="21" t="s">
        <v>3705</v>
      </c>
      <c r="K1022" s="21" t="s">
        <v>3706</v>
      </c>
      <c r="L1022" s="22" t="s">
        <v>36</v>
      </c>
      <c r="M1022" s="21" t="s">
        <v>235</v>
      </c>
      <c r="N1022" s="13" t="s">
        <v>106</v>
      </c>
      <c r="O1022" s="23" t="n">
        <v>43.79</v>
      </c>
      <c r="P1022" s="13" t="n">
        <v>2</v>
      </c>
      <c r="Q1022" s="24" t="n">
        <v>46310.9110300926</v>
      </c>
      <c r="R1022" s="22"/>
      <c r="S1022" s="13" t="s">
        <v>164</v>
      </c>
      <c r="T1022" s="13" t="str">
        <f aca="false">IF(S1022="Oui",IF(R1022=L1022,"Identique","Changé"),"")</f>
        <v/>
      </c>
    </row>
    <row r="1023" customFormat="false" ht="35.05" hidden="false" customHeight="false" outlineLevel="0" collapsed="false">
      <c r="A1023" s="13" t="s">
        <v>3707</v>
      </c>
      <c r="B1023" s="13" t="s">
        <v>3703</v>
      </c>
      <c r="C1023" s="13" t="n">
        <v>2</v>
      </c>
      <c r="D1023" s="13" t="s">
        <v>97</v>
      </c>
      <c r="E1023" s="13" t="s">
        <v>570</v>
      </c>
      <c r="F1023" s="13" t="s">
        <v>215</v>
      </c>
      <c r="G1023" s="13" t="s">
        <v>2438</v>
      </c>
      <c r="H1023" s="13" t="s">
        <v>101</v>
      </c>
      <c r="I1023" s="21" t="s">
        <v>3708</v>
      </c>
      <c r="J1023" s="21" t="s">
        <v>2406</v>
      </c>
      <c r="K1023" s="21" t="s">
        <v>3709</v>
      </c>
      <c r="L1023" s="22" t="s">
        <v>36</v>
      </c>
      <c r="M1023" s="21" t="s">
        <v>235</v>
      </c>
      <c r="N1023" s="13" t="s">
        <v>106</v>
      </c>
      <c r="O1023" s="23" t="n">
        <v>11.53</v>
      </c>
      <c r="P1023" s="13" t="n">
        <v>2</v>
      </c>
      <c r="Q1023" s="24" t="n">
        <v>46310.9112615741</v>
      </c>
      <c r="R1023" s="22"/>
      <c r="S1023" s="13" t="s">
        <v>164</v>
      </c>
      <c r="T1023" s="13" t="str">
        <f aca="false">IF(S1023="Oui",IF(R1023=L1023,"Identique","Changé"),"")</f>
        <v/>
      </c>
    </row>
    <row r="1024" customFormat="false" ht="23.85" hidden="false" customHeight="false" outlineLevel="0" collapsed="false">
      <c r="A1024" s="13" t="s">
        <v>3710</v>
      </c>
      <c r="B1024" s="13" t="s">
        <v>3703</v>
      </c>
      <c r="C1024" s="13" t="n">
        <v>3</v>
      </c>
      <c r="D1024" s="13" t="s">
        <v>97</v>
      </c>
      <c r="E1024" s="13" t="s">
        <v>570</v>
      </c>
      <c r="F1024" s="13" t="s">
        <v>559</v>
      </c>
      <c r="G1024" s="13" t="s">
        <v>1790</v>
      </c>
      <c r="H1024" s="13" t="s">
        <v>101</v>
      </c>
      <c r="I1024" s="21" t="s">
        <v>3711</v>
      </c>
      <c r="J1024" s="21" t="s">
        <v>512</v>
      </c>
      <c r="K1024" s="21" t="s">
        <v>3712</v>
      </c>
      <c r="L1024" s="22" t="s">
        <v>36</v>
      </c>
      <c r="M1024" s="21" t="s">
        <v>120</v>
      </c>
      <c r="N1024" s="13" t="s">
        <v>106</v>
      </c>
      <c r="O1024" s="23" t="n">
        <v>10.31</v>
      </c>
      <c r="P1024" s="13" t="n">
        <v>2</v>
      </c>
      <c r="Q1024" s="24" t="n">
        <v>46310.9114930556</v>
      </c>
      <c r="R1024" s="22"/>
      <c r="S1024" s="13" t="s">
        <v>164</v>
      </c>
      <c r="T1024" s="13" t="str">
        <f aca="false">IF(S1024="Oui",IF(R1024=L1024,"Identique","Changé"),"")</f>
        <v/>
      </c>
    </row>
    <row r="1025" customFormat="false" ht="628.35" hidden="false" customHeight="false" outlineLevel="0" collapsed="false">
      <c r="A1025" s="13" t="s">
        <v>3713</v>
      </c>
      <c r="B1025" s="13" t="s">
        <v>3703</v>
      </c>
      <c r="C1025" s="13" t="n">
        <v>4</v>
      </c>
      <c r="D1025" s="13" t="s">
        <v>97</v>
      </c>
      <c r="E1025" s="13" t="s">
        <v>1730</v>
      </c>
      <c r="F1025" s="13" t="s">
        <v>559</v>
      </c>
      <c r="G1025" s="13" t="s">
        <v>1753</v>
      </c>
      <c r="H1025" s="13" t="s">
        <v>101</v>
      </c>
      <c r="I1025" s="21" t="s">
        <v>3714</v>
      </c>
      <c r="J1025" s="21" t="s">
        <v>3715</v>
      </c>
      <c r="K1025" s="21" t="s">
        <v>3716</v>
      </c>
      <c r="L1025" s="22" t="s">
        <v>36</v>
      </c>
      <c r="M1025" s="21" t="s">
        <v>2007</v>
      </c>
      <c r="N1025" s="13" t="s">
        <v>1085</v>
      </c>
      <c r="O1025" s="23" t="n">
        <v>13.41</v>
      </c>
      <c r="P1025" s="13" t="n">
        <v>2</v>
      </c>
      <c r="Q1025" s="24" t="n">
        <v>46310.9117476852</v>
      </c>
      <c r="R1025" s="22"/>
      <c r="S1025" s="13" t="s">
        <v>164</v>
      </c>
      <c r="T1025" s="13" t="str">
        <f aca="false">IF(S1025="Oui",IF(R1025=L1025,"Identique","Changé"),"")</f>
        <v/>
      </c>
    </row>
    <row r="1026" customFormat="false" ht="35.05" hidden="false" customHeight="false" outlineLevel="0" collapsed="false">
      <c r="A1026" s="13" t="s">
        <v>3717</v>
      </c>
      <c r="B1026" s="13" t="s">
        <v>3703</v>
      </c>
      <c r="C1026" s="13" t="n">
        <v>5</v>
      </c>
      <c r="D1026" s="13" t="s">
        <v>97</v>
      </c>
      <c r="E1026" s="13" t="s">
        <v>158</v>
      </c>
      <c r="F1026" s="13" t="s">
        <v>215</v>
      </c>
      <c r="G1026" s="13" t="s">
        <v>1913</v>
      </c>
      <c r="H1026" s="13" t="s">
        <v>101</v>
      </c>
      <c r="I1026" s="21" t="s">
        <v>3718</v>
      </c>
      <c r="J1026" s="21" t="s">
        <v>512</v>
      </c>
      <c r="K1026" s="21" t="s">
        <v>3719</v>
      </c>
      <c r="L1026" s="22" t="s">
        <v>36</v>
      </c>
      <c r="M1026" s="21" t="s">
        <v>120</v>
      </c>
      <c r="N1026" s="13" t="s">
        <v>106</v>
      </c>
      <c r="O1026" s="23" t="n">
        <v>10.14</v>
      </c>
      <c r="P1026" s="13" t="n">
        <v>2</v>
      </c>
      <c r="Q1026" s="24" t="n">
        <v>46310.9119675926</v>
      </c>
      <c r="R1026" s="22"/>
      <c r="S1026" s="13" t="s">
        <v>164</v>
      </c>
      <c r="T1026" s="13" t="str">
        <f aca="false">IF(S1026="Oui",IF(R1026=L1026,"Identique","Changé"),"")</f>
        <v/>
      </c>
    </row>
    <row r="1027" customFormat="false" ht="46.25" hidden="false" customHeight="false" outlineLevel="0" collapsed="false">
      <c r="A1027" s="13" t="s">
        <v>3720</v>
      </c>
      <c r="B1027" s="13" t="s">
        <v>3721</v>
      </c>
      <c r="C1027" s="13" t="n">
        <v>1</v>
      </c>
      <c r="D1027" s="13" t="s">
        <v>135</v>
      </c>
      <c r="E1027" s="13" t="s">
        <v>570</v>
      </c>
      <c r="F1027" s="13" t="s">
        <v>2387</v>
      </c>
      <c r="G1027" s="13" t="s">
        <v>1739</v>
      </c>
      <c r="H1027" s="13" t="s">
        <v>101</v>
      </c>
      <c r="I1027" s="21" t="s">
        <v>3722</v>
      </c>
      <c r="J1027" s="21" t="s">
        <v>1649</v>
      </c>
      <c r="K1027" s="21" t="s">
        <v>3723</v>
      </c>
      <c r="L1027" s="22" t="s">
        <v>36</v>
      </c>
      <c r="M1027" s="21" t="s">
        <v>235</v>
      </c>
      <c r="N1027" s="13" t="s">
        <v>106</v>
      </c>
      <c r="O1027" s="23" t="n">
        <v>27.76</v>
      </c>
      <c r="P1027" s="13" t="n">
        <v>1</v>
      </c>
      <c r="Q1027" s="24" t="n">
        <v>46310.9124652778</v>
      </c>
      <c r="R1027" s="22"/>
      <c r="S1027" s="13" t="s">
        <v>164</v>
      </c>
      <c r="T1027" s="13" t="str">
        <f aca="false">IF(S1027="Oui",IF(R1027=L1027,"Identique","Changé"),"")</f>
        <v/>
      </c>
    </row>
    <row r="1028" customFormat="false" ht="46.25" hidden="false" customHeight="false" outlineLevel="0" collapsed="false">
      <c r="A1028" s="13" t="s">
        <v>3724</v>
      </c>
      <c r="B1028" s="13" t="s">
        <v>3721</v>
      </c>
      <c r="C1028" s="13" t="n">
        <v>2</v>
      </c>
      <c r="D1028" s="13" t="s">
        <v>135</v>
      </c>
      <c r="E1028" s="13" t="s">
        <v>570</v>
      </c>
      <c r="F1028" s="13" t="s">
        <v>2387</v>
      </c>
      <c r="G1028" s="13" t="s">
        <v>1859</v>
      </c>
      <c r="H1028" s="13" t="s">
        <v>101</v>
      </c>
      <c r="I1028" s="21" t="s">
        <v>3725</v>
      </c>
      <c r="J1028" s="21" t="s">
        <v>1741</v>
      </c>
      <c r="K1028" s="21" t="s">
        <v>3726</v>
      </c>
      <c r="L1028" s="22" t="s">
        <v>36</v>
      </c>
      <c r="M1028" s="21" t="s">
        <v>235</v>
      </c>
      <c r="N1028" s="13" t="s">
        <v>106</v>
      </c>
      <c r="O1028" s="23" t="n">
        <v>10.08</v>
      </c>
      <c r="P1028" s="13" t="n">
        <v>1</v>
      </c>
      <c r="Q1028" s="24" t="n">
        <v>46310.9126851852</v>
      </c>
      <c r="R1028" s="22"/>
      <c r="S1028" s="13" t="s">
        <v>164</v>
      </c>
      <c r="T1028" s="13" t="str">
        <f aca="false">IF(S1028="Oui",IF(R1028=L1028,"Identique","Changé"),"")</f>
        <v/>
      </c>
    </row>
    <row r="1029" customFormat="false" ht="46.25" hidden="false" customHeight="false" outlineLevel="0" collapsed="false">
      <c r="A1029" s="13" t="s">
        <v>3727</v>
      </c>
      <c r="B1029" s="13" t="s">
        <v>3721</v>
      </c>
      <c r="C1029" s="13" t="n">
        <v>3</v>
      </c>
      <c r="D1029" s="13" t="s">
        <v>135</v>
      </c>
      <c r="E1029" s="13" t="s">
        <v>570</v>
      </c>
      <c r="F1029" s="13" t="s">
        <v>2387</v>
      </c>
      <c r="G1029" s="13" t="s">
        <v>1811</v>
      </c>
      <c r="H1029" s="13" t="s">
        <v>101</v>
      </c>
      <c r="I1029" s="21" t="s">
        <v>3728</v>
      </c>
      <c r="J1029" s="21" t="s">
        <v>1741</v>
      </c>
      <c r="K1029" s="21" t="s">
        <v>3729</v>
      </c>
      <c r="L1029" s="22" t="s">
        <v>36</v>
      </c>
      <c r="M1029" s="21" t="s">
        <v>235</v>
      </c>
      <c r="N1029" s="13" t="s">
        <v>106</v>
      </c>
      <c r="O1029" s="23" t="n">
        <v>9.51</v>
      </c>
      <c r="P1029" s="13" t="n">
        <v>1</v>
      </c>
      <c r="Q1029" s="24" t="n">
        <v>46310.9129050926</v>
      </c>
      <c r="R1029" s="22"/>
      <c r="S1029" s="13" t="s">
        <v>164</v>
      </c>
      <c r="T1029" s="13" t="str">
        <f aca="false">IF(S1029="Oui",IF(R1029=L1029,"Identique","Changé"),"")</f>
        <v/>
      </c>
    </row>
    <row r="1030" customFormat="false" ht="46.25" hidden="false" customHeight="false" outlineLevel="0" collapsed="false">
      <c r="A1030" s="13" t="s">
        <v>3730</v>
      </c>
      <c r="B1030" s="13" t="s">
        <v>3721</v>
      </c>
      <c r="C1030" s="13" t="n">
        <v>4</v>
      </c>
      <c r="D1030" s="13" t="s">
        <v>135</v>
      </c>
      <c r="E1030" s="13" t="s">
        <v>570</v>
      </c>
      <c r="F1030" s="13" t="s">
        <v>2387</v>
      </c>
      <c r="G1030" s="13" t="s">
        <v>1805</v>
      </c>
      <c r="H1030" s="13" t="s">
        <v>101</v>
      </c>
      <c r="I1030" s="21" t="s">
        <v>3731</v>
      </c>
      <c r="J1030" s="21" t="s">
        <v>284</v>
      </c>
      <c r="K1030" s="21" t="s">
        <v>3732</v>
      </c>
      <c r="L1030" s="22" t="s">
        <v>36</v>
      </c>
      <c r="M1030" s="21" t="s">
        <v>120</v>
      </c>
      <c r="N1030" s="13" t="s">
        <v>106</v>
      </c>
      <c r="O1030" s="23" t="n">
        <v>10.2</v>
      </c>
      <c r="P1030" s="13" t="n">
        <v>1</v>
      </c>
      <c r="Q1030" s="24" t="n">
        <v>46310.913125</v>
      </c>
      <c r="R1030" s="22"/>
      <c r="S1030" s="13" t="s">
        <v>164</v>
      </c>
      <c r="T1030" s="13" t="str">
        <f aca="false">IF(S1030="Oui",IF(R1030=L1030,"Identique","Changé"),"")</f>
        <v/>
      </c>
    </row>
    <row r="1031" customFormat="false" ht="35.05" hidden="false" customHeight="false" outlineLevel="0" collapsed="false">
      <c r="A1031" s="13" t="s">
        <v>3733</v>
      </c>
      <c r="B1031" s="13" t="s">
        <v>3721</v>
      </c>
      <c r="C1031" s="13" t="n">
        <v>5</v>
      </c>
      <c r="D1031" s="13" t="s">
        <v>135</v>
      </c>
      <c r="E1031" s="13" t="s">
        <v>158</v>
      </c>
      <c r="F1031" s="13" t="s">
        <v>2387</v>
      </c>
      <c r="G1031" s="13" t="s">
        <v>1918</v>
      </c>
      <c r="H1031" s="13" t="s">
        <v>101</v>
      </c>
      <c r="I1031" s="21" t="s">
        <v>3734</v>
      </c>
      <c r="J1031" s="21" t="s">
        <v>284</v>
      </c>
      <c r="K1031" s="21" t="s">
        <v>3735</v>
      </c>
      <c r="L1031" s="22" t="s">
        <v>36</v>
      </c>
      <c r="M1031" s="21" t="s">
        <v>120</v>
      </c>
      <c r="N1031" s="13" t="s">
        <v>106</v>
      </c>
      <c r="O1031" s="23" t="n">
        <v>9.03</v>
      </c>
      <c r="P1031" s="13" t="n">
        <v>1</v>
      </c>
      <c r="Q1031" s="24" t="n">
        <v>46310.9133333333</v>
      </c>
      <c r="R1031" s="22"/>
      <c r="S1031" s="13" t="s">
        <v>164</v>
      </c>
      <c r="T1031" s="13" t="str">
        <f aca="false">IF(S1031="Oui",IF(R1031=L1031,"Identique","Changé"),"")</f>
        <v/>
      </c>
    </row>
    <row r="1032" customFormat="false" ht="46.25" hidden="false" customHeight="false" outlineLevel="0" collapsed="false">
      <c r="A1032" s="13" t="s">
        <v>3736</v>
      </c>
      <c r="B1032" s="13" t="s">
        <v>3737</v>
      </c>
      <c r="C1032" s="13" t="n">
        <v>1</v>
      </c>
      <c r="D1032" s="13" t="s">
        <v>97</v>
      </c>
      <c r="E1032" s="13" t="s">
        <v>128</v>
      </c>
      <c r="F1032" s="13" t="s">
        <v>115</v>
      </c>
      <c r="G1032" s="13" t="s">
        <v>129</v>
      </c>
      <c r="H1032" s="13" t="s">
        <v>101</v>
      </c>
      <c r="I1032" s="21" t="s">
        <v>3738</v>
      </c>
      <c r="J1032" s="21" t="s">
        <v>131</v>
      </c>
      <c r="K1032" s="21" t="s">
        <v>3739</v>
      </c>
      <c r="L1032" s="22" t="s">
        <v>36</v>
      </c>
      <c r="M1032" s="21" t="s">
        <v>120</v>
      </c>
      <c r="N1032" s="13" t="s">
        <v>106</v>
      </c>
      <c r="O1032" s="23" t="n">
        <v>31.17</v>
      </c>
      <c r="P1032" s="13" t="n">
        <v>1</v>
      </c>
      <c r="Q1032" s="24" t="n">
        <v>46310.9138657407</v>
      </c>
      <c r="R1032" s="22"/>
      <c r="S1032" s="13" t="s">
        <v>164</v>
      </c>
      <c r="T1032" s="13" t="str">
        <f aca="false">IF(S1032="Oui",IF(R1032=L1032,"Identique","Changé"),"")</f>
        <v/>
      </c>
    </row>
    <row r="1033" customFormat="false" ht="46.25" hidden="false" customHeight="false" outlineLevel="0" collapsed="false">
      <c r="A1033" s="13" t="s">
        <v>3740</v>
      </c>
      <c r="B1033" s="13" t="s">
        <v>3737</v>
      </c>
      <c r="C1033" s="13" t="n">
        <v>2</v>
      </c>
      <c r="D1033" s="13" t="s">
        <v>97</v>
      </c>
      <c r="E1033" s="13" t="s">
        <v>570</v>
      </c>
      <c r="F1033" s="13" t="s">
        <v>115</v>
      </c>
      <c r="G1033" s="13" t="s">
        <v>1775</v>
      </c>
      <c r="H1033" s="13" t="s">
        <v>101</v>
      </c>
      <c r="I1033" s="21" t="s">
        <v>3741</v>
      </c>
      <c r="J1033" s="21" t="s">
        <v>1777</v>
      </c>
      <c r="K1033" s="21" t="s">
        <v>3742</v>
      </c>
      <c r="L1033" s="22" t="s">
        <v>36</v>
      </c>
      <c r="M1033" s="21" t="s">
        <v>120</v>
      </c>
      <c r="N1033" s="13" t="s">
        <v>106</v>
      </c>
      <c r="O1033" s="23" t="n">
        <v>11.25</v>
      </c>
      <c r="P1033" s="13" t="n">
        <v>1</v>
      </c>
      <c r="Q1033" s="24" t="n">
        <v>46310.9140972222</v>
      </c>
      <c r="R1033" s="22"/>
      <c r="S1033" s="13" t="s">
        <v>164</v>
      </c>
      <c r="T1033" s="13" t="str">
        <f aca="false">IF(S1033="Oui",IF(R1033=L1033,"Identique","Changé"),"")</f>
        <v/>
      </c>
    </row>
    <row r="1034" customFormat="false" ht="46.25" hidden="false" customHeight="false" outlineLevel="0" collapsed="false">
      <c r="A1034" s="13" t="s">
        <v>3743</v>
      </c>
      <c r="B1034" s="13" t="s">
        <v>3737</v>
      </c>
      <c r="C1034" s="13" t="n">
        <v>3</v>
      </c>
      <c r="D1034" s="13" t="s">
        <v>97</v>
      </c>
      <c r="E1034" s="13" t="s">
        <v>98</v>
      </c>
      <c r="F1034" s="13" t="s">
        <v>1416</v>
      </c>
      <c r="G1034" s="13" t="s">
        <v>181</v>
      </c>
      <c r="H1034" s="13" t="s">
        <v>152</v>
      </c>
      <c r="I1034" s="21" t="s">
        <v>3744</v>
      </c>
      <c r="J1034" s="21" t="s">
        <v>154</v>
      </c>
      <c r="K1034" s="21" t="s">
        <v>3745</v>
      </c>
      <c r="L1034" s="22" t="s">
        <v>40</v>
      </c>
      <c r="M1034" s="21" t="s">
        <v>156</v>
      </c>
      <c r="N1034" s="13" t="s">
        <v>106</v>
      </c>
      <c r="O1034" s="23" t="n">
        <v>9.8</v>
      </c>
      <c r="P1034" s="13" t="n">
        <v>1</v>
      </c>
      <c r="Q1034" s="24" t="n">
        <v>46310.9143171296</v>
      </c>
      <c r="R1034" s="22"/>
      <c r="S1034" s="13" t="s">
        <v>164</v>
      </c>
      <c r="T1034" s="13" t="str">
        <f aca="false">IF(S1034="Oui",IF(R1034=L1034,"Identique","Changé"),"")</f>
        <v/>
      </c>
    </row>
    <row r="1035" customFormat="false" ht="57.45" hidden="false" customHeight="false" outlineLevel="0" collapsed="false">
      <c r="A1035" s="13" t="s">
        <v>3746</v>
      </c>
      <c r="B1035" s="13" t="s">
        <v>3737</v>
      </c>
      <c r="C1035" s="13" t="n">
        <v>4</v>
      </c>
      <c r="D1035" s="13" t="s">
        <v>97</v>
      </c>
      <c r="E1035" s="13" t="s">
        <v>122</v>
      </c>
      <c r="F1035" s="13" t="s">
        <v>1416</v>
      </c>
      <c r="G1035" s="13" t="s">
        <v>1833</v>
      </c>
      <c r="H1035" s="13" t="s">
        <v>101</v>
      </c>
      <c r="I1035" s="21" t="s">
        <v>3747</v>
      </c>
      <c r="J1035" s="21" t="s">
        <v>1741</v>
      </c>
      <c r="K1035" s="21" t="s">
        <v>3748</v>
      </c>
      <c r="L1035" s="22" t="s">
        <v>36</v>
      </c>
      <c r="M1035" s="21" t="s">
        <v>235</v>
      </c>
      <c r="N1035" s="13" t="s">
        <v>106</v>
      </c>
      <c r="O1035" s="23" t="n">
        <v>13</v>
      </c>
      <c r="P1035" s="13" t="n">
        <v>1</v>
      </c>
      <c r="Q1035" s="24" t="n">
        <v>46310.9145717593</v>
      </c>
      <c r="R1035" s="22"/>
      <c r="S1035" s="13" t="s">
        <v>164</v>
      </c>
      <c r="T1035" s="13" t="str">
        <f aca="false">IF(S1035="Oui",IF(R1035=L1035,"Identique","Changé"),"")</f>
        <v/>
      </c>
    </row>
    <row r="1036" customFormat="false" ht="46.25" hidden="false" customHeight="false" outlineLevel="0" collapsed="false">
      <c r="A1036" s="13" t="s">
        <v>3749</v>
      </c>
      <c r="B1036" s="13" t="s">
        <v>3737</v>
      </c>
      <c r="C1036" s="13" t="n">
        <v>5</v>
      </c>
      <c r="D1036" s="13" t="s">
        <v>97</v>
      </c>
      <c r="E1036" s="13" t="s">
        <v>570</v>
      </c>
      <c r="F1036" s="13" t="s">
        <v>115</v>
      </c>
      <c r="G1036" s="13" t="s">
        <v>1758</v>
      </c>
      <c r="H1036" s="13" t="s">
        <v>101</v>
      </c>
      <c r="I1036" s="21" t="s">
        <v>3750</v>
      </c>
      <c r="J1036" s="21" t="s">
        <v>3751</v>
      </c>
      <c r="K1036" s="21" t="s">
        <v>3752</v>
      </c>
      <c r="L1036" s="22" t="s">
        <v>36</v>
      </c>
      <c r="M1036" s="21" t="s">
        <v>235</v>
      </c>
      <c r="N1036" s="13" t="s">
        <v>106</v>
      </c>
      <c r="O1036" s="23" t="n">
        <v>11.01</v>
      </c>
      <c r="P1036" s="13" t="n">
        <v>1</v>
      </c>
      <c r="Q1036" s="24" t="n">
        <v>46310.9148032407</v>
      </c>
      <c r="R1036" s="22"/>
      <c r="S1036" s="13" t="s">
        <v>164</v>
      </c>
      <c r="T1036" s="13" t="str">
        <f aca="false">IF(S1036="Oui",IF(R1036=L1036,"Identique","Changé"),"")</f>
        <v/>
      </c>
    </row>
    <row r="1037" customFormat="false" ht="46.25" hidden="false" customHeight="false" outlineLevel="0" collapsed="false">
      <c r="A1037" s="13" t="s">
        <v>3753</v>
      </c>
      <c r="B1037" s="13" t="s">
        <v>3754</v>
      </c>
      <c r="C1037" s="13" t="n">
        <v>1</v>
      </c>
      <c r="D1037" s="13" t="s">
        <v>135</v>
      </c>
      <c r="E1037" s="13" t="s">
        <v>122</v>
      </c>
      <c r="F1037" s="13" t="s">
        <v>2427</v>
      </c>
      <c r="G1037" s="13" t="s">
        <v>1874</v>
      </c>
      <c r="H1037" s="13" t="s">
        <v>101</v>
      </c>
      <c r="I1037" s="21" t="s">
        <v>3755</v>
      </c>
      <c r="J1037" s="21" t="s">
        <v>2683</v>
      </c>
      <c r="K1037" s="21" t="s">
        <v>3756</v>
      </c>
      <c r="L1037" s="22" t="s">
        <v>36</v>
      </c>
      <c r="M1037" s="21" t="s">
        <v>120</v>
      </c>
      <c r="N1037" s="13" t="s">
        <v>106</v>
      </c>
      <c r="O1037" s="23" t="n">
        <v>22.25</v>
      </c>
      <c r="P1037" s="13" t="n">
        <v>1</v>
      </c>
      <c r="Q1037" s="24" t="n">
        <v>46310.9152314815</v>
      </c>
      <c r="R1037" s="22"/>
      <c r="S1037" s="13" t="s">
        <v>164</v>
      </c>
      <c r="T1037" s="13" t="str">
        <f aca="false">IF(S1037="Oui",IF(R1037=L1037,"Identique","Changé"),"")</f>
        <v/>
      </c>
    </row>
    <row r="1038" customFormat="false" ht="46.25" hidden="false" customHeight="false" outlineLevel="0" collapsed="false">
      <c r="A1038" s="13" t="s">
        <v>3757</v>
      </c>
      <c r="B1038" s="13" t="s">
        <v>3754</v>
      </c>
      <c r="C1038" s="13" t="n">
        <v>2</v>
      </c>
      <c r="D1038" s="13" t="s">
        <v>135</v>
      </c>
      <c r="E1038" s="13" t="s">
        <v>570</v>
      </c>
      <c r="F1038" s="13" t="s">
        <v>2427</v>
      </c>
      <c r="G1038" s="13" t="s">
        <v>1780</v>
      </c>
      <c r="H1038" s="13" t="s">
        <v>101</v>
      </c>
      <c r="I1038" s="21" t="s">
        <v>3758</v>
      </c>
      <c r="J1038" s="21" t="s">
        <v>512</v>
      </c>
      <c r="K1038" s="21" t="s">
        <v>3759</v>
      </c>
      <c r="L1038" s="22" t="s">
        <v>36</v>
      </c>
      <c r="M1038" s="21" t="s">
        <v>120</v>
      </c>
      <c r="N1038" s="13" t="s">
        <v>106</v>
      </c>
      <c r="O1038" s="23" t="n">
        <v>10.85</v>
      </c>
      <c r="P1038" s="13" t="n">
        <v>1</v>
      </c>
      <c r="Q1038" s="24" t="n">
        <v>46310.9154513889</v>
      </c>
      <c r="R1038" s="22"/>
      <c r="S1038" s="13" t="s">
        <v>164</v>
      </c>
      <c r="T1038" s="13" t="str">
        <f aca="false">IF(S1038="Oui",IF(R1038=L1038,"Identique","Changé"),"")</f>
        <v/>
      </c>
    </row>
    <row r="1039" customFormat="false" ht="35.05" hidden="false" customHeight="false" outlineLevel="0" collapsed="false">
      <c r="A1039" s="13" t="s">
        <v>3760</v>
      </c>
      <c r="B1039" s="13" t="s">
        <v>3754</v>
      </c>
      <c r="C1039" s="13" t="n">
        <v>3</v>
      </c>
      <c r="D1039" s="13" t="s">
        <v>135</v>
      </c>
      <c r="E1039" s="13" t="s">
        <v>171</v>
      </c>
      <c r="F1039" s="13" t="s">
        <v>2427</v>
      </c>
      <c r="G1039" s="13" t="s">
        <v>172</v>
      </c>
      <c r="H1039" s="13" t="s">
        <v>101</v>
      </c>
      <c r="I1039" s="21" t="s">
        <v>3761</v>
      </c>
      <c r="J1039" s="21" t="s">
        <v>174</v>
      </c>
      <c r="K1039" s="21" t="s">
        <v>3762</v>
      </c>
      <c r="L1039" s="22" t="s">
        <v>36</v>
      </c>
      <c r="M1039" s="21" t="s">
        <v>120</v>
      </c>
      <c r="N1039" s="13" t="s">
        <v>106</v>
      </c>
      <c r="O1039" s="23" t="n">
        <v>9.23</v>
      </c>
      <c r="P1039" s="13" t="n">
        <v>1</v>
      </c>
      <c r="Q1039" s="24" t="n">
        <v>46310.9156597222</v>
      </c>
      <c r="R1039" s="22"/>
      <c r="S1039" s="13" t="s">
        <v>164</v>
      </c>
      <c r="T1039" s="13" t="str">
        <f aca="false">IF(S1039="Oui",IF(R1039=L1039,"Identique","Changé"),"")</f>
        <v/>
      </c>
    </row>
    <row r="1040" customFormat="false" ht="57.45" hidden="false" customHeight="false" outlineLevel="0" collapsed="false">
      <c r="A1040" s="13" t="s">
        <v>3763</v>
      </c>
      <c r="B1040" s="13" t="s">
        <v>3754</v>
      </c>
      <c r="C1040" s="13" t="n">
        <v>4</v>
      </c>
      <c r="D1040" s="13" t="s">
        <v>135</v>
      </c>
      <c r="E1040" s="13" t="s">
        <v>122</v>
      </c>
      <c r="F1040" s="13" t="s">
        <v>2427</v>
      </c>
      <c r="G1040" s="13" t="s">
        <v>1905</v>
      </c>
      <c r="H1040" s="13" t="s">
        <v>101</v>
      </c>
      <c r="I1040" s="21" t="s">
        <v>3764</v>
      </c>
      <c r="J1040" s="21" t="s">
        <v>284</v>
      </c>
      <c r="K1040" s="21" t="s">
        <v>3765</v>
      </c>
      <c r="L1040" s="22" t="s">
        <v>36</v>
      </c>
      <c r="M1040" s="21" t="s">
        <v>120</v>
      </c>
      <c r="N1040" s="13" t="s">
        <v>106</v>
      </c>
      <c r="O1040" s="23" t="n">
        <v>22.56</v>
      </c>
      <c r="P1040" s="13" t="n">
        <v>1</v>
      </c>
      <c r="Q1040" s="24" t="n">
        <v>46310.9160300926</v>
      </c>
      <c r="R1040" s="22"/>
      <c r="S1040" s="13" t="s">
        <v>164</v>
      </c>
      <c r="T1040" s="13" t="str">
        <f aca="false">IF(S1040="Oui",IF(R1040=L1040,"Identique","Changé"),"")</f>
        <v/>
      </c>
    </row>
    <row r="1041" customFormat="false" ht="35.05" hidden="false" customHeight="false" outlineLevel="0" collapsed="false">
      <c r="A1041" s="13" t="s">
        <v>3766</v>
      </c>
      <c r="B1041" s="13" t="s">
        <v>3754</v>
      </c>
      <c r="C1041" s="13" t="n">
        <v>5</v>
      </c>
      <c r="D1041" s="13" t="s">
        <v>135</v>
      </c>
      <c r="E1041" s="13" t="s">
        <v>114</v>
      </c>
      <c r="F1041" s="13" t="s">
        <v>2427</v>
      </c>
      <c r="G1041" s="13" t="s">
        <v>1887</v>
      </c>
      <c r="H1041" s="13" t="s">
        <v>101</v>
      </c>
      <c r="I1041" s="21" t="s">
        <v>3767</v>
      </c>
      <c r="J1041" s="21" t="s">
        <v>512</v>
      </c>
      <c r="K1041" s="21" t="s">
        <v>3768</v>
      </c>
      <c r="L1041" s="22" t="s">
        <v>36</v>
      </c>
      <c r="M1041" s="21" t="s">
        <v>120</v>
      </c>
      <c r="N1041" s="13" t="s">
        <v>106</v>
      </c>
      <c r="O1041" s="23" t="n">
        <v>11.61</v>
      </c>
      <c r="P1041" s="13" t="n">
        <v>1</v>
      </c>
      <c r="Q1041" s="24" t="n">
        <v>46310.9162615741</v>
      </c>
      <c r="R1041" s="22"/>
      <c r="S1041" s="13" t="s">
        <v>164</v>
      </c>
      <c r="T1041" s="13" t="str">
        <f aca="false">IF(S1041="Oui",IF(R1041=L1041,"Identique","Changé"),"")</f>
        <v/>
      </c>
    </row>
    <row r="1042" customFormat="false" ht="102.2" hidden="false" customHeight="false" outlineLevel="0" collapsed="false">
      <c r="A1042" s="13" t="s">
        <v>3769</v>
      </c>
      <c r="B1042" s="13" t="s">
        <v>3770</v>
      </c>
      <c r="C1042" s="13" t="n">
        <v>1</v>
      </c>
      <c r="D1042" s="13" t="s">
        <v>97</v>
      </c>
      <c r="E1042" s="13" t="s">
        <v>122</v>
      </c>
      <c r="F1042" s="13" t="s">
        <v>524</v>
      </c>
      <c r="G1042" s="13" t="s">
        <v>1840</v>
      </c>
      <c r="H1042" s="13" t="s">
        <v>101</v>
      </c>
      <c r="I1042" s="21" t="s">
        <v>3771</v>
      </c>
      <c r="J1042" s="21" t="s">
        <v>284</v>
      </c>
      <c r="K1042" s="21" t="s">
        <v>3772</v>
      </c>
      <c r="L1042" s="22" t="s">
        <v>37</v>
      </c>
      <c r="M1042" s="21" t="s">
        <v>3773</v>
      </c>
      <c r="N1042" s="13" t="s">
        <v>1085</v>
      </c>
      <c r="O1042" s="23" t="n">
        <v>50.34</v>
      </c>
      <c r="P1042" s="13" t="n">
        <v>2</v>
      </c>
      <c r="Q1042" s="24" t="n">
        <v>46310.9215972222</v>
      </c>
      <c r="R1042" s="22"/>
      <c r="S1042" s="13" t="s">
        <v>164</v>
      </c>
      <c r="T1042" s="13" t="str">
        <f aca="false">IF(S1042="Oui",IF(R1042=L1042,"Identique","Changé"),"")</f>
        <v/>
      </c>
    </row>
    <row r="1043" customFormat="false" ht="46.25" hidden="false" customHeight="false" outlineLevel="0" collapsed="false">
      <c r="A1043" s="13" t="s">
        <v>3774</v>
      </c>
      <c r="B1043" s="13" t="s">
        <v>3770</v>
      </c>
      <c r="C1043" s="13" t="n">
        <v>2</v>
      </c>
      <c r="D1043" s="13" t="s">
        <v>97</v>
      </c>
      <c r="E1043" s="13" t="s">
        <v>114</v>
      </c>
      <c r="F1043" s="13" t="s">
        <v>524</v>
      </c>
      <c r="G1043" s="13" t="s">
        <v>116</v>
      </c>
      <c r="H1043" s="13" t="s">
        <v>101</v>
      </c>
      <c r="I1043" s="21" t="s">
        <v>3775</v>
      </c>
      <c r="J1043" s="21" t="s">
        <v>118</v>
      </c>
      <c r="K1043" s="21" t="s">
        <v>3776</v>
      </c>
      <c r="L1043" s="22" t="s">
        <v>36</v>
      </c>
      <c r="M1043" s="21" t="s">
        <v>120</v>
      </c>
      <c r="N1043" s="13" t="s">
        <v>106</v>
      </c>
      <c r="O1043" s="23" t="n">
        <v>9.94</v>
      </c>
      <c r="P1043" s="13" t="n">
        <v>2</v>
      </c>
      <c r="Q1043" s="24" t="n">
        <v>46310.9218055556</v>
      </c>
      <c r="R1043" s="22"/>
      <c r="S1043" s="13" t="s">
        <v>164</v>
      </c>
      <c r="T1043" s="13" t="str">
        <f aca="false">IF(S1043="Oui",IF(R1043=L1043,"Identique","Changé"),"")</f>
        <v/>
      </c>
    </row>
    <row r="1044" customFormat="false" ht="46.25" hidden="false" customHeight="false" outlineLevel="0" collapsed="false">
      <c r="A1044" s="13" t="s">
        <v>3777</v>
      </c>
      <c r="B1044" s="13" t="s">
        <v>3770</v>
      </c>
      <c r="C1044" s="13" t="n">
        <v>3</v>
      </c>
      <c r="D1044" s="13" t="s">
        <v>97</v>
      </c>
      <c r="E1044" s="13" t="s">
        <v>122</v>
      </c>
      <c r="F1044" s="13" t="s">
        <v>99</v>
      </c>
      <c r="G1044" s="13" t="s">
        <v>1891</v>
      </c>
      <c r="H1044" s="13" t="s">
        <v>101</v>
      </c>
      <c r="I1044" s="21" t="s">
        <v>3778</v>
      </c>
      <c r="J1044" s="21" t="s">
        <v>1741</v>
      </c>
      <c r="K1044" s="21" t="s">
        <v>3779</v>
      </c>
      <c r="L1044" s="22" t="s">
        <v>36</v>
      </c>
      <c r="M1044" s="21" t="s">
        <v>235</v>
      </c>
      <c r="N1044" s="13" t="s">
        <v>106</v>
      </c>
      <c r="O1044" s="23" t="n">
        <v>10.83</v>
      </c>
      <c r="P1044" s="13" t="n">
        <v>2</v>
      </c>
      <c r="Q1044" s="24" t="n">
        <v>46310.922037037</v>
      </c>
      <c r="R1044" s="22"/>
      <c r="S1044" s="13" t="s">
        <v>164</v>
      </c>
      <c r="T1044" s="13" t="str">
        <f aca="false">IF(S1044="Oui",IF(R1044=L1044,"Identique","Changé"),"")</f>
        <v/>
      </c>
    </row>
    <row r="1045" customFormat="false" ht="68.65" hidden="false" customHeight="false" outlineLevel="0" collapsed="false">
      <c r="A1045" s="13" t="s">
        <v>3780</v>
      </c>
      <c r="B1045" s="13" t="s">
        <v>3770</v>
      </c>
      <c r="C1045" s="13" t="n">
        <v>4</v>
      </c>
      <c r="D1045" s="13" t="s">
        <v>97</v>
      </c>
      <c r="E1045" s="13" t="s">
        <v>185</v>
      </c>
      <c r="F1045" s="13" t="s">
        <v>99</v>
      </c>
      <c r="G1045" s="13" t="s">
        <v>380</v>
      </c>
      <c r="H1045" s="13" t="s">
        <v>152</v>
      </c>
      <c r="I1045" s="21" t="s">
        <v>3781</v>
      </c>
      <c r="J1045" s="21" t="s">
        <v>154</v>
      </c>
      <c r="K1045" s="21" t="s">
        <v>3782</v>
      </c>
      <c r="L1045" s="22" t="s">
        <v>40</v>
      </c>
      <c r="M1045" s="21" t="s">
        <v>156</v>
      </c>
      <c r="N1045" s="13" t="s">
        <v>106</v>
      </c>
      <c r="O1045" s="23" t="n">
        <v>9.3</v>
      </c>
      <c r="P1045" s="13" t="n">
        <v>2</v>
      </c>
      <c r="Q1045" s="24" t="n">
        <v>46310.9222569445</v>
      </c>
      <c r="R1045" s="22"/>
      <c r="S1045" s="13" t="s">
        <v>164</v>
      </c>
      <c r="T1045" s="13" t="str">
        <f aca="false">IF(S1045="Oui",IF(R1045=L1045,"Identique","Changé"),"")</f>
        <v/>
      </c>
    </row>
    <row r="1046" customFormat="false" ht="46.25" hidden="false" customHeight="false" outlineLevel="0" collapsed="false">
      <c r="A1046" s="13" t="s">
        <v>3783</v>
      </c>
      <c r="B1046" s="13" t="s">
        <v>3770</v>
      </c>
      <c r="C1046" s="13" t="n">
        <v>5</v>
      </c>
      <c r="D1046" s="13" t="s">
        <v>97</v>
      </c>
      <c r="E1046" s="13" t="s">
        <v>171</v>
      </c>
      <c r="F1046" s="13" t="s">
        <v>524</v>
      </c>
      <c r="G1046" s="13" t="s">
        <v>222</v>
      </c>
      <c r="H1046" s="13" t="s">
        <v>101</v>
      </c>
      <c r="I1046" s="21" t="s">
        <v>3784</v>
      </c>
      <c r="J1046" s="21" t="s">
        <v>561</v>
      </c>
      <c r="K1046" s="21" t="s">
        <v>3785</v>
      </c>
      <c r="L1046" s="22" t="s">
        <v>36</v>
      </c>
      <c r="M1046" s="21" t="s">
        <v>120</v>
      </c>
      <c r="N1046" s="13" t="s">
        <v>106</v>
      </c>
      <c r="O1046" s="23" t="n">
        <v>15.76</v>
      </c>
      <c r="P1046" s="13" t="n">
        <v>2</v>
      </c>
      <c r="Q1046" s="24" t="n">
        <v>46310.9225462963</v>
      </c>
      <c r="R1046" s="22"/>
      <c r="S1046" s="13" t="s">
        <v>164</v>
      </c>
      <c r="T1046" s="13" t="str">
        <f aca="false">IF(S1046="Oui",IF(R1046=L1046,"Identique","Changé"),"")</f>
        <v/>
      </c>
    </row>
    <row r="1047" customFormat="false" ht="46.25" hidden="false" customHeight="false" outlineLevel="0" collapsed="false">
      <c r="A1047" s="13" t="s">
        <v>3786</v>
      </c>
      <c r="B1047" s="13" t="s">
        <v>3787</v>
      </c>
      <c r="C1047" s="13" t="n">
        <v>1</v>
      </c>
      <c r="D1047" s="13" t="s">
        <v>135</v>
      </c>
      <c r="E1047" s="13" t="s">
        <v>122</v>
      </c>
      <c r="F1047" s="13" t="s">
        <v>3788</v>
      </c>
      <c r="G1047" s="13" t="s">
        <v>1848</v>
      </c>
      <c r="H1047" s="13" t="s">
        <v>101</v>
      </c>
      <c r="I1047" s="21" t="s">
        <v>3789</v>
      </c>
      <c r="J1047" s="21" t="s">
        <v>3790</v>
      </c>
      <c r="K1047" s="21" t="s">
        <v>3791</v>
      </c>
      <c r="L1047" s="22" t="s">
        <v>36</v>
      </c>
      <c r="M1047" s="21" t="s">
        <v>235</v>
      </c>
      <c r="N1047" s="13" t="s">
        <v>106</v>
      </c>
      <c r="O1047" s="23" t="n">
        <v>36.35</v>
      </c>
      <c r="P1047" s="13" t="n">
        <v>1</v>
      </c>
      <c r="Q1047" s="24" t="n">
        <v>46310.9231481482</v>
      </c>
      <c r="R1047" s="22"/>
      <c r="S1047" s="13" t="s">
        <v>164</v>
      </c>
      <c r="T1047" s="13" t="str">
        <f aca="false">IF(S1047="Oui",IF(R1047=L1047,"Identique","Changé"),"")</f>
        <v/>
      </c>
    </row>
    <row r="1048" customFormat="false" ht="35.05" hidden="false" customHeight="false" outlineLevel="0" collapsed="false">
      <c r="A1048" s="13" t="s">
        <v>3792</v>
      </c>
      <c r="B1048" s="13" t="s">
        <v>3787</v>
      </c>
      <c r="C1048" s="13" t="n">
        <v>2</v>
      </c>
      <c r="D1048" s="13" t="s">
        <v>135</v>
      </c>
      <c r="E1048" s="13" t="s">
        <v>122</v>
      </c>
      <c r="F1048" s="13" t="s">
        <v>3788</v>
      </c>
      <c r="G1048" s="13" t="s">
        <v>1395</v>
      </c>
      <c r="H1048" s="13" t="s">
        <v>101</v>
      </c>
      <c r="I1048" s="21" t="s">
        <v>3793</v>
      </c>
      <c r="J1048" s="21" t="s">
        <v>512</v>
      </c>
      <c r="K1048" s="21" t="s">
        <v>3794</v>
      </c>
      <c r="L1048" s="22" t="s">
        <v>36</v>
      </c>
      <c r="M1048" s="21" t="s">
        <v>1398</v>
      </c>
      <c r="N1048" s="13" t="s">
        <v>1085</v>
      </c>
      <c r="O1048" s="23" t="n">
        <v>10.48</v>
      </c>
      <c r="P1048" s="13" t="n">
        <v>1</v>
      </c>
      <c r="Q1048" s="24" t="n">
        <v>46310.9233796296</v>
      </c>
      <c r="R1048" s="22"/>
      <c r="S1048" s="13" t="s">
        <v>164</v>
      </c>
      <c r="T1048" s="13" t="str">
        <f aca="false">IF(S1048="Oui",IF(R1048=L1048,"Identique","Changé"),"")</f>
        <v/>
      </c>
    </row>
    <row r="1049" customFormat="false" ht="46.25" hidden="false" customHeight="false" outlineLevel="0" collapsed="false">
      <c r="A1049" s="13" t="s">
        <v>3795</v>
      </c>
      <c r="B1049" s="13" t="s">
        <v>3787</v>
      </c>
      <c r="C1049" s="13" t="n">
        <v>3</v>
      </c>
      <c r="D1049" s="13" t="s">
        <v>135</v>
      </c>
      <c r="E1049" s="13" t="s">
        <v>570</v>
      </c>
      <c r="F1049" s="13" t="s">
        <v>3796</v>
      </c>
      <c r="G1049" s="13" t="s">
        <v>1785</v>
      </c>
      <c r="H1049" s="13" t="s">
        <v>101</v>
      </c>
      <c r="I1049" s="21" t="s">
        <v>3797</v>
      </c>
      <c r="J1049" s="21" t="s">
        <v>1741</v>
      </c>
      <c r="K1049" s="21" t="s">
        <v>3798</v>
      </c>
      <c r="L1049" s="22" t="s">
        <v>36</v>
      </c>
      <c r="M1049" s="21" t="s">
        <v>235</v>
      </c>
      <c r="N1049" s="13" t="s">
        <v>106</v>
      </c>
      <c r="O1049" s="23" t="n">
        <v>17.88</v>
      </c>
      <c r="P1049" s="13" t="n">
        <v>1</v>
      </c>
      <c r="Q1049" s="24" t="n">
        <v>46310.9236921296</v>
      </c>
      <c r="R1049" s="22"/>
      <c r="S1049" s="13" t="s">
        <v>164</v>
      </c>
      <c r="T1049" s="13" t="str">
        <f aca="false">IF(S1049="Oui",IF(R1049=L1049,"Identique","Changé"),"")</f>
        <v/>
      </c>
    </row>
    <row r="1050" customFormat="false" ht="35.05" hidden="false" customHeight="false" outlineLevel="0" collapsed="false">
      <c r="A1050" s="13" t="s">
        <v>3799</v>
      </c>
      <c r="B1050" s="13" t="s">
        <v>3787</v>
      </c>
      <c r="C1050" s="13" t="n">
        <v>4</v>
      </c>
      <c r="D1050" s="13" t="s">
        <v>135</v>
      </c>
      <c r="E1050" s="13" t="s">
        <v>570</v>
      </c>
      <c r="F1050" s="13" t="s">
        <v>3796</v>
      </c>
      <c r="G1050" s="13" t="s">
        <v>1794</v>
      </c>
      <c r="H1050" s="13" t="s">
        <v>101</v>
      </c>
      <c r="I1050" s="21" t="s">
        <v>3800</v>
      </c>
      <c r="J1050" s="21" t="s">
        <v>1741</v>
      </c>
      <c r="K1050" s="21" t="s">
        <v>3801</v>
      </c>
      <c r="L1050" s="22" t="s">
        <v>38</v>
      </c>
      <c r="M1050" s="21" t="s">
        <v>1822</v>
      </c>
      <c r="N1050" s="13" t="s">
        <v>106</v>
      </c>
      <c r="O1050" s="23" t="n">
        <v>11.25</v>
      </c>
      <c r="P1050" s="13" t="n">
        <v>1</v>
      </c>
      <c r="Q1050" s="24" t="n">
        <v>46310.9239236111</v>
      </c>
      <c r="R1050" s="22"/>
      <c r="S1050" s="13" t="s">
        <v>164</v>
      </c>
      <c r="T1050" s="13" t="str">
        <f aca="false">IF(S1050="Oui",IF(R1050=L1050,"Identique","Changé"),"")</f>
        <v/>
      </c>
    </row>
    <row r="1051" customFormat="false" ht="46.25" hidden="false" customHeight="false" outlineLevel="0" collapsed="false">
      <c r="A1051" s="13" t="s">
        <v>3802</v>
      </c>
      <c r="B1051" s="13" t="s">
        <v>3787</v>
      </c>
      <c r="C1051" s="13" t="n">
        <v>5</v>
      </c>
      <c r="D1051" s="13" t="s">
        <v>135</v>
      </c>
      <c r="E1051" s="13" t="s">
        <v>122</v>
      </c>
      <c r="F1051" s="13" t="s">
        <v>3788</v>
      </c>
      <c r="G1051" s="13" t="s">
        <v>1819</v>
      </c>
      <c r="H1051" s="13" t="s">
        <v>101</v>
      </c>
      <c r="I1051" s="21" t="s">
        <v>3803</v>
      </c>
      <c r="J1051" s="21" t="s">
        <v>1741</v>
      </c>
      <c r="K1051" s="21" t="s">
        <v>3804</v>
      </c>
      <c r="L1051" s="22" t="s">
        <v>36</v>
      </c>
      <c r="M1051" s="21" t="s">
        <v>235</v>
      </c>
      <c r="N1051" s="13" t="s">
        <v>106</v>
      </c>
      <c r="O1051" s="23" t="n">
        <v>10.09</v>
      </c>
      <c r="P1051" s="13" t="n">
        <v>1</v>
      </c>
      <c r="Q1051" s="24" t="n">
        <v>46310.9241550926</v>
      </c>
      <c r="R1051" s="22"/>
      <c r="S1051" s="13" t="s">
        <v>164</v>
      </c>
      <c r="T1051" s="13" t="str">
        <f aca="false">IF(S1051="Oui",IF(R1051=L1051,"Identique","Changé"),"")</f>
        <v/>
      </c>
    </row>
    <row r="1052" customFormat="false" ht="57.45" hidden="false" customHeight="false" outlineLevel="0" collapsed="false">
      <c r="A1052" s="13" t="s">
        <v>3805</v>
      </c>
      <c r="B1052" s="13" t="s">
        <v>3806</v>
      </c>
      <c r="C1052" s="13" t="n">
        <v>1</v>
      </c>
      <c r="D1052" s="13" t="s">
        <v>97</v>
      </c>
      <c r="E1052" s="13" t="s">
        <v>570</v>
      </c>
      <c r="F1052" s="13" t="s">
        <v>339</v>
      </c>
      <c r="G1052" s="13" t="s">
        <v>1800</v>
      </c>
      <c r="H1052" s="13" t="s">
        <v>101</v>
      </c>
      <c r="I1052" s="21" t="s">
        <v>3807</v>
      </c>
      <c r="J1052" s="21" t="s">
        <v>3808</v>
      </c>
      <c r="K1052" s="21" t="s">
        <v>3809</v>
      </c>
      <c r="L1052" s="22" t="s">
        <v>36</v>
      </c>
      <c r="M1052" s="21" t="s">
        <v>235</v>
      </c>
      <c r="N1052" s="13" t="s">
        <v>106</v>
      </c>
      <c r="O1052" s="23" t="n">
        <v>33.4</v>
      </c>
      <c r="P1052" s="13" t="n">
        <v>1</v>
      </c>
      <c r="Q1052" s="24" t="n">
        <v>46310.9247106482</v>
      </c>
      <c r="R1052" s="22"/>
      <c r="S1052" s="13" t="s">
        <v>164</v>
      </c>
      <c r="T1052" s="13" t="str">
        <f aca="false">IF(S1052="Oui",IF(R1052=L1052,"Identique","Changé"),"")</f>
        <v/>
      </c>
    </row>
    <row r="1053" customFormat="false" ht="46.25" hidden="false" customHeight="false" outlineLevel="0" collapsed="false">
      <c r="A1053" s="13" t="s">
        <v>3810</v>
      </c>
      <c r="B1053" s="13" t="s">
        <v>3806</v>
      </c>
      <c r="C1053" s="13" t="n">
        <v>2</v>
      </c>
      <c r="D1053" s="13" t="s">
        <v>97</v>
      </c>
      <c r="E1053" s="13" t="s">
        <v>122</v>
      </c>
      <c r="F1053" s="13" t="s">
        <v>339</v>
      </c>
      <c r="G1053" s="13" t="s">
        <v>1744</v>
      </c>
      <c r="H1053" s="13" t="s">
        <v>101</v>
      </c>
      <c r="I1053" s="21" t="s">
        <v>3811</v>
      </c>
      <c r="J1053" s="21" t="s">
        <v>3422</v>
      </c>
      <c r="K1053" s="21" t="s">
        <v>3812</v>
      </c>
      <c r="L1053" s="22" t="s">
        <v>36</v>
      </c>
      <c r="M1053" s="21" t="s">
        <v>235</v>
      </c>
      <c r="N1053" s="13" t="s">
        <v>106</v>
      </c>
      <c r="O1053" s="23" t="n">
        <v>10.2</v>
      </c>
      <c r="P1053" s="13" t="n">
        <v>1</v>
      </c>
      <c r="Q1053" s="24" t="n">
        <v>46310.9249305556</v>
      </c>
      <c r="R1053" s="22"/>
      <c r="S1053" s="13" t="s">
        <v>164</v>
      </c>
      <c r="T1053" s="13" t="str">
        <f aca="false">IF(S1053="Oui",IF(R1053=L1053,"Identique","Changé"),"")</f>
        <v/>
      </c>
    </row>
    <row r="1054" customFormat="false" ht="46.25" hidden="false" customHeight="false" outlineLevel="0" collapsed="false">
      <c r="A1054" s="13" t="s">
        <v>3813</v>
      </c>
      <c r="B1054" s="13" t="s">
        <v>3806</v>
      </c>
      <c r="C1054" s="13" t="n">
        <v>3</v>
      </c>
      <c r="D1054" s="13" t="s">
        <v>97</v>
      </c>
      <c r="E1054" s="13" t="s">
        <v>260</v>
      </c>
      <c r="F1054" s="13" t="s">
        <v>339</v>
      </c>
      <c r="G1054" s="13" t="s">
        <v>1897</v>
      </c>
      <c r="H1054" s="13" t="s">
        <v>101</v>
      </c>
      <c r="I1054" s="21" t="s">
        <v>3814</v>
      </c>
      <c r="J1054" s="21" t="s">
        <v>1899</v>
      </c>
      <c r="K1054" s="21" t="s">
        <v>3815</v>
      </c>
      <c r="L1054" s="22" t="s">
        <v>36</v>
      </c>
      <c r="M1054" s="21" t="s">
        <v>120</v>
      </c>
      <c r="N1054" s="13" t="s">
        <v>106</v>
      </c>
      <c r="O1054" s="23" t="n">
        <v>10.12</v>
      </c>
      <c r="P1054" s="13" t="n">
        <v>1</v>
      </c>
      <c r="Q1054" s="24" t="n">
        <v>46310.925150463</v>
      </c>
      <c r="R1054" s="22"/>
      <c r="S1054" s="13" t="s">
        <v>164</v>
      </c>
      <c r="T1054" s="13" t="str">
        <f aca="false">IF(S1054="Oui",IF(R1054=L1054,"Identique","Changé"),"")</f>
        <v/>
      </c>
    </row>
    <row r="1055" customFormat="false" ht="135.8" hidden="false" customHeight="false" outlineLevel="0" collapsed="false">
      <c r="A1055" s="13" t="s">
        <v>3816</v>
      </c>
      <c r="B1055" s="13" t="s">
        <v>3806</v>
      </c>
      <c r="C1055" s="13" t="n">
        <v>4</v>
      </c>
      <c r="D1055" s="13" t="s">
        <v>97</v>
      </c>
      <c r="E1055" s="13" t="s">
        <v>1730</v>
      </c>
      <c r="F1055" s="13" t="s">
        <v>339</v>
      </c>
      <c r="G1055" s="13" t="s">
        <v>1732</v>
      </c>
      <c r="H1055" s="13" t="s">
        <v>101</v>
      </c>
      <c r="I1055" s="21" t="s">
        <v>3817</v>
      </c>
      <c r="J1055" s="21" t="s">
        <v>3818</v>
      </c>
      <c r="K1055" s="21" t="s">
        <v>3819</v>
      </c>
      <c r="L1055" s="22" t="s">
        <v>36</v>
      </c>
      <c r="M1055" s="21" t="s">
        <v>3581</v>
      </c>
      <c r="N1055" s="13" t="s">
        <v>106</v>
      </c>
      <c r="O1055" s="23" t="n">
        <v>10.23</v>
      </c>
      <c r="P1055" s="13" t="n">
        <v>1</v>
      </c>
      <c r="Q1055" s="24" t="n">
        <v>46310.9253819444</v>
      </c>
      <c r="R1055" s="22"/>
      <c r="S1055" s="13" t="s">
        <v>164</v>
      </c>
      <c r="T1055" s="13" t="str">
        <f aca="false">IF(S1055="Oui",IF(R1055=L1055,"Identique","Changé"),"")</f>
        <v/>
      </c>
    </row>
    <row r="1056" customFormat="false" ht="46.25" hidden="false" customHeight="false" outlineLevel="0" collapsed="false">
      <c r="A1056" s="13" t="s">
        <v>3820</v>
      </c>
      <c r="B1056" s="13" t="s">
        <v>3806</v>
      </c>
      <c r="C1056" s="13" t="n">
        <v>5</v>
      </c>
      <c r="D1056" s="13" t="s">
        <v>97</v>
      </c>
      <c r="E1056" s="13" t="s">
        <v>98</v>
      </c>
      <c r="F1056" s="13" t="s">
        <v>339</v>
      </c>
      <c r="G1056" s="13" t="s">
        <v>2500</v>
      </c>
      <c r="H1056" s="13" t="s">
        <v>101</v>
      </c>
      <c r="I1056" s="21" t="s">
        <v>3821</v>
      </c>
      <c r="J1056" s="21" t="s">
        <v>3822</v>
      </c>
      <c r="K1056" s="21" t="s">
        <v>3823</v>
      </c>
      <c r="L1056" s="22" t="s">
        <v>36</v>
      </c>
      <c r="M1056" s="21" t="s">
        <v>2135</v>
      </c>
      <c r="N1056" s="13" t="s">
        <v>106</v>
      </c>
      <c r="O1056" s="23" t="n">
        <v>9.99</v>
      </c>
      <c r="P1056" s="13" t="n">
        <v>1</v>
      </c>
      <c r="Q1056" s="24" t="n">
        <v>46310.9256018519</v>
      </c>
      <c r="R1056" s="22"/>
      <c r="S1056" s="13" t="s">
        <v>164</v>
      </c>
      <c r="T1056" s="13" t="str">
        <f aca="false">IF(S1056="Oui",IF(R1056=L1056,"Identique","Changé"),"")</f>
        <v/>
      </c>
    </row>
    <row r="1057" customFormat="false" ht="79.85" hidden="false" customHeight="false" outlineLevel="0" collapsed="false">
      <c r="A1057" s="13" t="s">
        <v>3824</v>
      </c>
      <c r="B1057" s="13" t="s">
        <v>3825</v>
      </c>
      <c r="C1057" s="13" t="n">
        <v>1</v>
      </c>
      <c r="D1057" s="13" t="s">
        <v>135</v>
      </c>
      <c r="E1057" s="13" t="s">
        <v>158</v>
      </c>
      <c r="F1057" s="13" t="s">
        <v>3826</v>
      </c>
      <c r="G1057" s="13" t="s">
        <v>1913</v>
      </c>
      <c r="H1057" s="13" t="s">
        <v>101</v>
      </c>
      <c r="I1057" s="21" t="s">
        <v>3827</v>
      </c>
      <c r="J1057" s="21" t="s">
        <v>284</v>
      </c>
      <c r="K1057" s="21" t="s">
        <v>3828</v>
      </c>
      <c r="L1057" s="22" t="s">
        <v>37</v>
      </c>
      <c r="M1057" s="21" t="s">
        <v>163</v>
      </c>
      <c r="N1057" s="13" t="s">
        <v>106</v>
      </c>
      <c r="O1057" s="23" t="n">
        <v>33.7</v>
      </c>
      <c r="P1057" s="13" t="n">
        <v>3</v>
      </c>
      <c r="Q1057" s="24" t="n">
        <v>46310.932025463</v>
      </c>
      <c r="R1057" s="22"/>
      <c r="S1057" s="13" t="s">
        <v>164</v>
      </c>
      <c r="T1057" s="13" t="str">
        <f aca="false">IF(S1057="Oui",IF(R1057=L1057,"Identique","Changé"),"")</f>
        <v/>
      </c>
    </row>
    <row r="1058" customFormat="false" ht="91" hidden="false" customHeight="false" outlineLevel="0" collapsed="false">
      <c r="A1058" s="13" t="s">
        <v>3829</v>
      </c>
      <c r="B1058" s="13" t="s">
        <v>3825</v>
      </c>
      <c r="C1058" s="13" t="n">
        <v>2</v>
      </c>
      <c r="D1058" s="13" t="s">
        <v>135</v>
      </c>
      <c r="E1058" s="13" t="s">
        <v>570</v>
      </c>
      <c r="F1058" s="13" t="s">
        <v>3826</v>
      </c>
      <c r="G1058" s="13" t="s">
        <v>1775</v>
      </c>
      <c r="H1058" s="13" t="s">
        <v>101</v>
      </c>
      <c r="I1058" s="21" t="s">
        <v>3830</v>
      </c>
      <c r="J1058" s="21" t="s">
        <v>1777</v>
      </c>
      <c r="K1058" s="21" t="s">
        <v>3831</v>
      </c>
      <c r="L1058" s="22" t="s">
        <v>36</v>
      </c>
      <c r="M1058" s="21" t="s">
        <v>120</v>
      </c>
      <c r="N1058" s="13" t="s">
        <v>106</v>
      </c>
      <c r="O1058" s="23" t="n">
        <v>9.51</v>
      </c>
      <c r="P1058" s="13" t="n">
        <v>3</v>
      </c>
      <c r="Q1058" s="24" t="n">
        <v>46310.9322337963</v>
      </c>
      <c r="R1058" s="22"/>
      <c r="S1058" s="13" t="s">
        <v>164</v>
      </c>
      <c r="T1058" s="13" t="str">
        <f aca="false">IF(S1058="Oui",IF(R1058=L1058,"Identique","Changé"),"")</f>
        <v/>
      </c>
    </row>
    <row r="1059" customFormat="false" ht="68.65" hidden="false" customHeight="false" outlineLevel="0" collapsed="false">
      <c r="A1059" s="13" t="s">
        <v>3832</v>
      </c>
      <c r="B1059" s="13" t="s">
        <v>3825</v>
      </c>
      <c r="C1059" s="13" t="n">
        <v>3</v>
      </c>
      <c r="D1059" s="13" t="s">
        <v>135</v>
      </c>
      <c r="E1059" s="13" t="s">
        <v>98</v>
      </c>
      <c r="F1059" s="13" t="s">
        <v>3833</v>
      </c>
      <c r="G1059" s="13" t="s">
        <v>181</v>
      </c>
      <c r="H1059" s="13" t="s">
        <v>152</v>
      </c>
      <c r="I1059" s="21" t="s">
        <v>3834</v>
      </c>
      <c r="J1059" s="21" t="s">
        <v>154</v>
      </c>
      <c r="K1059" s="21" t="s">
        <v>3835</v>
      </c>
      <c r="L1059" s="22" t="s">
        <v>40</v>
      </c>
      <c r="M1059" s="21" t="s">
        <v>156</v>
      </c>
      <c r="N1059" s="13" t="s">
        <v>106</v>
      </c>
      <c r="O1059" s="23" t="n">
        <v>14.19</v>
      </c>
      <c r="P1059" s="13" t="n">
        <v>3</v>
      </c>
      <c r="Q1059" s="24" t="n">
        <v>46310.9325</v>
      </c>
      <c r="R1059" s="22"/>
      <c r="S1059" s="13" t="s">
        <v>164</v>
      </c>
      <c r="T1059" s="13" t="str">
        <f aca="false">IF(S1059="Oui",IF(R1059=L1059,"Identique","Changé"),"")</f>
        <v/>
      </c>
    </row>
    <row r="1060" customFormat="false" ht="35.05" hidden="false" customHeight="false" outlineLevel="0" collapsed="false">
      <c r="A1060" s="13" t="s">
        <v>3836</v>
      </c>
      <c r="B1060" s="13" t="s">
        <v>3825</v>
      </c>
      <c r="C1060" s="13" t="n">
        <v>4</v>
      </c>
      <c r="D1060" s="13" t="s">
        <v>135</v>
      </c>
      <c r="E1060" s="13" t="s">
        <v>98</v>
      </c>
      <c r="F1060" s="13" t="s">
        <v>3833</v>
      </c>
      <c r="G1060" s="13" t="s">
        <v>2478</v>
      </c>
      <c r="H1060" s="13" t="s">
        <v>101</v>
      </c>
      <c r="I1060" s="21" t="s">
        <v>3837</v>
      </c>
      <c r="J1060" s="21" t="s">
        <v>3838</v>
      </c>
      <c r="K1060" s="21" t="s">
        <v>3839</v>
      </c>
      <c r="L1060" s="22" t="s">
        <v>36</v>
      </c>
      <c r="M1060" s="21" t="s">
        <v>2135</v>
      </c>
      <c r="N1060" s="13" t="s">
        <v>106</v>
      </c>
      <c r="O1060" s="23" t="n">
        <v>9.25</v>
      </c>
      <c r="P1060" s="13" t="n">
        <v>3</v>
      </c>
      <c r="Q1060" s="24" t="n">
        <v>46310.9327199074</v>
      </c>
      <c r="R1060" s="22"/>
      <c r="S1060" s="13" t="s">
        <v>164</v>
      </c>
      <c r="T1060" s="13" t="str">
        <f aca="false">IF(S1060="Oui",IF(R1060=L1060,"Identique","Changé"),"")</f>
        <v/>
      </c>
    </row>
    <row r="1061" customFormat="false" ht="68.65" hidden="false" customHeight="false" outlineLevel="0" collapsed="false">
      <c r="A1061" s="13" t="s">
        <v>3840</v>
      </c>
      <c r="B1061" s="13" t="s">
        <v>3825</v>
      </c>
      <c r="C1061" s="13" t="n">
        <v>5</v>
      </c>
      <c r="D1061" s="13" t="s">
        <v>135</v>
      </c>
      <c r="E1061" s="13" t="s">
        <v>158</v>
      </c>
      <c r="F1061" s="13" t="s">
        <v>3826</v>
      </c>
      <c r="G1061" s="13" t="s">
        <v>1909</v>
      </c>
      <c r="H1061" s="13" t="s">
        <v>101</v>
      </c>
      <c r="I1061" s="21" t="s">
        <v>3841</v>
      </c>
      <c r="J1061" s="21" t="s">
        <v>284</v>
      </c>
      <c r="K1061" s="21" t="s">
        <v>3842</v>
      </c>
      <c r="L1061" s="22" t="s">
        <v>37</v>
      </c>
      <c r="M1061" s="21" t="s">
        <v>163</v>
      </c>
      <c r="N1061" s="13" t="s">
        <v>106</v>
      </c>
      <c r="O1061" s="23" t="n">
        <v>10.95</v>
      </c>
      <c r="P1061" s="13" t="n">
        <v>3</v>
      </c>
      <c r="Q1061" s="24" t="n">
        <v>46310.9329513889</v>
      </c>
      <c r="R1061" s="22"/>
      <c r="S1061" s="13" t="s">
        <v>164</v>
      </c>
      <c r="T1061" s="13" t="str">
        <f aca="false">IF(S1061="Oui",IF(R1061=L1061,"Identique","Changé"),"")</f>
        <v/>
      </c>
    </row>
    <row r="1062" customFormat="false" ht="79.85" hidden="false" customHeight="false" outlineLevel="0" collapsed="false">
      <c r="A1062" s="13" t="s">
        <v>3843</v>
      </c>
      <c r="B1062" s="13" t="s">
        <v>3844</v>
      </c>
      <c r="C1062" s="13" t="n">
        <v>1</v>
      </c>
      <c r="D1062" s="13" t="s">
        <v>97</v>
      </c>
      <c r="E1062" s="13" t="s">
        <v>570</v>
      </c>
      <c r="F1062" s="13" t="s">
        <v>1094</v>
      </c>
      <c r="G1062" s="13" t="s">
        <v>1859</v>
      </c>
      <c r="H1062" s="13" t="s">
        <v>101</v>
      </c>
      <c r="I1062" s="21" t="s">
        <v>3845</v>
      </c>
      <c r="J1062" s="21" t="s">
        <v>1741</v>
      </c>
      <c r="K1062" s="21" t="s">
        <v>3846</v>
      </c>
      <c r="L1062" s="22" t="s">
        <v>36</v>
      </c>
      <c r="M1062" s="21" t="s">
        <v>235</v>
      </c>
      <c r="N1062" s="13" t="s">
        <v>106</v>
      </c>
      <c r="O1062" s="23" t="n">
        <v>30.31</v>
      </c>
      <c r="P1062" s="13" t="n">
        <v>1</v>
      </c>
      <c r="Q1062" s="24" t="n">
        <v>46310.9334722222</v>
      </c>
      <c r="R1062" s="22"/>
      <c r="S1062" s="13" t="s">
        <v>164</v>
      </c>
      <c r="T1062" s="13" t="str">
        <f aca="false">IF(S1062="Oui",IF(R1062=L1062,"Identique","Changé"),"")</f>
        <v/>
      </c>
    </row>
    <row r="1063" customFormat="false" ht="57.45" hidden="false" customHeight="false" outlineLevel="0" collapsed="false">
      <c r="A1063" s="13" t="s">
        <v>3847</v>
      </c>
      <c r="B1063" s="13" t="s">
        <v>3844</v>
      </c>
      <c r="C1063" s="13" t="n">
        <v>2</v>
      </c>
      <c r="D1063" s="13" t="s">
        <v>97</v>
      </c>
      <c r="E1063" s="13" t="s">
        <v>158</v>
      </c>
      <c r="F1063" s="13" t="s">
        <v>1094</v>
      </c>
      <c r="G1063" s="13" t="s">
        <v>1951</v>
      </c>
      <c r="H1063" s="13" t="s">
        <v>101</v>
      </c>
      <c r="I1063" s="21" t="s">
        <v>3848</v>
      </c>
      <c r="J1063" s="21" t="s">
        <v>512</v>
      </c>
      <c r="K1063" s="21" t="s">
        <v>3849</v>
      </c>
      <c r="L1063" s="22" t="s">
        <v>36</v>
      </c>
      <c r="M1063" s="21" t="s">
        <v>120</v>
      </c>
      <c r="N1063" s="13" t="s">
        <v>106</v>
      </c>
      <c r="O1063" s="23" t="n">
        <v>11.48</v>
      </c>
      <c r="P1063" s="13" t="n">
        <v>1</v>
      </c>
      <c r="Q1063" s="24" t="n">
        <v>46310.9337152778</v>
      </c>
      <c r="R1063" s="22"/>
      <c r="S1063" s="13" t="s">
        <v>164</v>
      </c>
      <c r="T1063" s="13" t="str">
        <f aca="false">IF(S1063="Oui",IF(R1063=L1063,"Identique","Changé"),"")</f>
        <v/>
      </c>
    </row>
    <row r="1064" customFormat="false" ht="695.5" hidden="false" customHeight="false" outlineLevel="0" collapsed="false">
      <c r="A1064" s="13" t="s">
        <v>3850</v>
      </c>
      <c r="B1064" s="13" t="s">
        <v>3844</v>
      </c>
      <c r="C1064" s="13" t="n">
        <v>3</v>
      </c>
      <c r="D1064" s="13" t="s">
        <v>97</v>
      </c>
      <c r="E1064" s="13" t="s">
        <v>1730</v>
      </c>
      <c r="F1064" s="13" t="s">
        <v>1094</v>
      </c>
      <c r="G1064" s="13" t="s">
        <v>1753</v>
      </c>
      <c r="H1064" s="13" t="s">
        <v>101</v>
      </c>
      <c r="I1064" s="21" t="s">
        <v>3851</v>
      </c>
      <c r="J1064" s="21" t="s">
        <v>3852</v>
      </c>
      <c r="K1064" s="21" t="s">
        <v>3853</v>
      </c>
      <c r="L1064" s="22" t="s">
        <v>36</v>
      </c>
      <c r="M1064" s="21" t="s">
        <v>120</v>
      </c>
      <c r="N1064" s="13" t="s">
        <v>106</v>
      </c>
      <c r="O1064" s="23" t="n">
        <v>15.38</v>
      </c>
      <c r="P1064" s="13" t="n">
        <v>1</v>
      </c>
      <c r="Q1064" s="24" t="n">
        <v>46310.9339930556</v>
      </c>
      <c r="R1064" s="22"/>
      <c r="S1064" s="13" t="s">
        <v>164</v>
      </c>
      <c r="T1064" s="13" t="str">
        <f aca="false">IF(S1064="Oui",IF(R1064=L1064,"Identique","Changé"),"")</f>
        <v/>
      </c>
    </row>
    <row r="1065" customFormat="false" ht="35.05" hidden="false" customHeight="false" outlineLevel="0" collapsed="false">
      <c r="A1065" s="13" t="s">
        <v>3854</v>
      </c>
      <c r="B1065" s="13" t="s">
        <v>3844</v>
      </c>
      <c r="C1065" s="13" t="n">
        <v>4</v>
      </c>
      <c r="D1065" s="13" t="s">
        <v>97</v>
      </c>
      <c r="E1065" s="13" t="s">
        <v>122</v>
      </c>
      <c r="F1065" s="13" t="s">
        <v>1094</v>
      </c>
      <c r="G1065" s="13" t="s">
        <v>231</v>
      </c>
      <c r="H1065" s="13" t="s">
        <v>101</v>
      </c>
      <c r="I1065" s="21" t="s">
        <v>3855</v>
      </c>
      <c r="J1065" s="21" t="s">
        <v>161</v>
      </c>
      <c r="K1065" s="21" t="s">
        <v>3856</v>
      </c>
      <c r="L1065" s="22" t="s">
        <v>36</v>
      </c>
      <c r="M1065" s="21" t="s">
        <v>235</v>
      </c>
      <c r="N1065" s="13" t="s">
        <v>106</v>
      </c>
      <c r="O1065" s="23" t="n">
        <v>10.8</v>
      </c>
      <c r="P1065" s="13" t="n">
        <v>1</v>
      </c>
      <c r="Q1065" s="24" t="n">
        <v>46310.934224537</v>
      </c>
      <c r="R1065" s="22"/>
      <c r="S1065" s="13" t="s">
        <v>164</v>
      </c>
      <c r="T1065" s="13" t="str">
        <f aca="false">IF(S1065="Oui",IF(R1065=L1065,"Identique","Changé"),"")</f>
        <v/>
      </c>
    </row>
    <row r="1066" customFormat="false" ht="46.25" hidden="false" customHeight="false" outlineLevel="0" collapsed="false">
      <c r="A1066" s="13" t="s">
        <v>3857</v>
      </c>
      <c r="B1066" s="13" t="s">
        <v>3844</v>
      </c>
      <c r="C1066" s="13" t="n">
        <v>5</v>
      </c>
      <c r="D1066" s="13" t="s">
        <v>97</v>
      </c>
      <c r="E1066" s="13" t="s">
        <v>158</v>
      </c>
      <c r="F1066" s="13" t="s">
        <v>1094</v>
      </c>
      <c r="G1066" s="13" t="s">
        <v>1918</v>
      </c>
      <c r="H1066" s="13" t="s">
        <v>101</v>
      </c>
      <c r="I1066" s="21" t="s">
        <v>3858</v>
      </c>
      <c r="J1066" s="21" t="s">
        <v>284</v>
      </c>
      <c r="K1066" s="21" t="s">
        <v>3859</v>
      </c>
      <c r="L1066" s="22" t="s">
        <v>36</v>
      </c>
      <c r="M1066" s="21" t="s">
        <v>120</v>
      </c>
      <c r="N1066" s="13" t="s">
        <v>106</v>
      </c>
      <c r="O1066" s="23" t="n">
        <v>10.17</v>
      </c>
      <c r="P1066" s="13" t="n">
        <v>1</v>
      </c>
      <c r="Q1066" s="24" t="n">
        <v>46310.9344444444</v>
      </c>
      <c r="R1066" s="22"/>
      <c r="S1066" s="13" t="s">
        <v>164</v>
      </c>
      <c r="T1066" s="13" t="str">
        <f aca="false">IF(S1066="Oui",IF(R1066=L1066,"Identique","Changé"),"")</f>
        <v/>
      </c>
    </row>
    <row r="1067" customFormat="false" ht="35.05" hidden="false" customHeight="false" outlineLevel="0" collapsed="false">
      <c r="A1067" s="13" t="s">
        <v>3860</v>
      </c>
      <c r="B1067" s="13" t="s">
        <v>3861</v>
      </c>
      <c r="C1067" s="13" t="n">
        <v>1</v>
      </c>
      <c r="D1067" s="13" t="s">
        <v>135</v>
      </c>
      <c r="E1067" s="13" t="s">
        <v>171</v>
      </c>
      <c r="F1067" s="13" t="s">
        <v>2541</v>
      </c>
      <c r="G1067" s="13" t="s">
        <v>172</v>
      </c>
      <c r="H1067" s="13" t="s">
        <v>101</v>
      </c>
      <c r="I1067" s="21" t="s">
        <v>3862</v>
      </c>
      <c r="J1067" s="21" t="s">
        <v>148</v>
      </c>
      <c r="K1067" s="21" t="s">
        <v>3863</v>
      </c>
      <c r="L1067" s="22" t="s">
        <v>36</v>
      </c>
      <c r="M1067" s="21" t="s">
        <v>120</v>
      </c>
      <c r="N1067" s="13" t="s">
        <v>106</v>
      </c>
      <c r="O1067" s="23" t="n">
        <v>42.15</v>
      </c>
      <c r="P1067" s="13" t="n">
        <v>1</v>
      </c>
      <c r="Q1067" s="24" t="n">
        <v>46310.9350925926</v>
      </c>
      <c r="R1067" s="22"/>
      <c r="S1067" s="13" t="s">
        <v>164</v>
      </c>
      <c r="T1067" s="13" t="str">
        <f aca="false">IF(S1067="Oui",IF(R1067=L1067,"Identique","Changé"),"")</f>
        <v/>
      </c>
    </row>
    <row r="1068" customFormat="false" ht="46.25" hidden="false" customHeight="false" outlineLevel="0" collapsed="false">
      <c r="A1068" s="13" t="s">
        <v>3864</v>
      </c>
      <c r="B1068" s="13" t="s">
        <v>3861</v>
      </c>
      <c r="C1068" s="13" t="n">
        <v>2</v>
      </c>
      <c r="D1068" s="13" t="s">
        <v>135</v>
      </c>
      <c r="E1068" s="13" t="s">
        <v>122</v>
      </c>
      <c r="F1068" s="13" t="s">
        <v>2541</v>
      </c>
      <c r="G1068" s="13" t="s">
        <v>1833</v>
      </c>
      <c r="H1068" s="13" t="s">
        <v>101</v>
      </c>
      <c r="I1068" s="21" t="s">
        <v>3865</v>
      </c>
      <c r="J1068" s="21" t="s">
        <v>1741</v>
      </c>
      <c r="K1068" s="21" t="s">
        <v>3866</v>
      </c>
      <c r="L1068" s="22" t="s">
        <v>36</v>
      </c>
      <c r="M1068" s="21" t="s">
        <v>235</v>
      </c>
      <c r="N1068" s="13" t="s">
        <v>106</v>
      </c>
      <c r="O1068" s="23" t="n">
        <v>12.09</v>
      </c>
      <c r="P1068" s="13" t="n">
        <v>1</v>
      </c>
      <c r="Q1068" s="24" t="n">
        <v>46310.9353240741</v>
      </c>
      <c r="R1068" s="22"/>
      <c r="S1068" s="13" t="s">
        <v>164</v>
      </c>
      <c r="T1068" s="13" t="str">
        <f aca="false">IF(S1068="Oui",IF(R1068=L1068,"Identique","Changé"),"")</f>
        <v/>
      </c>
    </row>
    <row r="1069" customFormat="false" ht="46.25" hidden="false" customHeight="false" outlineLevel="0" collapsed="false">
      <c r="A1069" s="13" t="s">
        <v>3867</v>
      </c>
      <c r="B1069" s="13" t="s">
        <v>3861</v>
      </c>
      <c r="C1069" s="13" t="n">
        <v>3</v>
      </c>
      <c r="D1069" s="13" t="s">
        <v>135</v>
      </c>
      <c r="E1069" s="13" t="s">
        <v>158</v>
      </c>
      <c r="F1069" s="13" t="s">
        <v>3868</v>
      </c>
      <c r="G1069" s="13" t="s">
        <v>159</v>
      </c>
      <c r="H1069" s="13" t="s">
        <v>101</v>
      </c>
      <c r="I1069" s="21" t="s">
        <v>3869</v>
      </c>
      <c r="J1069" s="21" t="s">
        <v>161</v>
      </c>
      <c r="K1069" s="21" t="s">
        <v>3870</v>
      </c>
      <c r="L1069" s="22" t="s">
        <v>36</v>
      </c>
      <c r="M1069" s="21" t="s">
        <v>235</v>
      </c>
      <c r="N1069" s="13" t="s">
        <v>106</v>
      </c>
      <c r="O1069" s="23" t="n">
        <v>12.57</v>
      </c>
      <c r="P1069" s="13" t="n">
        <v>1</v>
      </c>
      <c r="Q1069" s="24" t="n">
        <v>46310.9355787037</v>
      </c>
      <c r="R1069" s="22"/>
      <c r="S1069" s="13" t="s">
        <v>164</v>
      </c>
      <c r="T1069" s="13" t="str">
        <f aca="false">IF(S1069="Oui",IF(R1069=L1069,"Identique","Changé"),"")</f>
        <v/>
      </c>
    </row>
    <row r="1070" customFormat="false" ht="57.45" hidden="false" customHeight="false" outlineLevel="0" collapsed="false">
      <c r="A1070" s="13" t="s">
        <v>3871</v>
      </c>
      <c r="B1070" s="13" t="s">
        <v>3861</v>
      </c>
      <c r="C1070" s="13" t="n">
        <v>4</v>
      </c>
      <c r="D1070" s="13" t="s">
        <v>135</v>
      </c>
      <c r="E1070" s="13" t="s">
        <v>185</v>
      </c>
      <c r="F1070" s="13" t="s">
        <v>3868</v>
      </c>
      <c r="G1070" s="13" t="s">
        <v>380</v>
      </c>
      <c r="H1070" s="13" t="s">
        <v>152</v>
      </c>
      <c r="I1070" s="21" t="s">
        <v>3872</v>
      </c>
      <c r="J1070" s="21" t="s">
        <v>154</v>
      </c>
      <c r="K1070" s="21" t="s">
        <v>3873</v>
      </c>
      <c r="L1070" s="22" t="s">
        <v>40</v>
      </c>
      <c r="M1070" s="21" t="s">
        <v>156</v>
      </c>
      <c r="N1070" s="13" t="s">
        <v>106</v>
      </c>
      <c r="O1070" s="23" t="n">
        <v>10.7</v>
      </c>
      <c r="P1070" s="13" t="n">
        <v>1</v>
      </c>
      <c r="Q1070" s="24" t="n">
        <v>46310.9357986111</v>
      </c>
      <c r="R1070" s="22"/>
      <c r="S1070" s="13" t="s">
        <v>164</v>
      </c>
      <c r="T1070" s="13" t="str">
        <f aca="false">IF(S1070="Oui",IF(R1070=L1070,"Identique","Changé"),"")</f>
        <v/>
      </c>
    </row>
    <row r="1071" customFormat="false" ht="46.25" hidden="false" customHeight="false" outlineLevel="0" collapsed="false">
      <c r="A1071" s="13" t="s">
        <v>3874</v>
      </c>
      <c r="B1071" s="13" t="s">
        <v>3861</v>
      </c>
      <c r="C1071" s="13" t="n">
        <v>5</v>
      </c>
      <c r="D1071" s="13" t="s">
        <v>135</v>
      </c>
      <c r="E1071" s="13" t="s">
        <v>570</v>
      </c>
      <c r="F1071" s="13" t="s">
        <v>2541</v>
      </c>
      <c r="G1071" s="13" t="s">
        <v>1780</v>
      </c>
      <c r="H1071" s="13" t="s">
        <v>101</v>
      </c>
      <c r="I1071" s="21" t="s">
        <v>3875</v>
      </c>
      <c r="J1071" s="21" t="s">
        <v>284</v>
      </c>
      <c r="K1071" s="21" t="s">
        <v>3876</v>
      </c>
      <c r="L1071" s="22" t="s">
        <v>36</v>
      </c>
      <c r="M1071" s="21" t="s">
        <v>120</v>
      </c>
      <c r="N1071" s="13" t="s">
        <v>106</v>
      </c>
      <c r="O1071" s="23" t="n">
        <v>10.04</v>
      </c>
      <c r="P1071" s="13" t="n">
        <v>1</v>
      </c>
      <c r="Q1071" s="24" t="n">
        <v>46310.9360300926</v>
      </c>
      <c r="R1071" s="22"/>
      <c r="S1071" s="13" t="s">
        <v>164</v>
      </c>
      <c r="T1071" s="13" t="str">
        <f aca="false">IF(S1071="Oui",IF(R1071=L1071,"Identique","Changé"),"")</f>
        <v/>
      </c>
    </row>
    <row r="1072" customFormat="false" ht="57.45" hidden="false" customHeight="false" outlineLevel="0" collapsed="false">
      <c r="A1072" s="13" t="s">
        <v>3877</v>
      </c>
      <c r="B1072" s="13" t="s">
        <v>3878</v>
      </c>
      <c r="C1072" s="13" t="n">
        <v>1</v>
      </c>
      <c r="D1072" s="13" t="s">
        <v>97</v>
      </c>
      <c r="E1072" s="13" t="s">
        <v>122</v>
      </c>
      <c r="F1072" s="13" t="s">
        <v>946</v>
      </c>
      <c r="G1072" s="13" t="s">
        <v>1395</v>
      </c>
      <c r="H1072" s="13" t="s">
        <v>101</v>
      </c>
      <c r="I1072" s="21" t="s">
        <v>3879</v>
      </c>
      <c r="J1072" s="21" t="s">
        <v>512</v>
      </c>
      <c r="K1072" s="21" t="s">
        <v>3880</v>
      </c>
      <c r="L1072" s="22" t="s">
        <v>36</v>
      </c>
      <c r="M1072" s="21" t="s">
        <v>1398</v>
      </c>
      <c r="N1072" s="13" t="s">
        <v>1085</v>
      </c>
      <c r="O1072" s="23" t="n">
        <v>30.72</v>
      </c>
      <c r="P1072" s="13" t="n">
        <v>2</v>
      </c>
      <c r="Q1072" s="24" t="n">
        <v>46310.9411458333</v>
      </c>
      <c r="R1072" s="22"/>
      <c r="S1072" s="13" t="s">
        <v>164</v>
      </c>
      <c r="T1072" s="13" t="str">
        <f aca="false">IF(S1072="Oui",IF(R1072=L1072,"Identique","Changé"),"")</f>
        <v/>
      </c>
    </row>
    <row r="1073" customFormat="false" ht="35.05" hidden="false" customHeight="false" outlineLevel="0" collapsed="false">
      <c r="A1073" s="13" t="s">
        <v>3881</v>
      </c>
      <c r="B1073" s="13" t="s">
        <v>3878</v>
      </c>
      <c r="C1073" s="13" t="n">
        <v>2</v>
      </c>
      <c r="D1073" s="13" t="s">
        <v>97</v>
      </c>
      <c r="E1073" s="13" t="s">
        <v>114</v>
      </c>
      <c r="F1073" s="13" t="s">
        <v>946</v>
      </c>
      <c r="G1073" s="13" t="s">
        <v>1887</v>
      </c>
      <c r="H1073" s="13" t="s">
        <v>101</v>
      </c>
      <c r="I1073" s="21" t="s">
        <v>3882</v>
      </c>
      <c r="J1073" s="21" t="s">
        <v>512</v>
      </c>
      <c r="K1073" s="21" t="s">
        <v>3883</v>
      </c>
      <c r="L1073" s="22" t="s">
        <v>36</v>
      </c>
      <c r="M1073" s="21" t="s">
        <v>120</v>
      </c>
      <c r="N1073" s="13" t="s">
        <v>106</v>
      </c>
      <c r="O1073" s="23" t="n">
        <v>11.87</v>
      </c>
      <c r="P1073" s="13" t="n">
        <v>2</v>
      </c>
      <c r="Q1073" s="24" t="n">
        <v>46310.9413773148</v>
      </c>
      <c r="R1073" s="22"/>
      <c r="S1073" s="13" t="s">
        <v>164</v>
      </c>
      <c r="T1073" s="13" t="str">
        <f aca="false">IF(S1073="Oui",IF(R1073=L1073,"Identique","Changé"),"")</f>
        <v/>
      </c>
    </row>
    <row r="1074" customFormat="false" ht="46.25" hidden="false" customHeight="false" outlineLevel="0" collapsed="false">
      <c r="A1074" s="13" t="s">
        <v>3884</v>
      </c>
      <c r="B1074" s="13" t="s">
        <v>3878</v>
      </c>
      <c r="C1074" s="13" t="n">
        <v>3</v>
      </c>
      <c r="D1074" s="13" t="s">
        <v>97</v>
      </c>
      <c r="E1074" s="13" t="s">
        <v>570</v>
      </c>
      <c r="F1074" s="13" t="s">
        <v>332</v>
      </c>
      <c r="G1074" s="13" t="s">
        <v>1805</v>
      </c>
      <c r="H1074" s="13" t="s">
        <v>101</v>
      </c>
      <c r="I1074" s="21" t="s">
        <v>3885</v>
      </c>
      <c r="J1074" s="21" t="s">
        <v>284</v>
      </c>
      <c r="K1074" s="21" t="s">
        <v>3886</v>
      </c>
      <c r="L1074" s="22" t="s">
        <v>36</v>
      </c>
      <c r="M1074" s="21" t="s">
        <v>120</v>
      </c>
      <c r="N1074" s="13" t="s">
        <v>106</v>
      </c>
      <c r="O1074" s="23" t="n">
        <v>9.98</v>
      </c>
      <c r="P1074" s="13" t="n">
        <v>2</v>
      </c>
      <c r="Q1074" s="24" t="n">
        <v>46310.9415972222</v>
      </c>
      <c r="R1074" s="22"/>
      <c r="S1074" s="13" t="s">
        <v>164</v>
      </c>
      <c r="T1074" s="13" t="str">
        <f aca="false">IF(S1074="Oui",IF(R1074=L1074,"Identique","Changé"),"")</f>
        <v/>
      </c>
    </row>
    <row r="1075" customFormat="false" ht="35.05" hidden="false" customHeight="false" outlineLevel="0" collapsed="false">
      <c r="A1075" s="13" t="s">
        <v>3887</v>
      </c>
      <c r="B1075" s="13" t="s">
        <v>3878</v>
      </c>
      <c r="C1075" s="13" t="n">
        <v>4</v>
      </c>
      <c r="D1075" s="13" t="s">
        <v>97</v>
      </c>
      <c r="E1075" s="13" t="s">
        <v>114</v>
      </c>
      <c r="F1075" s="13" t="s">
        <v>332</v>
      </c>
      <c r="G1075" s="13" t="s">
        <v>116</v>
      </c>
      <c r="H1075" s="13" t="s">
        <v>101</v>
      </c>
      <c r="I1075" s="21" t="s">
        <v>3888</v>
      </c>
      <c r="J1075" s="21" t="s">
        <v>118</v>
      </c>
      <c r="K1075" s="21" t="s">
        <v>3889</v>
      </c>
      <c r="L1075" s="22" t="s">
        <v>36</v>
      </c>
      <c r="M1075" s="21" t="s">
        <v>120</v>
      </c>
      <c r="N1075" s="13" t="s">
        <v>106</v>
      </c>
      <c r="O1075" s="23" t="n">
        <v>9.19</v>
      </c>
      <c r="P1075" s="13" t="n">
        <v>2</v>
      </c>
      <c r="Q1075" s="24" t="n">
        <v>46310.9418171296</v>
      </c>
      <c r="R1075" s="22"/>
      <c r="S1075" s="13" t="s">
        <v>164</v>
      </c>
      <c r="T1075" s="13" t="str">
        <f aca="false">IF(S1075="Oui",IF(R1075=L1075,"Identique","Changé"),"")</f>
        <v/>
      </c>
    </row>
    <row r="1076" customFormat="false" ht="46.25" hidden="false" customHeight="false" outlineLevel="0" collapsed="false">
      <c r="A1076" s="13" t="s">
        <v>3890</v>
      </c>
      <c r="B1076" s="13" t="s">
        <v>3878</v>
      </c>
      <c r="C1076" s="13" t="n">
        <v>5</v>
      </c>
      <c r="D1076" s="13" t="s">
        <v>97</v>
      </c>
      <c r="E1076" s="13" t="s">
        <v>122</v>
      </c>
      <c r="F1076" s="13" t="s">
        <v>946</v>
      </c>
      <c r="G1076" s="13" t="s">
        <v>1874</v>
      </c>
      <c r="H1076" s="13" t="s">
        <v>101</v>
      </c>
      <c r="I1076" s="21" t="s">
        <v>3891</v>
      </c>
      <c r="J1076" s="21" t="s">
        <v>1876</v>
      </c>
      <c r="K1076" s="21" t="s">
        <v>3892</v>
      </c>
      <c r="L1076" s="22" t="s">
        <v>36</v>
      </c>
      <c r="M1076" s="21" t="s">
        <v>1878</v>
      </c>
      <c r="N1076" s="13" t="s">
        <v>1085</v>
      </c>
      <c r="O1076" s="23" t="n">
        <v>10.4</v>
      </c>
      <c r="P1076" s="13" t="n">
        <v>2</v>
      </c>
      <c r="Q1076" s="24" t="n">
        <v>46310.942037037</v>
      </c>
      <c r="R1076" s="22"/>
      <c r="S1076" s="13" t="s">
        <v>164</v>
      </c>
      <c r="T1076" s="13" t="str">
        <f aca="false">IF(S1076="Oui",IF(R1076=L1076,"Identique","Changé"),"")</f>
        <v/>
      </c>
    </row>
    <row r="1077" customFormat="false" ht="68.65" hidden="false" customHeight="false" outlineLevel="0" collapsed="false">
      <c r="A1077" s="13" t="s">
        <v>3893</v>
      </c>
      <c r="B1077" s="13" t="s">
        <v>3894</v>
      </c>
      <c r="C1077" s="13" t="n">
        <v>1</v>
      </c>
      <c r="D1077" s="13" t="s">
        <v>135</v>
      </c>
      <c r="E1077" s="13" t="s">
        <v>122</v>
      </c>
      <c r="F1077" s="13" t="s">
        <v>2580</v>
      </c>
      <c r="G1077" s="13" t="s">
        <v>1840</v>
      </c>
      <c r="H1077" s="13" t="s">
        <v>101</v>
      </c>
      <c r="I1077" s="21" t="s">
        <v>3895</v>
      </c>
      <c r="J1077" s="21" t="s">
        <v>284</v>
      </c>
      <c r="K1077" s="21" t="s">
        <v>3896</v>
      </c>
      <c r="L1077" s="22" t="s">
        <v>37</v>
      </c>
      <c r="M1077" s="21" t="s">
        <v>163</v>
      </c>
      <c r="N1077" s="13" t="s">
        <v>106</v>
      </c>
      <c r="O1077" s="23" t="n">
        <v>37.75</v>
      </c>
      <c r="P1077" s="13" t="n">
        <v>1</v>
      </c>
      <c r="Q1077" s="24" t="n">
        <v>46310.942650463</v>
      </c>
      <c r="R1077" s="22"/>
      <c r="S1077" s="13" t="s">
        <v>164</v>
      </c>
      <c r="T1077" s="13" t="str">
        <f aca="false">IF(S1077="Oui",IF(R1077=L1077,"Identique","Changé"),"")</f>
        <v/>
      </c>
    </row>
    <row r="1078" customFormat="false" ht="68.65" hidden="false" customHeight="false" outlineLevel="0" collapsed="false">
      <c r="A1078" s="13" t="s">
        <v>3897</v>
      </c>
      <c r="B1078" s="13" t="s">
        <v>3894</v>
      </c>
      <c r="C1078" s="13" t="n">
        <v>2</v>
      </c>
      <c r="D1078" s="13" t="s">
        <v>135</v>
      </c>
      <c r="E1078" s="13" t="s">
        <v>1730</v>
      </c>
      <c r="F1078" s="13" t="s">
        <v>2580</v>
      </c>
      <c r="G1078" s="13" t="s">
        <v>2009</v>
      </c>
      <c r="H1078" s="13" t="s">
        <v>101</v>
      </c>
      <c r="I1078" s="21" t="s">
        <v>3898</v>
      </c>
      <c r="J1078" s="21" t="s">
        <v>3899</v>
      </c>
      <c r="K1078" s="21" t="s">
        <v>3900</v>
      </c>
      <c r="L1078" s="22" t="s">
        <v>37</v>
      </c>
      <c r="M1078" s="21" t="s">
        <v>163</v>
      </c>
      <c r="N1078" s="13" t="s">
        <v>106</v>
      </c>
      <c r="O1078" s="23" t="n">
        <v>6.29</v>
      </c>
      <c r="P1078" s="13" t="n">
        <v>1</v>
      </c>
      <c r="Q1078" s="24" t="n">
        <v>46310.9428125</v>
      </c>
      <c r="R1078" s="22"/>
      <c r="S1078" s="13" t="s">
        <v>164</v>
      </c>
      <c r="T1078" s="13" t="str">
        <f aca="false">IF(S1078="Oui",IF(R1078=L1078,"Identique","Changé"),"")</f>
        <v/>
      </c>
    </row>
    <row r="1079" customFormat="false" ht="57.45" hidden="false" customHeight="false" outlineLevel="0" collapsed="false">
      <c r="A1079" s="13" t="s">
        <v>3901</v>
      </c>
      <c r="B1079" s="13" t="s">
        <v>3894</v>
      </c>
      <c r="C1079" s="13" t="n">
        <v>3</v>
      </c>
      <c r="D1079" s="13" t="s">
        <v>135</v>
      </c>
      <c r="E1079" s="13" t="s">
        <v>570</v>
      </c>
      <c r="F1079" s="13" t="s">
        <v>2580</v>
      </c>
      <c r="G1079" s="13" t="s">
        <v>1790</v>
      </c>
      <c r="H1079" s="13" t="s">
        <v>101</v>
      </c>
      <c r="I1079" s="21" t="s">
        <v>3902</v>
      </c>
      <c r="J1079" s="21" t="s">
        <v>512</v>
      </c>
      <c r="K1079" s="21" t="s">
        <v>3903</v>
      </c>
      <c r="L1079" s="22" t="s">
        <v>37</v>
      </c>
      <c r="M1079" s="21" t="s">
        <v>163</v>
      </c>
      <c r="N1079" s="13" t="s">
        <v>106</v>
      </c>
      <c r="O1079" s="23" t="n">
        <v>11.16</v>
      </c>
      <c r="P1079" s="13" t="n">
        <v>1</v>
      </c>
      <c r="Q1079" s="24" t="n">
        <v>46310.9430439815</v>
      </c>
      <c r="R1079" s="22"/>
      <c r="S1079" s="13" t="s">
        <v>164</v>
      </c>
      <c r="T1079" s="13" t="str">
        <f aca="false">IF(S1079="Oui",IF(R1079=L1079,"Identique","Changé"),"")</f>
        <v/>
      </c>
    </row>
    <row r="1080" customFormat="false" ht="57.45" hidden="false" customHeight="false" outlineLevel="0" collapsed="false">
      <c r="A1080" s="13" t="s">
        <v>3904</v>
      </c>
      <c r="B1080" s="13" t="s">
        <v>3894</v>
      </c>
      <c r="C1080" s="13" t="n">
        <v>4</v>
      </c>
      <c r="D1080" s="13" t="s">
        <v>135</v>
      </c>
      <c r="E1080" s="13" t="s">
        <v>570</v>
      </c>
      <c r="F1080" s="13" t="s">
        <v>2580</v>
      </c>
      <c r="G1080" s="13" t="s">
        <v>1811</v>
      </c>
      <c r="H1080" s="13" t="s">
        <v>101</v>
      </c>
      <c r="I1080" s="21" t="s">
        <v>3905</v>
      </c>
      <c r="J1080" s="21" t="s">
        <v>1741</v>
      </c>
      <c r="K1080" s="21" t="s">
        <v>3906</v>
      </c>
      <c r="L1080" s="22" t="s">
        <v>37</v>
      </c>
      <c r="M1080" s="21" t="s">
        <v>163</v>
      </c>
      <c r="N1080" s="13" t="s">
        <v>106</v>
      </c>
      <c r="O1080" s="23" t="n">
        <v>7.18</v>
      </c>
      <c r="P1080" s="13" t="n">
        <v>1</v>
      </c>
      <c r="Q1080" s="24" t="n">
        <v>46310.9432407407</v>
      </c>
      <c r="R1080" s="22"/>
      <c r="S1080" s="13" t="s">
        <v>164</v>
      </c>
      <c r="T1080" s="13" t="str">
        <f aca="false">IF(S1080="Oui",IF(R1080=L1080,"Identique","Changé"),"")</f>
        <v/>
      </c>
    </row>
    <row r="1081" customFormat="false" ht="57.45" hidden="false" customHeight="false" outlineLevel="0" collapsed="false">
      <c r="A1081" s="13" t="s">
        <v>3907</v>
      </c>
      <c r="B1081" s="13" t="s">
        <v>3894</v>
      </c>
      <c r="C1081" s="13" t="n">
        <v>5</v>
      </c>
      <c r="D1081" s="13" t="s">
        <v>135</v>
      </c>
      <c r="E1081" s="13" t="s">
        <v>260</v>
      </c>
      <c r="F1081" s="13" t="s">
        <v>2580</v>
      </c>
      <c r="G1081" s="13" t="s">
        <v>1897</v>
      </c>
      <c r="H1081" s="13" t="s">
        <v>101</v>
      </c>
      <c r="I1081" s="21" t="s">
        <v>3908</v>
      </c>
      <c r="J1081" s="21" t="s">
        <v>1899</v>
      </c>
      <c r="K1081" s="21" t="s">
        <v>3909</v>
      </c>
      <c r="L1081" s="22" t="s">
        <v>37</v>
      </c>
      <c r="M1081" s="21" t="s">
        <v>163</v>
      </c>
      <c r="N1081" s="13" t="s">
        <v>106</v>
      </c>
      <c r="O1081" s="23" t="n">
        <v>9.54</v>
      </c>
      <c r="P1081" s="13" t="n">
        <v>1</v>
      </c>
      <c r="Q1081" s="24" t="n">
        <v>46310.9434606481</v>
      </c>
      <c r="R1081" s="22"/>
      <c r="S1081" s="13" t="s">
        <v>164</v>
      </c>
      <c r="T1081" s="13" t="str">
        <f aca="false">IF(S1081="Oui",IF(R1081=L1081,"Identique","Changé"),"")</f>
        <v/>
      </c>
    </row>
    <row r="1082" customFormat="false" ht="68.65" hidden="false" customHeight="false" outlineLevel="0" collapsed="false">
      <c r="A1082" s="13" t="s">
        <v>3910</v>
      </c>
      <c r="B1082" s="13" t="s">
        <v>3911</v>
      </c>
      <c r="C1082" s="13" t="n">
        <v>1</v>
      </c>
      <c r="D1082" s="13" t="s">
        <v>97</v>
      </c>
      <c r="E1082" s="13" t="s">
        <v>570</v>
      </c>
      <c r="F1082" s="13" t="s">
        <v>296</v>
      </c>
      <c r="G1082" s="13" t="s">
        <v>1785</v>
      </c>
      <c r="H1082" s="13" t="s">
        <v>101</v>
      </c>
      <c r="I1082" s="21" t="s">
        <v>3912</v>
      </c>
      <c r="J1082" s="21" t="s">
        <v>1741</v>
      </c>
      <c r="K1082" s="21" t="s">
        <v>3913</v>
      </c>
      <c r="L1082" s="22" t="s">
        <v>36</v>
      </c>
      <c r="M1082" s="21" t="s">
        <v>235</v>
      </c>
      <c r="N1082" s="13" t="s">
        <v>106</v>
      </c>
      <c r="O1082" s="23" t="n">
        <v>33.09</v>
      </c>
      <c r="P1082" s="13" t="n">
        <v>1</v>
      </c>
      <c r="Q1082" s="24" t="n">
        <v>46310.9440046296</v>
      </c>
      <c r="R1082" s="22"/>
      <c r="S1082" s="13" t="s">
        <v>164</v>
      </c>
      <c r="T1082" s="13" t="str">
        <f aca="false">IF(S1082="Oui",IF(R1082=L1082,"Identique","Changé"),"")</f>
        <v/>
      </c>
    </row>
    <row r="1083" customFormat="false" ht="35.05" hidden="false" customHeight="false" outlineLevel="0" collapsed="false">
      <c r="A1083" s="13" t="s">
        <v>3914</v>
      </c>
      <c r="B1083" s="13" t="s">
        <v>3911</v>
      </c>
      <c r="C1083" s="13" t="n">
        <v>2</v>
      </c>
      <c r="D1083" s="13" t="s">
        <v>97</v>
      </c>
      <c r="E1083" s="13" t="s">
        <v>158</v>
      </c>
      <c r="F1083" s="13" t="s">
        <v>296</v>
      </c>
      <c r="G1083" s="13" t="s">
        <v>1951</v>
      </c>
      <c r="H1083" s="13" t="s">
        <v>101</v>
      </c>
      <c r="I1083" s="21" t="s">
        <v>3915</v>
      </c>
      <c r="J1083" s="21" t="s">
        <v>512</v>
      </c>
      <c r="K1083" s="21" t="s">
        <v>3916</v>
      </c>
      <c r="L1083" s="22" t="s">
        <v>36</v>
      </c>
      <c r="M1083" s="21" t="s">
        <v>120</v>
      </c>
      <c r="N1083" s="13" t="s">
        <v>106</v>
      </c>
      <c r="O1083" s="23" t="n">
        <v>9.25</v>
      </c>
      <c r="P1083" s="13" t="n">
        <v>1</v>
      </c>
      <c r="Q1083" s="24" t="n">
        <v>46310.944212963</v>
      </c>
      <c r="R1083" s="22"/>
      <c r="S1083" s="13" t="s">
        <v>164</v>
      </c>
      <c r="T1083" s="13" t="str">
        <f aca="false">IF(S1083="Oui",IF(R1083=L1083,"Identique","Changé"),"")</f>
        <v/>
      </c>
    </row>
    <row r="1084" customFormat="false" ht="46.25" hidden="false" customHeight="false" outlineLevel="0" collapsed="false">
      <c r="A1084" s="13" t="s">
        <v>3917</v>
      </c>
      <c r="B1084" s="13" t="s">
        <v>3911</v>
      </c>
      <c r="C1084" s="13" t="n">
        <v>3</v>
      </c>
      <c r="D1084" s="13" t="s">
        <v>97</v>
      </c>
      <c r="E1084" s="13" t="s">
        <v>185</v>
      </c>
      <c r="F1084" s="13" t="s">
        <v>1151</v>
      </c>
      <c r="G1084" s="13" t="s">
        <v>2483</v>
      </c>
      <c r="H1084" s="13" t="s">
        <v>152</v>
      </c>
      <c r="I1084" s="21" t="s">
        <v>3918</v>
      </c>
      <c r="J1084" s="21" t="s">
        <v>154</v>
      </c>
      <c r="K1084" s="21" t="s">
        <v>3919</v>
      </c>
      <c r="L1084" s="22" t="s">
        <v>40</v>
      </c>
      <c r="M1084" s="21" t="s">
        <v>156</v>
      </c>
      <c r="N1084" s="13" t="s">
        <v>106</v>
      </c>
      <c r="O1084" s="23" t="n">
        <v>10.67</v>
      </c>
      <c r="P1084" s="13" t="n">
        <v>1</v>
      </c>
      <c r="Q1084" s="24" t="n">
        <v>46310.9444328704</v>
      </c>
      <c r="R1084" s="22"/>
      <c r="S1084" s="13" t="s">
        <v>164</v>
      </c>
      <c r="T1084" s="13" t="str">
        <f aca="false">IF(S1084="Oui",IF(R1084=L1084,"Identique","Changé"),"")</f>
        <v/>
      </c>
    </row>
    <row r="1085" customFormat="false" ht="35.05" hidden="false" customHeight="false" outlineLevel="0" collapsed="false">
      <c r="A1085" s="13" t="s">
        <v>3920</v>
      </c>
      <c r="B1085" s="13" t="s">
        <v>3911</v>
      </c>
      <c r="C1085" s="13" t="n">
        <v>4</v>
      </c>
      <c r="D1085" s="13" t="s">
        <v>97</v>
      </c>
      <c r="E1085" s="13" t="s">
        <v>570</v>
      </c>
      <c r="F1085" s="13" t="s">
        <v>1151</v>
      </c>
      <c r="G1085" s="13" t="s">
        <v>1794</v>
      </c>
      <c r="H1085" s="13" t="s">
        <v>101</v>
      </c>
      <c r="I1085" s="21" t="s">
        <v>3921</v>
      </c>
      <c r="J1085" s="21" t="s">
        <v>1741</v>
      </c>
      <c r="K1085" s="21" t="s">
        <v>3922</v>
      </c>
      <c r="L1085" s="22" t="s">
        <v>38</v>
      </c>
      <c r="M1085" s="21" t="s">
        <v>1822</v>
      </c>
      <c r="N1085" s="13" t="s">
        <v>106</v>
      </c>
      <c r="O1085" s="23" t="n">
        <v>11.39</v>
      </c>
      <c r="P1085" s="13" t="n">
        <v>1</v>
      </c>
      <c r="Q1085" s="24" t="n">
        <v>46310.9446643519</v>
      </c>
      <c r="R1085" s="22"/>
      <c r="S1085" s="13" t="s">
        <v>164</v>
      </c>
      <c r="T1085" s="13" t="str">
        <f aca="false">IF(S1085="Oui",IF(R1085=L1085,"Identique","Changé"),"")</f>
        <v/>
      </c>
    </row>
    <row r="1086" customFormat="false" ht="68.65" hidden="false" customHeight="false" outlineLevel="0" collapsed="false">
      <c r="A1086" s="13" t="s">
        <v>3923</v>
      </c>
      <c r="B1086" s="13" t="s">
        <v>3911</v>
      </c>
      <c r="C1086" s="13" t="n">
        <v>5</v>
      </c>
      <c r="D1086" s="13" t="s">
        <v>97</v>
      </c>
      <c r="E1086" s="13" t="s">
        <v>122</v>
      </c>
      <c r="F1086" s="13" t="s">
        <v>296</v>
      </c>
      <c r="G1086" s="13" t="s">
        <v>1905</v>
      </c>
      <c r="H1086" s="13" t="s">
        <v>101</v>
      </c>
      <c r="I1086" s="21" t="s">
        <v>3924</v>
      </c>
      <c r="J1086" s="21" t="s">
        <v>284</v>
      </c>
      <c r="K1086" s="21" t="s">
        <v>3925</v>
      </c>
      <c r="L1086" s="22" t="s">
        <v>37</v>
      </c>
      <c r="M1086" s="21" t="s">
        <v>163</v>
      </c>
      <c r="N1086" s="13" t="s">
        <v>106</v>
      </c>
      <c r="O1086" s="23" t="n">
        <v>13.17</v>
      </c>
      <c r="P1086" s="13" t="n">
        <v>1</v>
      </c>
      <c r="Q1086" s="24" t="n">
        <v>46310.9449189815</v>
      </c>
      <c r="R1086" s="22"/>
      <c r="S1086" s="13" t="s">
        <v>164</v>
      </c>
      <c r="T1086" s="13" t="str">
        <f aca="false">IF(S1086="Oui",IF(R1086=L1086,"Identique","Changé"),"")</f>
        <v/>
      </c>
    </row>
    <row r="1087" customFormat="false" ht="57.45" hidden="false" customHeight="false" outlineLevel="0" collapsed="false">
      <c r="A1087" s="13" t="s">
        <v>3926</v>
      </c>
      <c r="B1087" s="13" t="s">
        <v>3927</v>
      </c>
      <c r="C1087" s="13" t="n">
        <v>1</v>
      </c>
      <c r="D1087" s="13" t="s">
        <v>135</v>
      </c>
      <c r="E1087" s="13" t="s">
        <v>122</v>
      </c>
      <c r="F1087" s="13" t="s">
        <v>2617</v>
      </c>
      <c r="G1087" s="13" t="s">
        <v>1744</v>
      </c>
      <c r="H1087" s="13" t="s">
        <v>101</v>
      </c>
      <c r="I1087" s="21" t="s">
        <v>3928</v>
      </c>
      <c r="J1087" s="21" t="s">
        <v>1741</v>
      </c>
      <c r="K1087" s="21" t="s">
        <v>3929</v>
      </c>
      <c r="L1087" s="22" t="s">
        <v>36</v>
      </c>
      <c r="M1087" s="21" t="s">
        <v>235</v>
      </c>
      <c r="N1087" s="13" t="s">
        <v>106</v>
      </c>
      <c r="O1087" s="23" t="n">
        <v>41.83</v>
      </c>
      <c r="P1087" s="13" t="n">
        <v>2</v>
      </c>
      <c r="Q1087" s="24" t="n">
        <v>46310.950150463</v>
      </c>
      <c r="R1087" s="22"/>
      <c r="S1087" s="13" t="s">
        <v>164</v>
      </c>
      <c r="T1087" s="13" t="str">
        <f aca="false">IF(S1087="Oui",IF(R1087=L1087,"Identique","Changé"),"")</f>
        <v/>
      </c>
    </row>
    <row r="1088" customFormat="false" ht="35.05" hidden="false" customHeight="false" outlineLevel="0" collapsed="false">
      <c r="A1088" s="13" t="s">
        <v>3930</v>
      </c>
      <c r="B1088" s="13" t="s">
        <v>3927</v>
      </c>
      <c r="C1088" s="13" t="n">
        <v>2</v>
      </c>
      <c r="D1088" s="13" t="s">
        <v>135</v>
      </c>
      <c r="E1088" s="13" t="s">
        <v>122</v>
      </c>
      <c r="F1088" s="13" t="s">
        <v>2617</v>
      </c>
      <c r="G1088" s="13" t="s">
        <v>1848</v>
      </c>
      <c r="H1088" s="13" t="s">
        <v>101</v>
      </c>
      <c r="I1088" s="21" t="s">
        <v>3931</v>
      </c>
      <c r="J1088" s="21" t="s">
        <v>3932</v>
      </c>
      <c r="K1088" s="21" t="s">
        <v>3933</v>
      </c>
      <c r="L1088" s="22" t="s">
        <v>36</v>
      </c>
      <c r="M1088" s="21" t="s">
        <v>235</v>
      </c>
      <c r="N1088" s="13" t="s">
        <v>106</v>
      </c>
      <c r="O1088" s="23" t="n">
        <v>9.77</v>
      </c>
      <c r="P1088" s="13" t="n">
        <v>2</v>
      </c>
      <c r="Q1088" s="24" t="n">
        <v>46310.9503587963</v>
      </c>
      <c r="R1088" s="22"/>
      <c r="S1088" s="13" t="s">
        <v>164</v>
      </c>
      <c r="T1088" s="13" t="str">
        <f aca="false">IF(S1088="Oui",IF(R1088=L1088,"Identique","Changé"),"")</f>
        <v/>
      </c>
    </row>
    <row r="1089" customFormat="false" ht="35.05" hidden="false" customHeight="false" outlineLevel="0" collapsed="false">
      <c r="A1089" s="13" t="s">
        <v>3934</v>
      </c>
      <c r="B1089" s="13" t="s">
        <v>3927</v>
      </c>
      <c r="C1089" s="13" t="n">
        <v>3</v>
      </c>
      <c r="D1089" s="13" t="s">
        <v>135</v>
      </c>
      <c r="E1089" s="13" t="s">
        <v>122</v>
      </c>
      <c r="F1089" s="13" t="s">
        <v>2617</v>
      </c>
      <c r="G1089" s="13" t="s">
        <v>1891</v>
      </c>
      <c r="H1089" s="13" t="s">
        <v>101</v>
      </c>
      <c r="I1089" s="21" t="s">
        <v>3935</v>
      </c>
      <c r="J1089" s="21" t="s">
        <v>1741</v>
      </c>
      <c r="K1089" s="21" t="s">
        <v>3936</v>
      </c>
      <c r="L1089" s="22" t="s">
        <v>36</v>
      </c>
      <c r="M1089" s="21" t="s">
        <v>235</v>
      </c>
      <c r="N1089" s="13" t="s">
        <v>106</v>
      </c>
      <c r="O1089" s="23" t="n">
        <v>9.97</v>
      </c>
      <c r="P1089" s="13" t="n">
        <v>2</v>
      </c>
      <c r="Q1089" s="24" t="n">
        <v>46310.9505787037</v>
      </c>
      <c r="R1089" s="22"/>
      <c r="S1089" s="13" t="s">
        <v>164</v>
      </c>
      <c r="T1089" s="13" t="str">
        <f aca="false">IF(S1089="Oui",IF(R1089=L1089,"Identique","Changé"),"")</f>
        <v/>
      </c>
    </row>
    <row r="1090" customFormat="false" ht="236.55" hidden="false" customHeight="false" outlineLevel="0" collapsed="false">
      <c r="A1090" s="13" t="s">
        <v>3937</v>
      </c>
      <c r="B1090" s="13" t="s">
        <v>3927</v>
      </c>
      <c r="C1090" s="13" t="n">
        <v>4</v>
      </c>
      <c r="D1090" s="13" t="s">
        <v>135</v>
      </c>
      <c r="E1090" s="13" t="s">
        <v>1730</v>
      </c>
      <c r="F1090" s="13" t="s">
        <v>2617</v>
      </c>
      <c r="G1090" s="13" t="s">
        <v>1732</v>
      </c>
      <c r="H1090" s="13" t="s">
        <v>101</v>
      </c>
      <c r="I1090" s="21" t="s">
        <v>3938</v>
      </c>
      <c r="J1090" s="21" t="s">
        <v>3939</v>
      </c>
      <c r="K1090" s="21" t="s">
        <v>3940</v>
      </c>
      <c r="L1090" s="22" t="s">
        <v>36</v>
      </c>
      <c r="M1090" s="21" t="s">
        <v>3941</v>
      </c>
      <c r="N1090" s="13" t="s">
        <v>106</v>
      </c>
      <c r="O1090" s="23" t="n">
        <v>10.52</v>
      </c>
      <c r="P1090" s="13" t="n">
        <v>2</v>
      </c>
      <c r="Q1090" s="24" t="n">
        <v>46310.9508101852</v>
      </c>
      <c r="R1090" s="22"/>
      <c r="S1090" s="13" t="s">
        <v>164</v>
      </c>
      <c r="T1090" s="13" t="str">
        <f aca="false">IF(S1090="Oui",IF(R1090=L1090,"Identique","Changé"),"")</f>
        <v/>
      </c>
    </row>
    <row r="1091" customFormat="false" ht="35.05" hidden="false" customHeight="false" outlineLevel="0" collapsed="false">
      <c r="A1091" s="13" t="s">
        <v>3942</v>
      </c>
      <c r="B1091" s="13" t="s">
        <v>3927</v>
      </c>
      <c r="C1091" s="13" t="n">
        <v>5</v>
      </c>
      <c r="D1091" s="13" t="s">
        <v>135</v>
      </c>
      <c r="E1091" s="13" t="s">
        <v>171</v>
      </c>
      <c r="F1091" s="13" t="s">
        <v>2617</v>
      </c>
      <c r="G1091" s="13" t="s">
        <v>222</v>
      </c>
      <c r="H1091" s="13" t="s">
        <v>101</v>
      </c>
      <c r="I1091" s="21" t="s">
        <v>3943</v>
      </c>
      <c r="J1091" s="21" t="s">
        <v>224</v>
      </c>
      <c r="K1091" s="21" t="s">
        <v>3944</v>
      </c>
      <c r="L1091" s="22" t="s">
        <v>36</v>
      </c>
      <c r="M1091" s="21" t="s">
        <v>120</v>
      </c>
      <c r="N1091" s="13" t="s">
        <v>106</v>
      </c>
      <c r="O1091" s="23" t="n">
        <v>19.4</v>
      </c>
      <c r="P1091" s="13" t="n">
        <v>2</v>
      </c>
      <c r="Q1091" s="24" t="n">
        <v>46310.9511342593</v>
      </c>
      <c r="R1091" s="22"/>
      <c r="S1091" s="13" t="s">
        <v>164</v>
      </c>
      <c r="T1091" s="13" t="str">
        <f aca="false">IF(S1091="Oui",IF(R1091=L1091,"Identique","Changé"),"")</f>
        <v/>
      </c>
    </row>
    <row r="1092" customFormat="false" ht="68.65" hidden="false" customHeight="false" outlineLevel="0" collapsed="false">
      <c r="A1092" s="13" t="s">
        <v>3945</v>
      </c>
      <c r="B1092" s="13" t="s">
        <v>3946</v>
      </c>
      <c r="C1092" s="13" t="n">
        <v>1</v>
      </c>
      <c r="D1092" s="13" t="s">
        <v>97</v>
      </c>
      <c r="E1092" s="13" t="s">
        <v>98</v>
      </c>
      <c r="F1092" s="13" t="s">
        <v>1027</v>
      </c>
      <c r="G1092" s="13" t="s">
        <v>2478</v>
      </c>
      <c r="H1092" s="13" t="s">
        <v>101</v>
      </c>
      <c r="I1092" s="21" t="s">
        <v>3947</v>
      </c>
      <c r="J1092" s="21" t="s">
        <v>3948</v>
      </c>
      <c r="K1092" s="21" t="s">
        <v>3949</v>
      </c>
      <c r="L1092" s="22" t="s">
        <v>37</v>
      </c>
      <c r="M1092" s="21" t="s">
        <v>163</v>
      </c>
      <c r="N1092" s="13" t="s">
        <v>106</v>
      </c>
      <c r="O1092" s="23" t="n">
        <v>18.64</v>
      </c>
      <c r="P1092" s="13" t="n">
        <v>1</v>
      </c>
      <c r="Q1092" s="24" t="n">
        <v>46310.9515509259</v>
      </c>
      <c r="R1092" s="22"/>
      <c r="S1092" s="13" t="s">
        <v>164</v>
      </c>
      <c r="T1092" s="13" t="str">
        <f aca="false">IF(S1092="Oui",IF(R1092=L1092,"Identique","Changé"),"")</f>
        <v/>
      </c>
    </row>
    <row r="1093" customFormat="false" ht="471.6" hidden="false" customHeight="false" outlineLevel="0" collapsed="false">
      <c r="A1093" s="13" t="s">
        <v>3950</v>
      </c>
      <c r="B1093" s="13" t="s">
        <v>3946</v>
      </c>
      <c r="C1093" s="13" t="n">
        <v>2</v>
      </c>
      <c r="D1093" s="13" t="s">
        <v>97</v>
      </c>
      <c r="E1093" s="13" t="s">
        <v>1730</v>
      </c>
      <c r="F1093" s="13" t="s">
        <v>1027</v>
      </c>
      <c r="G1093" s="13" t="s">
        <v>2003</v>
      </c>
      <c r="H1093" s="13" t="s">
        <v>101</v>
      </c>
      <c r="I1093" s="21" t="s">
        <v>3951</v>
      </c>
      <c r="J1093" s="21" t="s">
        <v>3952</v>
      </c>
      <c r="K1093" s="21" t="s">
        <v>3953</v>
      </c>
      <c r="L1093" s="22" t="s">
        <v>36</v>
      </c>
      <c r="M1093" s="21" t="s">
        <v>120</v>
      </c>
      <c r="N1093" s="13" t="s">
        <v>106</v>
      </c>
      <c r="O1093" s="23" t="n">
        <v>21.04</v>
      </c>
      <c r="P1093" s="13" t="n">
        <v>1</v>
      </c>
      <c r="Q1093" s="24" t="n">
        <v>46310.9518865741</v>
      </c>
      <c r="R1093" s="22"/>
      <c r="S1093" s="13" t="s">
        <v>164</v>
      </c>
      <c r="T1093" s="13" t="str">
        <f aca="false">IF(S1093="Oui",IF(R1093=L1093,"Identique","Changé"),"")</f>
        <v/>
      </c>
    </row>
    <row r="1094" customFormat="false" ht="68.65" hidden="false" customHeight="false" outlineLevel="0" collapsed="false">
      <c r="A1094" s="13" t="s">
        <v>3954</v>
      </c>
      <c r="B1094" s="13" t="s">
        <v>3946</v>
      </c>
      <c r="C1094" s="13" t="n">
        <v>3</v>
      </c>
      <c r="D1094" s="13" t="s">
        <v>97</v>
      </c>
      <c r="E1094" s="13" t="s">
        <v>122</v>
      </c>
      <c r="F1094" s="13" t="s">
        <v>1448</v>
      </c>
      <c r="G1094" s="13" t="s">
        <v>1819</v>
      </c>
      <c r="H1094" s="13" t="s">
        <v>101</v>
      </c>
      <c r="I1094" s="21" t="s">
        <v>3955</v>
      </c>
      <c r="J1094" s="21" t="s">
        <v>1741</v>
      </c>
      <c r="K1094" s="21" t="s">
        <v>3956</v>
      </c>
      <c r="L1094" s="22" t="s">
        <v>36</v>
      </c>
      <c r="M1094" s="21" t="s">
        <v>235</v>
      </c>
      <c r="N1094" s="13" t="s">
        <v>106</v>
      </c>
      <c r="O1094" s="23" t="n">
        <v>12.97</v>
      </c>
      <c r="P1094" s="13" t="n">
        <v>1</v>
      </c>
      <c r="Q1094" s="24" t="n">
        <v>46310.9521412037</v>
      </c>
      <c r="R1094" s="22"/>
      <c r="S1094" s="13" t="s">
        <v>164</v>
      </c>
      <c r="T1094" s="13" t="str">
        <f aca="false">IF(S1094="Oui",IF(R1094=L1094,"Identique","Changé"),"")</f>
        <v/>
      </c>
    </row>
    <row r="1095" customFormat="false" ht="46.25" hidden="false" customHeight="false" outlineLevel="0" collapsed="false">
      <c r="A1095" s="13" t="s">
        <v>3957</v>
      </c>
      <c r="B1095" s="13" t="s">
        <v>3946</v>
      </c>
      <c r="C1095" s="13" t="n">
        <v>4</v>
      </c>
      <c r="D1095" s="13" t="s">
        <v>97</v>
      </c>
      <c r="E1095" s="13" t="s">
        <v>570</v>
      </c>
      <c r="F1095" s="13" t="s">
        <v>1448</v>
      </c>
      <c r="G1095" s="13" t="s">
        <v>1739</v>
      </c>
      <c r="H1095" s="13" t="s">
        <v>152</v>
      </c>
      <c r="I1095" s="21" t="s">
        <v>3958</v>
      </c>
      <c r="J1095" s="21" t="s">
        <v>154</v>
      </c>
      <c r="K1095" s="21" t="s">
        <v>3959</v>
      </c>
      <c r="L1095" s="22" t="s">
        <v>40</v>
      </c>
      <c r="M1095" s="21" t="s">
        <v>156</v>
      </c>
      <c r="N1095" s="13" t="s">
        <v>106</v>
      </c>
      <c r="O1095" s="23" t="n">
        <v>10.24</v>
      </c>
      <c r="P1095" s="13" t="n">
        <v>1</v>
      </c>
      <c r="Q1095" s="24" t="n">
        <v>46310.9523726852</v>
      </c>
      <c r="R1095" s="22"/>
      <c r="S1095" s="13" t="s">
        <v>164</v>
      </c>
      <c r="T1095" s="13" t="str">
        <f aca="false">IF(S1095="Oui",IF(R1095=L1095,"Identique","Changé"),"")</f>
        <v/>
      </c>
    </row>
    <row r="1096" customFormat="false" ht="35.05" hidden="false" customHeight="false" outlineLevel="0" collapsed="false">
      <c r="A1096" s="13" t="s">
        <v>3960</v>
      </c>
      <c r="B1096" s="13" t="s">
        <v>3946</v>
      </c>
      <c r="C1096" s="13" t="n">
        <v>5</v>
      </c>
      <c r="D1096" s="13" t="s">
        <v>97</v>
      </c>
      <c r="E1096" s="13" t="s">
        <v>570</v>
      </c>
      <c r="F1096" s="13" t="s">
        <v>1027</v>
      </c>
      <c r="G1096" s="13" t="s">
        <v>1758</v>
      </c>
      <c r="H1096" s="13" t="s">
        <v>101</v>
      </c>
      <c r="I1096" s="21" t="s">
        <v>3961</v>
      </c>
      <c r="J1096" s="21" t="s">
        <v>1741</v>
      </c>
      <c r="K1096" s="21" t="s">
        <v>3962</v>
      </c>
      <c r="L1096" s="22" t="s">
        <v>36</v>
      </c>
      <c r="M1096" s="21" t="s">
        <v>235</v>
      </c>
      <c r="N1096" s="13" t="s">
        <v>106</v>
      </c>
      <c r="O1096" s="23" t="n">
        <v>9.25</v>
      </c>
      <c r="P1096" s="13" t="n">
        <v>1</v>
      </c>
      <c r="Q1096" s="24" t="n">
        <v>46310.9525810185</v>
      </c>
      <c r="R1096" s="22"/>
      <c r="S1096" s="13" t="s">
        <v>164</v>
      </c>
      <c r="T1096" s="13" t="str">
        <f aca="false">IF(S1096="Oui",IF(R1096=L1096,"Identique","Changé"),"")</f>
        <v/>
      </c>
    </row>
    <row r="1097" customFormat="false" ht="46.25" hidden="false" customHeight="false" outlineLevel="0" collapsed="false">
      <c r="A1097" s="13" t="s">
        <v>3963</v>
      </c>
      <c r="B1097" s="13" t="s">
        <v>3964</v>
      </c>
      <c r="C1097" s="13" t="n">
        <v>1</v>
      </c>
      <c r="D1097" s="13" t="s">
        <v>135</v>
      </c>
      <c r="E1097" s="13" t="s">
        <v>98</v>
      </c>
      <c r="F1097" s="13" t="s">
        <v>3965</v>
      </c>
      <c r="G1097" s="13" t="s">
        <v>2500</v>
      </c>
      <c r="H1097" s="13" t="s">
        <v>101</v>
      </c>
      <c r="I1097" s="21" t="s">
        <v>3966</v>
      </c>
      <c r="J1097" s="21" t="s">
        <v>3967</v>
      </c>
      <c r="K1097" s="21" t="s">
        <v>3968</v>
      </c>
      <c r="L1097" s="22" t="s">
        <v>36</v>
      </c>
      <c r="M1097" s="21" t="s">
        <v>2135</v>
      </c>
      <c r="N1097" s="13" t="s">
        <v>106</v>
      </c>
      <c r="O1097" s="23" t="n">
        <v>25.4</v>
      </c>
      <c r="P1097" s="13" t="n">
        <v>1</v>
      </c>
      <c r="Q1097" s="24" t="n">
        <v>46310.9530555556</v>
      </c>
      <c r="R1097" s="22"/>
      <c r="S1097" s="13" t="s">
        <v>164</v>
      </c>
      <c r="T1097" s="13" t="str">
        <f aca="false">IF(S1097="Oui",IF(R1097=L1097,"Identique","Changé"),"")</f>
        <v/>
      </c>
    </row>
    <row r="1098" customFormat="false" ht="46.25" hidden="false" customHeight="false" outlineLevel="0" collapsed="false">
      <c r="A1098" s="13" t="s">
        <v>3969</v>
      </c>
      <c r="B1098" s="13" t="s">
        <v>3964</v>
      </c>
      <c r="C1098" s="13" t="n">
        <v>2</v>
      </c>
      <c r="D1098" s="13" t="s">
        <v>135</v>
      </c>
      <c r="E1098" s="13" t="s">
        <v>128</v>
      </c>
      <c r="F1098" s="13" t="s">
        <v>3965</v>
      </c>
      <c r="G1098" s="13" t="s">
        <v>129</v>
      </c>
      <c r="H1098" s="13" t="s">
        <v>101</v>
      </c>
      <c r="I1098" s="21" t="s">
        <v>3970</v>
      </c>
      <c r="J1098" s="21" t="s">
        <v>131</v>
      </c>
      <c r="K1098" s="21" t="s">
        <v>3971</v>
      </c>
      <c r="L1098" s="22" t="s">
        <v>36</v>
      </c>
      <c r="M1098" s="21" t="s">
        <v>120</v>
      </c>
      <c r="N1098" s="13" t="s">
        <v>106</v>
      </c>
      <c r="O1098" s="23" t="n">
        <v>17.39</v>
      </c>
      <c r="P1098" s="13" t="n">
        <v>1</v>
      </c>
      <c r="Q1098" s="24" t="n">
        <v>46310.9533564815</v>
      </c>
      <c r="R1098" s="22"/>
      <c r="S1098" s="13" t="s">
        <v>164</v>
      </c>
      <c r="T1098" s="13" t="str">
        <f aca="false">IF(S1098="Oui",IF(R1098=L1098,"Identique","Changé"),"")</f>
        <v/>
      </c>
    </row>
    <row r="1099" customFormat="false" ht="46.25" hidden="false" customHeight="false" outlineLevel="0" collapsed="false">
      <c r="A1099" s="13" t="s">
        <v>3972</v>
      </c>
      <c r="B1099" s="13" t="s">
        <v>3964</v>
      </c>
      <c r="C1099" s="13" t="n">
        <v>3</v>
      </c>
      <c r="D1099" s="13" t="s">
        <v>135</v>
      </c>
      <c r="E1099" s="13" t="s">
        <v>570</v>
      </c>
      <c r="F1099" s="13" t="s">
        <v>3973</v>
      </c>
      <c r="G1099" s="13" t="s">
        <v>1800</v>
      </c>
      <c r="H1099" s="13" t="s">
        <v>101</v>
      </c>
      <c r="I1099" s="21" t="s">
        <v>3974</v>
      </c>
      <c r="J1099" s="21" t="s">
        <v>3975</v>
      </c>
      <c r="K1099" s="21" t="s">
        <v>3976</v>
      </c>
      <c r="L1099" s="22" t="s">
        <v>36</v>
      </c>
      <c r="M1099" s="21" t="s">
        <v>235</v>
      </c>
      <c r="N1099" s="13" t="s">
        <v>106</v>
      </c>
      <c r="O1099" s="23" t="n">
        <v>10.12</v>
      </c>
      <c r="P1099" s="13" t="n">
        <v>1</v>
      </c>
      <c r="Q1099" s="24" t="n">
        <v>46310.9535763889</v>
      </c>
      <c r="R1099" s="22"/>
      <c r="S1099" s="13" t="s">
        <v>164</v>
      </c>
      <c r="T1099" s="13" t="str">
        <f aca="false">IF(S1099="Oui",IF(R1099=L1099,"Identique","Changé"),"")</f>
        <v/>
      </c>
    </row>
    <row r="1100" customFormat="false" ht="46.25" hidden="false" customHeight="false" outlineLevel="0" collapsed="false">
      <c r="A1100" s="13" t="s">
        <v>3977</v>
      </c>
      <c r="B1100" s="13" t="s">
        <v>3964</v>
      </c>
      <c r="C1100" s="13" t="n">
        <v>4</v>
      </c>
      <c r="D1100" s="13" t="s">
        <v>135</v>
      </c>
      <c r="E1100" s="13" t="s">
        <v>128</v>
      </c>
      <c r="F1100" s="13" t="s">
        <v>3973</v>
      </c>
      <c r="G1100" s="13" t="s">
        <v>1975</v>
      </c>
      <c r="H1100" s="13" t="s">
        <v>101</v>
      </c>
      <c r="I1100" s="21" t="s">
        <v>3978</v>
      </c>
      <c r="J1100" s="21" t="s">
        <v>284</v>
      </c>
      <c r="K1100" s="21" t="s">
        <v>3979</v>
      </c>
      <c r="L1100" s="22" t="s">
        <v>36</v>
      </c>
      <c r="M1100" s="21" t="s">
        <v>120</v>
      </c>
      <c r="N1100" s="13" t="s">
        <v>106</v>
      </c>
      <c r="O1100" s="23" t="n">
        <v>9.87</v>
      </c>
      <c r="P1100" s="13" t="n">
        <v>1</v>
      </c>
      <c r="Q1100" s="24" t="n">
        <v>46310.9538078704</v>
      </c>
      <c r="R1100" s="22"/>
      <c r="S1100" s="13" t="s">
        <v>164</v>
      </c>
      <c r="T1100" s="13" t="str">
        <f aca="false">IF(S1100="Oui",IF(R1100=L1100,"Identique","Changé"),"")</f>
        <v/>
      </c>
    </row>
    <row r="1101" customFormat="false" ht="46.25" hidden="false" customHeight="false" outlineLevel="0" collapsed="false">
      <c r="A1101" s="13" t="s">
        <v>3980</v>
      </c>
      <c r="B1101" s="13" t="s">
        <v>3964</v>
      </c>
      <c r="C1101" s="13" t="n">
        <v>5</v>
      </c>
      <c r="D1101" s="13" t="s">
        <v>135</v>
      </c>
      <c r="E1101" s="13" t="s">
        <v>570</v>
      </c>
      <c r="F1101" s="13" t="s">
        <v>3965</v>
      </c>
      <c r="G1101" s="13" t="s">
        <v>1775</v>
      </c>
      <c r="H1101" s="13" t="s">
        <v>101</v>
      </c>
      <c r="I1101" s="21" t="s">
        <v>3981</v>
      </c>
      <c r="J1101" s="21" t="s">
        <v>1777</v>
      </c>
      <c r="K1101" s="21" t="s">
        <v>3982</v>
      </c>
      <c r="L1101" s="22" t="s">
        <v>36</v>
      </c>
      <c r="M1101" s="21" t="s">
        <v>120</v>
      </c>
      <c r="N1101" s="13" t="s">
        <v>106</v>
      </c>
      <c r="O1101" s="23" t="n">
        <v>10.44</v>
      </c>
      <c r="P1101" s="13" t="n">
        <v>1</v>
      </c>
      <c r="Q1101" s="24" t="n">
        <v>46310.9540277778</v>
      </c>
      <c r="R1101" s="22"/>
      <c r="S1101" s="13" t="s">
        <v>164</v>
      </c>
      <c r="T1101" s="13" t="str">
        <f aca="false">IF(S1101="Oui",IF(R1101=L1101,"Identique","Changé"),"")</f>
        <v/>
      </c>
    </row>
    <row r="1102" customFormat="false" ht="35.05" hidden="false" customHeight="false" outlineLevel="0" collapsed="false">
      <c r="A1102" s="13" t="s">
        <v>3983</v>
      </c>
      <c r="B1102" s="13" t="s">
        <v>3984</v>
      </c>
      <c r="C1102" s="13" t="n">
        <v>1</v>
      </c>
      <c r="D1102" s="13" t="s">
        <v>97</v>
      </c>
      <c r="E1102" s="13" t="s">
        <v>185</v>
      </c>
      <c r="F1102" s="13" t="s">
        <v>999</v>
      </c>
      <c r="G1102" s="13" t="s">
        <v>2131</v>
      </c>
      <c r="H1102" s="13" t="s">
        <v>101</v>
      </c>
      <c r="I1102" s="21" t="s">
        <v>3985</v>
      </c>
      <c r="J1102" s="21" t="s">
        <v>3986</v>
      </c>
      <c r="K1102" s="21" t="s">
        <v>3987</v>
      </c>
      <c r="L1102" s="22" t="s">
        <v>36</v>
      </c>
      <c r="M1102" s="21" t="s">
        <v>2135</v>
      </c>
      <c r="N1102" s="13" t="s">
        <v>106</v>
      </c>
      <c r="O1102" s="23" t="n">
        <v>26.84</v>
      </c>
      <c r="P1102" s="13" t="n">
        <v>2</v>
      </c>
      <c r="Q1102" s="24" t="n">
        <v>46310.9590972222</v>
      </c>
      <c r="R1102" s="22"/>
      <c r="S1102" s="13" t="s">
        <v>164</v>
      </c>
      <c r="T1102" s="13" t="str">
        <f aca="false">IF(S1102="Oui",IF(R1102=L1102,"Identique","Changé"),"")</f>
        <v/>
      </c>
    </row>
    <row r="1103" customFormat="false" ht="46.25" hidden="false" customHeight="false" outlineLevel="0" collapsed="false">
      <c r="A1103" s="13" t="s">
        <v>3988</v>
      </c>
      <c r="B1103" s="13" t="s">
        <v>3984</v>
      </c>
      <c r="C1103" s="13" t="n">
        <v>2</v>
      </c>
      <c r="D1103" s="13" t="s">
        <v>97</v>
      </c>
      <c r="E1103" s="13" t="s">
        <v>158</v>
      </c>
      <c r="F1103" s="13" t="s">
        <v>999</v>
      </c>
      <c r="G1103" s="13" t="s">
        <v>1909</v>
      </c>
      <c r="H1103" s="13" t="s">
        <v>101</v>
      </c>
      <c r="I1103" s="21" t="s">
        <v>3989</v>
      </c>
      <c r="J1103" s="21" t="s">
        <v>284</v>
      </c>
      <c r="K1103" s="21" t="s">
        <v>3990</v>
      </c>
      <c r="L1103" s="22" t="s">
        <v>37</v>
      </c>
      <c r="M1103" s="21" t="s">
        <v>163</v>
      </c>
      <c r="N1103" s="13" t="s">
        <v>106</v>
      </c>
      <c r="O1103" s="23" t="n">
        <v>10.84</v>
      </c>
      <c r="P1103" s="13" t="n">
        <v>2</v>
      </c>
      <c r="Q1103" s="24" t="n">
        <v>46310.9593171296</v>
      </c>
      <c r="R1103" s="22"/>
      <c r="S1103" s="13" t="s">
        <v>164</v>
      </c>
      <c r="T1103" s="13" t="str">
        <f aca="false">IF(S1103="Oui",IF(R1103=L1103,"Identique","Changé"),"")</f>
        <v/>
      </c>
    </row>
    <row r="1104" customFormat="false" ht="57.45" hidden="false" customHeight="false" outlineLevel="0" collapsed="false">
      <c r="A1104" s="13" t="s">
        <v>3991</v>
      </c>
      <c r="B1104" s="13" t="s">
        <v>3984</v>
      </c>
      <c r="C1104" s="13" t="n">
        <v>3</v>
      </c>
      <c r="D1104" s="13" t="s">
        <v>97</v>
      </c>
      <c r="E1104" s="13" t="s">
        <v>570</v>
      </c>
      <c r="F1104" s="13" t="s">
        <v>999</v>
      </c>
      <c r="G1104" s="13" t="s">
        <v>1790</v>
      </c>
      <c r="H1104" s="13" t="s">
        <v>101</v>
      </c>
      <c r="I1104" s="21" t="s">
        <v>3992</v>
      </c>
      <c r="J1104" s="21" t="s">
        <v>512</v>
      </c>
      <c r="K1104" s="21" t="s">
        <v>3993</v>
      </c>
      <c r="L1104" s="22" t="s">
        <v>37</v>
      </c>
      <c r="M1104" s="21" t="s">
        <v>163</v>
      </c>
      <c r="N1104" s="13" t="s">
        <v>106</v>
      </c>
      <c r="O1104" s="23" t="n">
        <v>14.42</v>
      </c>
      <c r="P1104" s="13" t="n">
        <v>2</v>
      </c>
      <c r="Q1104" s="24" t="n">
        <v>46310.9595949074</v>
      </c>
      <c r="R1104" s="22"/>
      <c r="S1104" s="13" t="s">
        <v>164</v>
      </c>
      <c r="T1104" s="13" t="str">
        <f aca="false">IF(S1104="Oui",IF(R1104=L1104,"Identique","Changé"),"")</f>
        <v/>
      </c>
    </row>
    <row r="1105" customFormat="false" ht="57.45" hidden="false" customHeight="false" outlineLevel="0" collapsed="false">
      <c r="A1105" s="13" t="s">
        <v>3994</v>
      </c>
      <c r="B1105" s="13" t="s">
        <v>3984</v>
      </c>
      <c r="C1105" s="13" t="n">
        <v>4</v>
      </c>
      <c r="D1105" s="13" t="s">
        <v>97</v>
      </c>
      <c r="E1105" s="13" t="s">
        <v>570</v>
      </c>
      <c r="F1105" s="13" t="s">
        <v>999</v>
      </c>
      <c r="G1105" s="13" t="s">
        <v>1780</v>
      </c>
      <c r="H1105" s="13" t="s">
        <v>101</v>
      </c>
      <c r="I1105" s="21" t="s">
        <v>3995</v>
      </c>
      <c r="J1105" s="21" t="s">
        <v>284</v>
      </c>
      <c r="K1105" s="21" t="s">
        <v>3996</v>
      </c>
      <c r="L1105" s="22" t="s">
        <v>37</v>
      </c>
      <c r="M1105" s="21" t="s">
        <v>163</v>
      </c>
      <c r="N1105" s="13" t="s">
        <v>106</v>
      </c>
      <c r="O1105" s="23" t="n">
        <v>9.78</v>
      </c>
      <c r="P1105" s="13" t="n">
        <v>2</v>
      </c>
      <c r="Q1105" s="24" t="n">
        <v>46310.9598032407</v>
      </c>
      <c r="R1105" s="22"/>
      <c r="S1105" s="13" t="s">
        <v>164</v>
      </c>
      <c r="T1105" s="13" t="str">
        <f aca="false">IF(S1105="Oui",IF(R1105=L1105,"Identique","Changé"),"")</f>
        <v/>
      </c>
    </row>
    <row r="1106" customFormat="false" ht="57.45" hidden="false" customHeight="false" outlineLevel="0" collapsed="false">
      <c r="A1106" s="13" t="s">
        <v>3997</v>
      </c>
      <c r="B1106" s="13" t="s">
        <v>3984</v>
      </c>
      <c r="C1106" s="13" t="n">
        <v>5</v>
      </c>
      <c r="D1106" s="13" t="s">
        <v>97</v>
      </c>
      <c r="E1106" s="13" t="s">
        <v>122</v>
      </c>
      <c r="F1106" s="13" t="s">
        <v>999</v>
      </c>
      <c r="G1106" s="13" t="s">
        <v>1848</v>
      </c>
      <c r="H1106" s="13" t="s">
        <v>101</v>
      </c>
      <c r="I1106" s="21" t="s">
        <v>3998</v>
      </c>
      <c r="J1106" s="21" t="s">
        <v>2690</v>
      </c>
      <c r="K1106" s="21" t="s">
        <v>3999</v>
      </c>
      <c r="L1106" s="22" t="s">
        <v>36</v>
      </c>
      <c r="M1106" s="21" t="s">
        <v>235</v>
      </c>
      <c r="N1106" s="13" t="s">
        <v>106</v>
      </c>
      <c r="O1106" s="23" t="n">
        <v>12.58</v>
      </c>
      <c r="P1106" s="13" t="n">
        <v>2</v>
      </c>
      <c r="Q1106" s="24" t="n">
        <v>46310.9600578704</v>
      </c>
      <c r="R1106" s="22"/>
      <c r="S1106" s="13" t="s">
        <v>164</v>
      </c>
      <c r="T1106" s="13" t="str">
        <f aca="false">IF(S1106="Oui",IF(R1106=L1106,"Identique","Changé"),"")</f>
        <v/>
      </c>
    </row>
    <row r="1107" customFormat="false" ht="46.25" hidden="false" customHeight="false" outlineLevel="0" collapsed="false">
      <c r="A1107" s="13" t="s">
        <v>4000</v>
      </c>
      <c r="B1107" s="13" t="s">
        <v>4001</v>
      </c>
      <c r="C1107" s="13" t="n">
        <v>1</v>
      </c>
      <c r="D1107" s="13" t="s">
        <v>135</v>
      </c>
      <c r="E1107" s="13" t="s">
        <v>114</v>
      </c>
      <c r="F1107" s="13" t="s">
        <v>4002</v>
      </c>
      <c r="G1107" s="13" t="s">
        <v>116</v>
      </c>
      <c r="H1107" s="13" t="s">
        <v>101</v>
      </c>
      <c r="I1107" s="21" t="s">
        <v>4003</v>
      </c>
      <c r="J1107" s="21" t="s">
        <v>138</v>
      </c>
      <c r="K1107" s="21" t="s">
        <v>4004</v>
      </c>
      <c r="L1107" s="22" t="s">
        <v>36</v>
      </c>
      <c r="M1107" s="21" t="s">
        <v>120</v>
      </c>
      <c r="N1107" s="13" t="s">
        <v>106</v>
      </c>
      <c r="O1107" s="23" t="n">
        <v>34.36</v>
      </c>
      <c r="P1107" s="13" t="n">
        <v>2</v>
      </c>
      <c r="Q1107" s="24" t="n">
        <v>46310.9651967593</v>
      </c>
      <c r="R1107" s="22"/>
      <c r="S1107" s="13" t="s">
        <v>164</v>
      </c>
      <c r="T1107" s="13" t="str">
        <f aca="false">IF(S1107="Oui",IF(R1107=L1107,"Identique","Changé"),"")</f>
        <v/>
      </c>
    </row>
    <row r="1108" customFormat="false" ht="35.05" hidden="false" customHeight="false" outlineLevel="0" collapsed="false">
      <c r="A1108" s="13" t="s">
        <v>4005</v>
      </c>
      <c r="B1108" s="13" t="s">
        <v>4001</v>
      </c>
      <c r="C1108" s="13" t="n">
        <v>2</v>
      </c>
      <c r="D1108" s="13" t="s">
        <v>135</v>
      </c>
      <c r="E1108" s="13" t="s">
        <v>158</v>
      </c>
      <c r="F1108" s="13" t="s">
        <v>4002</v>
      </c>
      <c r="G1108" s="13" t="s">
        <v>1918</v>
      </c>
      <c r="H1108" s="13" t="s">
        <v>101</v>
      </c>
      <c r="I1108" s="21" t="s">
        <v>4006</v>
      </c>
      <c r="J1108" s="21" t="s">
        <v>284</v>
      </c>
      <c r="K1108" s="21" t="s">
        <v>4007</v>
      </c>
      <c r="L1108" s="22" t="s">
        <v>36</v>
      </c>
      <c r="M1108" s="21" t="s">
        <v>120</v>
      </c>
      <c r="N1108" s="13" t="s">
        <v>106</v>
      </c>
      <c r="O1108" s="23" t="n">
        <v>9.99</v>
      </c>
      <c r="P1108" s="13" t="n">
        <v>2</v>
      </c>
      <c r="Q1108" s="24" t="n">
        <v>46310.9654166667</v>
      </c>
      <c r="R1108" s="22"/>
      <c r="S1108" s="13" t="s">
        <v>164</v>
      </c>
      <c r="T1108" s="13" t="str">
        <f aca="false">IF(S1108="Oui",IF(R1108=L1108,"Identique","Changé"),"")</f>
        <v/>
      </c>
    </row>
    <row r="1109" customFormat="false" ht="57.45" hidden="false" customHeight="false" outlineLevel="0" collapsed="false">
      <c r="A1109" s="13" t="s">
        <v>4008</v>
      </c>
      <c r="B1109" s="13" t="s">
        <v>4001</v>
      </c>
      <c r="C1109" s="13" t="n">
        <v>3</v>
      </c>
      <c r="D1109" s="13" t="s">
        <v>135</v>
      </c>
      <c r="E1109" s="13" t="s">
        <v>185</v>
      </c>
      <c r="F1109" s="13" t="s">
        <v>4009</v>
      </c>
      <c r="G1109" s="13" t="s">
        <v>2483</v>
      </c>
      <c r="H1109" s="13" t="s">
        <v>152</v>
      </c>
      <c r="I1109" s="21" t="s">
        <v>4010</v>
      </c>
      <c r="J1109" s="21" t="s">
        <v>154</v>
      </c>
      <c r="K1109" s="21" t="s">
        <v>4011</v>
      </c>
      <c r="L1109" s="22" t="s">
        <v>40</v>
      </c>
      <c r="M1109" s="21" t="s">
        <v>156</v>
      </c>
      <c r="N1109" s="13" t="s">
        <v>106</v>
      </c>
      <c r="O1109" s="23" t="n">
        <v>12.57</v>
      </c>
      <c r="P1109" s="13" t="n">
        <v>2</v>
      </c>
      <c r="Q1109" s="24" t="n">
        <v>46310.9656712963</v>
      </c>
      <c r="R1109" s="22"/>
      <c r="S1109" s="13" t="s">
        <v>164</v>
      </c>
      <c r="T1109" s="13" t="str">
        <f aca="false">IF(S1109="Oui",IF(R1109=L1109,"Identique","Changé"),"")</f>
        <v/>
      </c>
    </row>
    <row r="1110" customFormat="false" ht="35.05" hidden="false" customHeight="false" outlineLevel="0" collapsed="false">
      <c r="A1110" s="13" t="s">
        <v>4012</v>
      </c>
      <c r="B1110" s="13" t="s">
        <v>4001</v>
      </c>
      <c r="C1110" s="13" t="n">
        <v>4</v>
      </c>
      <c r="D1110" s="13" t="s">
        <v>135</v>
      </c>
      <c r="E1110" s="13" t="s">
        <v>570</v>
      </c>
      <c r="F1110" s="13" t="s">
        <v>4009</v>
      </c>
      <c r="G1110" s="13" t="s">
        <v>1739</v>
      </c>
      <c r="H1110" s="13" t="s">
        <v>101</v>
      </c>
      <c r="I1110" s="21" t="s">
        <v>4013</v>
      </c>
      <c r="J1110" s="21" t="s">
        <v>233</v>
      </c>
      <c r="K1110" s="21" t="s">
        <v>4014</v>
      </c>
      <c r="L1110" s="22" t="s">
        <v>36</v>
      </c>
      <c r="M1110" s="21" t="s">
        <v>235</v>
      </c>
      <c r="N1110" s="13" t="s">
        <v>106</v>
      </c>
      <c r="O1110" s="23" t="n">
        <v>8.85</v>
      </c>
      <c r="P1110" s="13" t="n">
        <v>2</v>
      </c>
      <c r="Q1110" s="24" t="n">
        <v>46310.9658680556</v>
      </c>
      <c r="R1110" s="22"/>
      <c r="S1110" s="13" t="s">
        <v>164</v>
      </c>
      <c r="T1110" s="13" t="str">
        <f aca="false">IF(S1110="Oui",IF(R1110=L1110,"Identique","Changé"),"")</f>
        <v/>
      </c>
    </row>
    <row r="1111" customFormat="false" ht="57.45" hidden="false" customHeight="false" outlineLevel="0" collapsed="false">
      <c r="A1111" s="13" t="s">
        <v>4015</v>
      </c>
      <c r="B1111" s="13" t="s">
        <v>4001</v>
      </c>
      <c r="C1111" s="13" t="n">
        <v>5</v>
      </c>
      <c r="D1111" s="13" t="s">
        <v>135</v>
      </c>
      <c r="E1111" s="13" t="s">
        <v>122</v>
      </c>
      <c r="F1111" s="13" t="s">
        <v>4002</v>
      </c>
      <c r="G1111" s="13" t="s">
        <v>1874</v>
      </c>
      <c r="H1111" s="13" t="s">
        <v>101</v>
      </c>
      <c r="I1111" s="21" t="s">
        <v>4016</v>
      </c>
      <c r="J1111" s="21" t="s">
        <v>2683</v>
      </c>
      <c r="K1111" s="21" t="s">
        <v>4017</v>
      </c>
      <c r="L1111" s="22" t="s">
        <v>36</v>
      </c>
      <c r="M1111" s="21" t="s">
        <v>120</v>
      </c>
      <c r="N1111" s="13" t="s">
        <v>106</v>
      </c>
      <c r="O1111" s="23" t="n">
        <v>10.15</v>
      </c>
      <c r="P1111" s="13" t="n">
        <v>2</v>
      </c>
      <c r="Q1111" s="24" t="n">
        <v>46310.966087963</v>
      </c>
      <c r="R1111" s="22"/>
      <c r="S1111" s="13" t="s">
        <v>164</v>
      </c>
      <c r="T1111" s="13" t="str">
        <f aca="false">IF(S1111="Oui",IF(R1111=L1111,"Identique","Changé"),"")</f>
        <v/>
      </c>
    </row>
    <row r="1112" customFormat="false" ht="68.65" hidden="false" customHeight="false" outlineLevel="0" collapsed="false">
      <c r="A1112" s="13" t="s">
        <v>4018</v>
      </c>
      <c r="B1112" s="13" t="s">
        <v>4019</v>
      </c>
      <c r="C1112" s="13" t="n">
        <v>1</v>
      </c>
      <c r="D1112" s="13" t="s">
        <v>97</v>
      </c>
      <c r="E1112" s="13" t="s">
        <v>128</v>
      </c>
      <c r="F1112" s="13" t="s">
        <v>559</v>
      </c>
      <c r="G1112" s="13" t="s">
        <v>129</v>
      </c>
      <c r="H1112" s="13" t="s">
        <v>101</v>
      </c>
      <c r="I1112" s="21" t="s">
        <v>4020</v>
      </c>
      <c r="J1112" s="21" t="s">
        <v>131</v>
      </c>
      <c r="K1112" s="21" t="s">
        <v>4021</v>
      </c>
      <c r="L1112" s="22" t="s">
        <v>36</v>
      </c>
      <c r="M1112" s="21" t="s">
        <v>120</v>
      </c>
      <c r="N1112" s="13" t="s">
        <v>106</v>
      </c>
      <c r="O1112" s="23" t="n">
        <v>48.52</v>
      </c>
      <c r="P1112" s="13" t="n">
        <v>1</v>
      </c>
      <c r="Q1112" s="24" t="n">
        <v>46310.9668171296</v>
      </c>
      <c r="R1112" s="22"/>
      <c r="S1112" s="13" t="s">
        <v>164</v>
      </c>
      <c r="T1112" s="13" t="str">
        <f aca="false">IF(S1112="Oui",IF(R1112=L1112,"Identique","Changé"),"")</f>
        <v/>
      </c>
    </row>
    <row r="1113" customFormat="false" ht="79.85" hidden="false" customHeight="false" outlineLevel="0" collapsed="false">
      <c r="A1113" s="13" t="s">
        <v>4022</v>
      </c>
      <c r="B1113" s="13" t="s">
        <v>4019</v>
      </c>
      <c r="C1113" s="13" t="n">
        <v>2</v>
      </c>
      <c r="D1113" s="13" t="s">
        <v>97</v>
      </c>
      <c r="E1113" s="13" t="s">
        <v>171</v>
      </c>
      <c r="F1113" s="13" t="s">
        <v>559</v>
      </c>
      <c r="G1113" s="13" t="s">
        <v>1998</v>
      </c>
      <c r="H1113" s="13" t="s">
        <v>101</v>
      </c>
      <c r="I1113" s="21" t="s">
        <v>4023</v>
      </c>
      <c r="J1113" s="21" t="s">
        <v>4024</v>
      </c>
      <c r="K1113" s="21" t="s">
        <v>4025</v>
      </c>
      <c r="L1113" s="22" t="s">
        <v>36</v>
      </c>
      <c r="M1113" s="21" t="s">
        <v>120</v>
      </c>
      <c r="N1113" s="13" t="s">
        <v>106</v>
      </c>
      <c r="O1113" s="23" t="n">
        <v>7.07</v>
      </c>
      <c r="P1113" s="13" t="n">
        <v>1</v>
      </c>
      <c r="Q1113" s="24" t="n">
        <v>46310.9670023148</v>
      </c>
      <c r="R1113" s="22"/>
      <c r="S1113" s="13" t="s">
        <v>164</v>
      </c>
      <c r="T1113" s="13" t="str">
        <f aca="false">IF(S1113="Oui",IF(R1113=L1113,"Identique","Changé"),"")</f>
        <v/>
      </c>
    </row>
    <row r="1114" customFormat="false" ht="46.25" hidden="false" customHeight="false" outlineLevel="0" collapsed="false">
      <c r="A1114" s="13" t="s">
        <v>4026</v>
      </c>
      <c r="B1114" s="13" t="s">
        <v>4019</v>
      </c>
      <c r="C1114" s="13" t="n">
        <v>3</v>
      </c>
      <c r="D1114" s="13" t="s">
        <v>97</v>
      </c>
      <c r="E1114" s="13" t="s">
        <v>260</v>
      </c>
      <c r="F1114" s="13" t="s">
        <v>559</v>
      </c>
      <c r="G1114" s="13" t="s">
        <v>2047</v>
      </c>
      <c r="H1114" s="13" t="s">
        <v>101</v>
      </c>
      <c r="I1114" s="21" t="s">
        <v>4027</v>
      </c>
      <c r="J1114" s="21" t="s">
        <v>512</v>
      </c>
      <c r="K1114" s="21" t="s">
        <v>4028</v>
      </c>
      <c r="L1114" s="22" t="s">
        <v>36</v>
      </c>
      <c r="M1114" s="21" t="s">
        <v>120</v>
      </c>
      <c r="N1114" s="13" t="s">
        <v>106</v>
      </c>
      <c r="O1114" s="23" t="n">
        <v>7.12</v>
      </c>
      <c r="P1114" s="13" t="n">
        <v>1</v>
      </c>
      <c r="Q1114" s="24" t="n">
        <v>46310.9671875</v>
      </c>
      <c r="R1114" s="22"/>
      <c r="S1114" s="13" t="s">
        <v>164</v>
      </c>
      <c r="T1114" s="13" t="str">
        <f aca="false">IF(S1114="Oui",IF(R1114=L1114,"Identique","Changé"),"")</f>
        <v/>
      </c>
    </row>
    <row r="1115" customFormat="false" ht="68.65" hidden="false" customHeight="false" outlineLevel="0" collapsed="false">
      <c r="A1115" s="13" t="s">
        <v>4029</v>
      </c>
      <c r="B1115" s="13" t="s">
        <v>4019</v>
      </c>
      <c r="C1115" s="13" t="n">
        <v>4</v>
      </c>
      <c r="D1115" s="13" t="s">
        <v>97</v>
      </c>
      <c r="E1115" s="13" t="s">
        <v>158</v>
      </c>
      <c r="F1115" s="13" t="s">
        <v>559</v>
      </c>
      <c r="G1115" s="13" t="s">
        <v>1913</v>
      </c>
      <c r="H1115" s="13" t="s">
        <v>101</v>
      </c>
      <c r="I1115" s="21" t="s">
        <v>4030</v>
      </c>
      <c r="J1115" s="21" t="s">
        <v>284</v>
      </c>
      <c r="K1115" s="21" t="s">
        <v>4031</v>
      </c>
      <c r="L1115" s="22" t="s">
        <v>36</v>
      </c>
      <c r="M1115" s="21" t="s">
        <v>120</v>
      </c>
      <c r="N1115" s="13" t="s">
        <v>106</v>
      </c>
      <c r="O1115" s="23" t="n">
        <v>6.66</v>
      </c>
      <c r="P1115" s="13" t="n">
        <v>1</v>
      </c>
      <c r="Q1115" s="24" t="n">
        <v>46310.9673611111</v>
      </c>
      <c r="R1115" s="22"/>
      <c r="S1115" s="13" t="s">
        <v>164</v>
      </c>
      <c r="T1115" s="13" t="str">
        <f aca="false">IF(S1115="Oui",IF(R1115=L1115,"Identique","Changé"),"")</f>
        <v/>
      </c>
    </row>
    <row r="1116" customFormat="false" ht="46.25" hidden="false" customHeight="false" outlineLevel="0" collapsed="false">
      <c r="A1116" s="13" t="s">
        <v>4032</v>
      </c>
      <c r="B1116" s="13" t="s">
        <v>4019</v>
      </c>
      <c r="C1116" s="13" t="n">
        <v>5</v>
      </c>
      <c r="D1116" s="13" t="s">
        <v>97</v>
      </c>
      <c r="E1116" s="13" t="s">
        <v>114</v>
      </c>
      <c r="F1116" s="13" t="s">
        <v>559</v>
      </c>
      <c r="G1116" s="13" t="s">
        <v>1887</v>
      </c>
      <c r="H1116" s="13" t="s">
        <v>101</v>
      </c>
      <c r="I1116" s="21" t="s">
        <v>4033</v>
      </c>
      <c r="J1116" s="21" t="s">
        <v>512</v>
      </c>
      <c r="K1116" s="21" t="s">
        <v>4034</v>
      </c>
      <c r="L1116" s="22" t="s">
        <v>36</v>
      </c>
      <c r="M1116" s="21" t="s">
        <v>120</v>
      </c>
      <c r="N1116" s="13" t="s">
        <v>106</v>
      </c>
      <c r="O1116" s="23" t="n">
        <v>9.23</v>
      </c>
      <c r="P1116" s="13" t="n">
        <v>1</v>
      </c>
      <c r="Q1116" s="24" t="n">
        <v>46310.9675694444</v>
      </c>
      <c r="R1116" s="22"/>
      <c r="S1116" s="13" t="s">
        <v>164</v>
      </c>
      <c r="T1116" s="13" t="str">
        <f aca="false">IF(S1116="Oui",IF(R1116=L1116,"Identique","Changé"),"")</f>
        <v/>
      </c>
    </row>
    <row r="1117" customFormat="false" ht="147" hidden="false" customHeight="false" outlineLevel="0" collapsed="false">
      <c r="A1117" s="13" t="s">
        <v>4035</v>
      </c>
      <c r="B1117" s="13" t="s">
        <v>4036</v>
      </c>
      <c r="C1117" s="13" t="n">
        <v>1</v>
      </c>
      <c r="D1117" s="13" t="s">
        <v>135</v>
      </c>
      <c r="E1117" s="13" t="s">
        <v>1730</v>
      </c>
      <c r="F1117" s="13" t="s">
        <v>2725</v>
      </c>
      <c r="G1117" s="13" t="s">
        <v>1753</v>
      </c>
      <c r="H1117" s="13" t="s">
        <v>101</v>
      </c>
      <c r="I1117" s="21" t="s">
        <v>4037</v>
      </c>
      <c r="J1117" s="21" t="s">
        <v>4038</v>
      </c>
      <c r="K1117" s="21" t="s">
        <v>4039</v>
      </c>
      <c r="L1117" s="22" t="s">
        <v>36</v>
      </c>
      <c r="M1117" s="21" t="s">
        <v>120</v>
      </c>
      <c r="N1117" s="13" t="s">
        <v>106</v>
      </c>
      <c r="O1117" s="23" t="n">
        <v>62.07</v>
      </c>
      <c r="P1117" s="13" t="n">
        <v>1</v>
      </c>
      <c r="Q1117" s="24" t="n">
        <v>46310.9684375</v>
      </c>
      <c r="R1117" s="22"/>
      <c r="S1117" s="13" t="s">
        <v>164</v>
      </c>
      <c r="T1117" s="13" t="str">
        <f aca="false">IF(S1117="Oui",IF(R1117=L1117,"Identique","Changé"),"")</f>
        <v/>
      </c>
    </row>
    <row r="1118" customFormat="false" ht="46.25" hidden="false" customHeight="false" outlineLevel="0" collapsed="false">
      <c r="A1118" s="13" t="s">
        <v>4040</v>
      </c>
      <c r="B1118" s="13" t="s">
        <v>4036</v>
      </c>
      <c r="C1118" s="13" t="n">
        <v>2</v>
      </c>
      <c r="D1118" s="13" t="s">
        <v>135</v>
      </c>
      <c r="E1118" s="13" t="s">
        <v>260</v>
      </c>
      <c r="F1118" s="13" t="s">
        <v>2725</v>
      </c>
      <c r="G1118" s="13" t="s">
        <v>2057</v>
      </c>
      <c r="H1118" s="13" t="s">
        <v>101</v>
      </c>
      <c r="I1118" s="21" t="s">
        <v>4041</v>
      </c>
      <c r="J1118" s="21" t="s">
        <v>2930</v>
      </c>
      <c r="K1118" s="21" t="s">
        <v>4042</v>
      </c>
      <c r="L1118" s="22" t="s">
        <v>36</v>
      </c>
      <c r="M1118" s="21" t="s">
        <v>120</v>
      </c>
      <c r="N1118" s="13" t="s">
        <v>106</v>
      </c>
      <c r="O1118" s="23" t="n">
        <v>10.08</v>
      </c>
      <c r="P1118" s="13" t="n">
        <v>1</v>
      </c>
      <c r="Q1118" s="24" t="n">
        <v>46310.9686574074</v>
      </c>
      <c r="R1118" s="22"/>
      <c r="S1118" s="13" t="s">
        <v>164</v>
      </c>
      <c r="T1118" s="13" t="str">
        <f aca="false">IF(S1118="Oui",IF(R1118=L1118,"Identique","Changé"),"")</f>
        <v/>
      </c>
    </row>
    <row r="1119" customFormat="false" ht="35.05" hidden="false" customHeight="false" outlineLevel="0" collapsed="false">
      <c r="A1119" s="13" t="s">
        <v>4043</v>
      </c>
      <c r="B1119" s="13" t="s">
        <v>4036</v>
      </c>
      <c r="C1119" s="13" t="n">
        <v>3</v>
      </c>
      <c r="D1119" s="13" t="s">
        <v>135</v>
      </c>
      <c r="E1119" s="13" t="s">
        <v>98</v>
      </c>
      <c r="F1119" s="13" t="s">
        <v>4044</v>
      </c>
      <c r="G1119" s="13" t="s">
        <v>2672</v>
      </c>
      <c r="H1119" s="13" t="s">
        <v>101</v>
      </c>
      <c r="I1119" s="21" t="s">
        <v>4045</v>
      </c>
      <c r="J1119" s="21" t="s">
        <v>4046</v>
      </c>
      <c r="K1119" s="21" t="s">
        <v>4047</v>
      </c>
      <c r="L1119" s="22" t="s">
        <v>36</v>
      </c>
      <c r="M1119" s="21" t="s">
        <v>427</v>
      </c>
      <c r="N1119" s="13" t="s">
        <v>106</v>
      </c>
      <c r="O1119" s="23" t="n">
        <v>10.15</v>
      </c>
      <c r="P1119" s="13" t="n">
        <v>1</v>
      </c>
      <c r="Q1119" s="24" t="n">
        <v>46310.9688773148</v>
      </c>
      <c r="R1119" s="22"/>
      <c r="S1119" s="13" t="s">
        <v>164</v>
      </c>
      <c r="T1119" s="13" t="str">
        <f aca="false">IF(S1119="Oui",IF(R1119=L1119,"Identique","Changé"),"")</f>
        <v/>
      </c>
    </row>
    <row r="1120" customFormat="false" ht="57.45" hidden="false" customHeight="false" outlineLevel="0" collapsed="false">
      <c r="A1120" s="13" t="s">
        <v>4048</v>
      </c>
      <c r="B1120" s="13" t="s">
        <v>4036</v>
      </c>
      <c r="C1120" s="13" t="n">
        <v>4</v>
      </c>
      <c r="D1120" s="13" t="s">
        <v>135</v>
      </c>
      <c r="E1120" s="13" t="s">
        <v>185</v>
      </c>
      <c r="F1120" s="13" t="s">
        <v>4044</v>
      </c>
      <c r="G1120" s="13" t="s">
        <v>2483</v>
      </c>
      <c r="H1120" s="13" t="s">
        <v>152</v>
      </c>
      <c r="I1120" s="21" t="s">
        <v>4049</v>
      </c>
      <c r="J1120" s="21" t="s">
        <v>154</v>
      </c>
      <c r="K1120" s="21" t="s">
        <v>4050</v>
      </c>
      <c r="L1120" s="22" t="s">
        <v>40</v>
      </c>
      <c r="M1120" s="21" t="s">
        <v>156</v>
      </c>
      <c r="N1120" s="13" t="s">
        <v>106</v>
      </c>
      <c r="O1120" s="23" t="n">
        <v>15.35</v>
      </c>
      <c r="P1120" s="13" t="n">
        <v>1</v>
      </c>
      <c r="Q1120" s="24" t="n">
        <v>46310.9691666667</v>
      </c>
      <c r="R1120" s="22"/>
      <c r="S1120" s="13" t="s">
        <v>164</v>
      </c>
      <c r="T1120" s="13" t="str">
        <f aca="false">IF(S1120="Oui",IF(R1120=L1120,"Identique","Changé"),"")</f>
        <v/>
      </c>
    </row>
    <row r="1121" customFormat="false" ht="35.05" hidden="false" customHeight="false" outlineLevel="0" collapsed="false">
      <c r="A1121" s="13" t="s">
        <v>4051</v>
      </c>
      <c r="B1121" s="13" t="s">
        <v>4036</v>
      </c>
      <c r="C1121" s="13" t="n">
        <v>5</v>
      </c>
      <c r="D1121" s="13" t="s">
        <v>135</v>
      </c>
      <c r="E1121" s="13" t="s">
        <v>128</v>
      </c>
      <c r="F1121" s="13" t="s">
        <v>2725</v>
      </c>
      <c r="G1121" s="13" t="s">
        <v>1975</v>
      </c>
      <c r="H1121" s="13" t="s">
        <v>101</v>
      </c>
      <c r="I1121" s="21" t="s">
        <v>4052</v>
      </c>
      <c r="J1121" s="21" t="s">
        <v>284</v>
      </c>
      <c r="K1121" s="21" t="s">
        <v>4053</v>
      </c>
      <c r="L1121" s="22" t="s">
        <v>36</v>
      </c>
      <c r="M1121" s="21" t="s">
        <v>120</v>
      </c>
      <c r="N1121" s="13" t="s">
        <v>106</v>
      </c>
      <c r="O1121" s="23" t="n">
        <v>10.68</v>
      </c>
      <c r="P1121" s="13" t="n">
        <v>1</v>
      </c>
      <c r="Q1121" s="24" t="n">
        <v>46310.9693865741</v>
      </c>
      <c r="R1121" s="22"/>
      <c r="S1121" s="13" t="s">
        <v>164</v>
      </c>
      <c r="T1121" s="13" t="str">
        <f aca="false">IF(S1121="Oui",IF(R1121=L1121,"Identique","Changé"),"")</f>
        <v/>
      </c>
    </row>
    <row r="1122" customFormat="false" ht="68.65" hidden="false" customHeight="false" outlineLevel="0" collapsed="false">
      <c r="A1122" s="13" t="s">
        <v>4054</v>
      </c>
      <c r="B1122" s="13" t="s">
        <v>4055</v>
      </c>
      <c r="C1122" s="13" t="n">
        <v>1</v>
      </c>
      <c r="D1122" s="13" t="s">
        <v>97</v>
      </c>
      <c r="E1122" s="13" t="s">
        <v>570</v>
      </c>
      <c r="F1122" s="13" t="s">
        <v>1416</v>
      </c>
      <c r="G1122" s="13" t="s">
        <v>1794</v>
      </c>
      <c r="H1122" s="13" t="s">
        <v>101</v>
      </c>
      <c r="I1122" s="21" t="s">
        <v>4056</v>
      </c>
      <c r="J1122" s="21" t="s">
        <v>4057</v>
      </c>
      <c r="K1122" s="21" t="s">
        <v>4058</v>
      </c>
      <c r="L1122" s="22" t="s">
        <v>36</v>
      </c>
      <c r="M1122" s="21" t="s">
        <v>1798</v>
      </c>
      <c r="N1122" s="13" t="s">
        <v>106</v>
      </c>
      <c r="O1122" s="23" t="n">
        <v>28.75</v>
      </c>
      <c r="P1122" s="13" t="n">
        <v>2</v>
      </c>
      <c r="Q1122" s="24" t="n">
        <v>46310.9744791667</v>
      </c>
      <c r="R1122" s="22"/>
      <c r="S1122" s="13" t="s">
        <v>164</v>
      </c>
      <c r="T1122" s="13" t="str">
        <f aca="false">IF(S1122="Oui",IF(R1122=L1122,"Identique","Changé"),"")</f>
        <v/>
      </c>
    </row>
    <row r="1123" customFormat="false" ht="169.4" hidden="false" customHeight="false" outlineLevel="0" collapsed="false">
      <c r="A1123" s="13" t="s">
        <v>4059</v>
      </c>
      <c r="B1123" s="13" t="s">
        <v>4055</v>
      </c>
      <c r="C1123" s="13" t="n">
        <v>2</v>
      </c>
      <c r="D1123" s="13" t="s">
        <v>97</v>
      </c>
      <c r="E1123" s="13" t="s">
        <v>1730</v>
      </c>
      <c r="F1123" s="13" t="s">
        <v>1416</v>
      </c>
      <c r="G1123" s="13" t="s">
        <v>1732</v>
      </c>
      <c r="H1123" s="13" t="s">
        <v>101</v>
      </c>
      <c r="I1123" s="21" t="s">
        <v>4060</v>
      </c>
      <c r="J1123" s="21" t="s">
        <v>4061</v>
      </c>
      <c r="K1123" s="21" t="s">
        <v>4062</v>
      </c>
      <c r="L1123" s="22" t="s">
        <v>36</v>
      </c>
      <c r="M1123" s="21" t="s">
        <v>3581</v>
      </c>
      <c r="N1123" s="13" t="s">
        <v>106</v>
      </c>
      <c r="O1123" s="23" t="n">
        <v>11.31</v>
      </c>
      <c r="P1123" s="13" t="n">
        <v>2</v>
      </c>
      <c r="Q1123" s="24" t="n">
        <v>46310.9747222222</v>
      </c>
      <c r="R1123" s="22"/>
      <c r="S1123" s="13" t="s">
        <v>164</v>
      </c>
      <c r="T1123" s="13" t="str">
        <f aca="false">IF(S1123="Oui",IF(R1123=L1123,"Identique","Changé"),"")</f>
        <v/>
      </c>
    </row>
    <row r="1124" customFormat="false" ht="35.05" hidden="false" customHeight="false" outlineLevel="0" collapsed="false">
      <c r="A1124" s="13" t="s">
        <v>4063</v>
      </c>
      <c r="B1124" s="13" t="s">
        <v>4055</v>
      </c>
      <c r="C1124" s="13" t="n">
        <v>3</v>
      </c>
      <c r="D1124" s="13" t="s">
        <v>97</v>
      </c>
      <c r="E1124" s="13" t="s">
        <v>98</v>
      </c>
      <c r="F1124" s="13" t="s">
        <v>167</v>
      </c>
      <c r="G1124" s="13" t="s">
        <v>2672</v>
      </c>
      <c r="H1124" s="13" t="s">
        <v>101</v>
      </c>
      <c r="I1124" s="21" t="s">
        <v>4064</v>
      </c>
      <c r="J1124" s="21" t="s">
        <v>4065</v>
      </c>
      <c r="K1124" s="21" t="s">
        <v>4066</v>
      </c>
      <c r="L1124" s="22" t="s">
        <v>36</v>
      </c>
      <c r="M1124" s="21" t="s">
        <v>427</v>
      </c>
      <c r="N1124" s="13" t="s">
        <v>106</v>
      </c>
      <c r="O1124" s="23" t="n">
        <v>9.77</v>
      </c>
      <c r="P1124" s="13" t="n">
        <v>2</v>
      </c>
      <c r="Q1124" s="24" t="n">
        <v>46310.9749305556</v>
      </c>
      <c r="R1124" s="22"/>
      <c r="S1124" s="13" t="s">
        <v>164</v>
      </c>
      <c r="T1124" s="13" t="str">
        <f aca="false">IF(S1124="Oui",IF(R1124=L1124,"Identique","Changé"),"")</f>
        <v/>
      </c>
    </row>
    <row r="1125" customFormat="false" ht="35.05" hidden="false" customHeight="false" outlineLevel="0" collapsed="false">
      <c r="A1125" s="13" t="s">
        <v>4067</v>
      </c>
      <c r="B1125" s="13" t="s">
        <v>4055</v>
      </c>
      <c r="C1125" s="13" t="n">
        <v>4</v>
      </c>
      <c r="D1125" s="13" t="s">
        <v>97</v>
      </c>
      <c r="E1125" s="13" t="s">
        <v>122</v>
      </c>
      <c r="F1125" s="13" t="s">
        <v>167</v>
      </c>
      <c r="G1125" s="13" t="s">
        <v>231</v>
      </c>
      <c r="H1125" s="13" t="s">
        <v>101</v>
      </c>
      <c r="I1125" s="21" t="s">
        <v>4068</v>
      </c>
      <c r="J1125" s="21" t="s">
        <v>1649</v>
      </c>
      <c r="K1125" s="21" t="s">
        <v>4069</v>
      </c>
      <c r="L1125" s="22" t="s">
        <v>36</v>
      </c>
      <c r="M1125" s="21" t="s">
        <v>235</v>
      </c>
      <c r="N1125" s="13" t="s">
        <v>106</v>
      </c>
      <c r="O1125" s="23" t="n">
        <v>9.71</v>
      </c>
      <c r="P1125" s="13" t="n">
        <v>2</v>
      </c>
      <c r="Q1125" s="24" t="n">
        <v>46310.975150463</v>
      </c>
      <c r="R1125" s="22"/>
      <c r="S1125" s="13" t="s">
        <v>164</v>
      </c>
      <c r="T1125" s="13" t="str">
        <f aca="false">IF(S1125="Oui",IF(R1125=L1125,"Identique","Changé"),"")</f>
        <v/>
      </c>
    </row>
    <row r="1126" customFormat="false" ht="35.05" hidden="false" customHeight="false" outlineLevel="0" collapsed="false">
      <c r="A1126" s="13" t="s">
        <v>4070</v>
      </c>
      <c r="B1126" s="13" t="s">
        <v>4055</v>
      </c>
      <c r="C1126" s="13" t="n">
        <v>5</v>
      </c>
      <c r="D1126" s="13" t="s">
        <v>97</v>
      </c>
      <c r="E1126" s="13" t="s">
        <v>122</v>
      </c>
      <c r="F1126" s="13" t="s">
        <v>1416</v>
      </c>
      <c r="G1126" s="13" t="s">
        <v>1840</v>
      </c>
      <c r="H1126" s="13" t="s">
        <v>101</v>
      </c>
      <c r="I1126" s="21" t="s">
        <v>4071</v>
      </c>
      <c r="J1126" s="21" t="s">
        <v>284</v>
      </c>
      <c r="K1126" s="21" t="s">
        <v>4072</v>
      </c>
      <c r="L1126" s="22" t="s">
        <v>36</v>
      </c>
      <c r="M1126" s="21" t="s">
        <v>120</v>
      </c>
      <c r="N1126" s="13" t="s">
        <v>106</v>
      </c>
      <c r="O1126" s="23" t="n">
        <v>12.03</v>
      </c>
      <c r="P1126" s="13" t="n">
        <v>2</v>
      </c>
      <c r="Q1126" s="24" t="n">
        <v>46310.9753935185</v>
      </c>
      <c r="R1126" s="22"/>
      <c r="S1126" s="13" t="s">
        <v>164</v>
      </c>
      <c r="T1126" s="13" t="str">
        <f aca="false">IF(S1126="Oui",IF(R1126=L1126,"Identique","Changé"),"")</f>
        <v/>
      </c>
    </row>
    <row r="1127" customFormat="false" ht="35.05" hidden="false" customHeight="false" outlineLevel="0" collapsed="false">
      <c r="A1127" s="13" t="s">
        <v>4073</v>
      </c>
      <c r="B1127" s="13" t="s">
        <v>4074</v>
      </c>
      <c r="C1127" s="13" t="n">
        <v>1</v>
      </c>
      <c r="D1127" s="13" t="s">
        <v>135</v>
      </c>
      <c r="E1127" s="13" t="s">
        <v>570</v>
      </c>
      <c r="F1127" s="13" t="s">
        <v>2762</v>
      </c>
      <c r="G1127" s="13" t="s">
        <v>1805</v>
      </c>
      <c r="H1127" s="13" t="s">
        <v>101</v>
      </c>
      <c r="I1127" s="21" t="s">
        <v>4075</v>
      </c>
      <c r="J1127" s="21" t="s">
        <v>284</v>
      </c>
      <c r="K1127" s="21" t="s">
        <v>4076</v>
      </c>
      <c r="L1127" s="22" t="s">
        <v>36</v>
      </c>
      <c r="M1127" s="21" t="s">
        <v>120</v>
      </c>
      <c r="N1127" s="13" t="s">
        <v>106</v>
      </c>
      <c r="O1127" s="23" t="n">
        <v>31.07</v>
      </c>
      <c r="P1127" s="13" t="n">
        <v>1</v>
      </c>
      <c r="Q1127" s="24" t="n">
        <v>46310.9759259259</v>
      </c>
      <c r="R1127" s="22"/>
      <c r="S1127" s="13" t="s">
        <v>164</v>
      </c>
      <c r="T1127" s="13" t="str">
        <f aca="false">IF(S1127="Oui",IF(R1127=L1127,"Identique","Changé"),"")</f>
        <v/>
      </c>
    </row>
    <row r="1128" customFormat="false" ht="258.95" hidden="false" customHeight="false" outlineLevel="0" collapsed="false">
      <c r="A1128" s="13" t="s">
        <v>4077</v>
      </c>
      <c r="B1128" s="13" t="s">
        <v>4074</v>
      </c>
      <c r="C1128" s="13" t="n">
        <v>2</v>
      </c>
      <c r="D1128" s="13" t="s">
        <v>135</v>
      </c>
      <c r="E1128" s="13" t="s">
        <v>1730</v>
      </c>
      <c r="F1128" s="13" t="s">
        <v>2762</v>
      </c>
      <c r="G1128" s="13" t="s">
        <v>2009</v>
      </c>
      <c r="H1128" s="13" t="s">
        <v>101</v>
      </c>
      <c r="I1128" s="21" t="s">
        <v>4078</v>
      </c>
      <c r="J1128" s="21" t="s">
        <v>4079</v>
      </c>
      <c r="K1128" s="21" t="s">
        <v>4080</v>
      </c>
      <c r="L1128" s="22" t="s">
        <v>36</v>
      </c>
      <c r="M1128" s="21" t="s">
        <v>120</v>
      </c>
      <c r="N1128" s="13" t="s">
        <v>106</v>
      </c>
      <c r="O1128" s="23" t="n">
        <v>10.22</v>
      </c>
      <c r="P1128" s="13" t="n">
        <v>1</v>
      </c>
      <c r="Q1128" s="24" t="n">
        <v>46310.9761458333</v>
      </c>
      <c r="R1128" s="22"/>
      <c r="S1128" s="13" t="s">
        <v>164</v>
      </c>
      <c r="T1128" s="13" t="str">
        <f aca="false">IF(S1128="Oui",IF(R1128=L1128,"Identique","Changé"),"")</f>
        <v/>
      </c>
    </row>
    <row r="1129" customFormat="false" ht="35.05" hidden="false" customHeight="false" outlineLevel="0" collapsed="false">
      <c r="A1129" s="13" t="s">
        <v>4081</v>
      </c>
      <c r="B1129" s="13" t="s">
        <v>4074</v>
      </c>
      <c r="C1129" s="13" t="n">
        <v>3</v>
      </c>
      <c r="D1129" s="13" t="s">
        <v>135</v>
      </c>
      <c r="E1129" s="13" t="s">
        <v>158</v>
      </c>
      <c r="F1129" s="13" t="s">
        <v>2762</v>
      </c>
      <c r="G1129" s="13" t="s">
        <v>1918</v>
      </c>
      <c r="H1129" s="13" t="s">
        <v>101</v>
      </c>
      <c r="I1129" s="21" t="s">
        <v>4082</v>
      </c>
      <c r="J1129" s="21" t="s">
        <v>284</v>
      </c>
      <c r="K1129" s="21" t="s">
        <v>4083</v>
      </c>
      <c r="L1129" s="22" t="s">
        <v>36</v>
      </c>
      <c r="M1129" s="21" t="s">
        <v>120</v>
      </c>
      <c r="N1129" s="13" t="s">
        <v>106</v>
      </c>
      <c r="O1129" s="23" t="n">
        <v>9.06</v>
      </c>
      <c r="P1129" s="13" t="n">
        <v>1</v>
      </c>
      <c r="Q1129" s="24" t="n">
        <v>46310.9763541667</v>
      </c>
      <c r="R1129" s="22"/>
      <c r="S1129" s="13" t="s">
        <v>164</v>
      </c>
      <c r="T1129" s="13" t="str">
        <f aca="false">IF(S1129="Oui",IF(R1129=L1129,"Identique","Changé"),"")</f>
        <v/>
      </c>
    </row>
    <row r="1130" customFormat="false" ht="35.05" hidden="false" customHeight="false" outlineLevel="0" collapsed="false">
      <c r="A1130" s="13" t="s">
        <v>4084</v>
      </c>
      <c r="B1130" s="13" t="s">
        <v>4074</v>
      </c>
      <c r="C1130" s="13" t="n">
        <v>4</v>
      </c>
      <c r="D1130" s="13" t="s">
        <v>135</v>
      </c>
      <c r="E1130" s="13" t="s">
        <v>171</v>
      </c>
      <c r="F1130" s="13" t="s">
        <v>2762</v>
      </c>
      <c r="G1130" s="13" t="s">
        <v>222</v>
      </c>
      <c r="H1130" s="13" t="s">
        <v>101</v>
      </c>
      <c r="I1130" s="21" t="s">
        <v>4085</v>
      </c>
      <c r="J1130" s="21" t="s">
        <v>561</v>
      </c>
      <c r="K1130" s="21" t="s">
        <v>4086</v>
      </c>
      <c r="L1130" s="22" t="s">
        <v>36</v>
      </c>
      <c r="M1130" s="21" t="s">
        <v>120</v>
      </c>
      <c r="N1130" s="13" t="s">
        <v>106</v>
      </c>
      <c r="O1130" s="23" t="n">
        <v>15.86</v>
      </c>
      <c r="P1130" s="13" t="n">
        <v>1</v>
      </c>
      <c r="Q1130" s="24" t="n">
        <v>46310.9766435185</v>
      </c>
      <c r="R1130" s="22"/>
      <c r="S1130" s="13" t="s">
        <v>164</v>
      </c>
      <c r="T1130" s="13" t="str">
        <f aca="false">IF(S1130="Oui",IF(R1130=L1130,"Identique","Changé"),"")</f>
        <v/>
      </c>
    </row>
    <row r="1131" customFormat="false" ht="35.05" hidden="false" customHeight="false" outlineLevel="0" collapsed="false">
      <c r="A1131" s="13" t="s">
        <v>4087</v>
      </c>
      <c r="B1131" s="13" t="s">
        <v>4074</v>
      </c>
      <c r="C1131" s="13" t="n">
        <v>5</v>
      </c>
      <c r="D1131" s="13" t="s">
        <v>135</v>
      </c>
      <c r="E1131" s="13" t="s">
        <v>171</v>
      </c>
      <c r="F1131" s="13" t="s">
        <v>2762</v>
      </c>
      <c r="G1131" s="13" t="s">
        <v>1998</v>
      </c>
      <c r="H1131" s="13" t="s">
        <v>101</v>
      </c>
      <c r="I1131" s="21" t="s">
        <v>4088</v>
      </c>
      <c r="J1131" s="21" t="s">
        <v>2798</v>
      </c>
      <c r="K1131" s="21" t="s">
        <v>4089</v>
      </c>
      <c r="L1131" s="22" t="s">
        <v>36</v>
      </c>
      <c r="M1131" s="21" t="s">
        <v>120</v>
      </c>
      <c r="N1131" s="13" t="s">
        <v>106</v>
      </c>
      <c r="O1131" s="23" t="n">
        <v>10.38</v>
      </c>
      <c r="P1131" s="13" t="n">
        <v>1</v>
      </c>
      <c r="Q1131" s="24" t="n">
        <v>46310.976875</v>
      </c>
      <c r="R1131" s="22"/>
      <c r="S1131" s="13" t="s">
        <v>164</v>
      </c>
      <c r="T1131" s="13" t="str">
        <f aca="false">IF(S1131="Oui",IF(R1131=L1131,"Identique","Changé"),"")</f>
        <v/>
      </c>
    </row>
    <row r="1132" customFormat="false" ht="46.25" hidden="false" customHeight="false" outlineLevel="0" collapsed="false">
      <c r="A1132" s="13" t="s">
        <v>4090</v>
      </c>
      <c r="B1132" s="13" t="s">
        <v>4091</v>
      </c>
      <c r="C1132" s="13" t="n">
        <v>1</v>
      </c>
      <c r="D1132" s="13" t="s">
        <v>97</v>
      </c>
      <c r="E1132" s="13" t="s">
        <v>122</v>
      </c>
      <c r="F1132" s="13" t="s">
        <v>99</v>
      </c>
      <c r="G1132" s="13" t="s">
        <v>1833</v>
      </c>
      <c r="H1132" s="13" t="s">
        <v>101</v>
      </c>
      <c r="I1132" s="21" t="s">
        <v>4092</v>
      </c>
      <c r="J1132" s="21" t="s">
        <v>1741</v>
      </c>
      <c r="K1132" s="21" t="s">
        <v>4093</v>
      </c>
      <c r="L1132" s="22" t="s">
        <v>36</v>
      </c>
      <c r="M1132" s="21" t="s">
        <v>235</v>
      </c>
      <c r="N1132" s="13" t="s">
        <v>106</v>
      </c>
      <c r="O1132" s="23" t="n">
        <v>36.45</v>
      </c>
      <c r="P1132" s="13" t="n">
        <v>1</v>
      </c>
      <c r="Q1132" s="24" t="n">
        <v>46310.9774537037</v>
      </c>
      <c r="R1132" s="22"/>
      <c r="S1132" s="13" t="s">
        <v>164</v>
      </c>
      <c r="T1132" s="13" t="str">
        <f aca="false">IF(S1132="Oui",IF(R1132=L1132,"Identique","Changé"),"")</f>
        <v/>
      </c>
    </row>
    <row r="1133" customFormat="false" ht="46.25" hidden="false" customHeight="false" outlineLevel="0" collapsed="false">
      <c r="A1133" s="13" t="s">
        <v>4094</v>
      </c>
      <c r="B1133" s="13" t="s">
        <v>4091</v>
      </c>
      <c r="C1133" s="13" t="n">
        <v>2</v>
      </c>
      <c r="D1133" s="13" t="s">
        <v>97</v>
      </c>
      <c r="E1133" s="13" t="s">
        <v>122</v>
      </c>
      <c r="F1133" s="13" t="s">
        <v>99</v>
      </c>
      <c r="G1133" s="13" t="s">
        <v>1905</v>
      </c>
      <c r="H1133" s="13" t="s">
        <v>101</v>
      </c>
      <c r="I1133" s="21" t="s">
        <v>4095</v>
      </c>
      <c r="J1133" s="21" t="s">
        <v>284</v>
      </c>
      <c r="K1133" s="21" t="s">
        <v>4096</v>
      </c>
      <c r="L1133" s="22" t="s">
        <v>37</v>
      </c>
      <c r="M1133" s="21" t="s">
        <v>163</v>
      </c>
      <c r="N1133" s="13" t="s">
        <v>106</v>
      </c>
      <c r="O1133" s="23" t="n">
        <v>15.03</v>
      </c>
      <c r="P1133" s="13" t="n">
        <v>1</v>
      </c>
      <c r="Q1133" s="24" t="n">
        <v>46310.9777430556</v>
      </c>
      <c r="R1133" s="22"/>
      <c r="S1133" s="13" t="s">
        <v>164</v>
      </c>
      <c r="T1133" s="13" t="str">
        <f aca="false">IF(S1133="Oui",IF(R1133=L1133,"Identique","Changé"),"")</f>
        <v/>
      </c>
    </row>
    <row r="1134" customFormat="false" ht="79.85" hidden="false" customHeight="false" outlineLevel="0" collapsed="false">
      <c r="A1134" s="13" t="s">
        <v>4097</v>
      </c>
      <c r="B1134" s="13" t="s">
        <v>4091</v>
      </c>
      <c r="C1134" s="13" t="n">
        <v>3</v>
      </c>
      <c r="D1134" s="13" t="s">
        <v>97</v>
      </c>
      <c r="E1134" s="13" t="s">
        <v>570</v>
      </c>
      <c r="F1134" s="13" t="s">
        <v>1925</v>
      </c>
      <c r="G1134" s="13" t="s">
        <v>1824</v>
      </c>
      <c r="H1134" s="13" t="s">
        <v>152</v>
      </c>
      <c r="I1134" s="21" t="s">
        <v>4098</v>
      </c>
      <c r="J1134" s="21" t="s">
        <v>154</v>
      </c>
      <c r="K1134" s="21" t="s">
        <v>4099</v>
      </c>
      <c r="L1134" s="22" t="s">
        <v>41</v>
      </c>
      <c r="M1134" s="21" t="s">
        <v>2849</v>
      </c>
      <c r="N1134" s="13" t="s">
        <v>1085</v>
      </c>
      <c r="O1134" s="23" t="n">
        <v>14.13</v>
      </c>
      <c r="P1134" s="13" t="n">
        <v>1</v>
      </c>
      <c r="Q1134" s="24" t="n">
        <v>46310.9780092593</v>
      </c>
      <c r="R1134" s="22"/>
      <c r="S1134" s="13" t="s">
        <v>164</v>
      </c>
      <c r="T1134" s="13" t="str">
        <f aca="false">IF(S1134="Oui",IF(R1134=L1134,"Identique","Changé"),"")</f>
        <v/>
      </c>
    </row>
    <row r="1135" customFormat="false" ht="46.25" hidden="false" customHeight="false" outlineLevel="0" collapsed="false">
      <c r="A1135" s="13" t="s">
        <v>4100</v>
      </c>
      <c r="B1135" s="13" t="s">
        <v>4091</v>
      </c>
      <c r="C1135" s="13" t="n">
        <v>4</v>
      </c>
      <c r="D1135" s="13" t="s">
        <v>97</v>
      </c>
      <c r="E1135" s="13" t="s">
        <v>122</v>
      </c>
      <c r="F1135" s="13" t="s">
        <v>1925</v>
      </c>
      <c r="G1135" s="13" t="s">
        <v>1891</v>
      </c>
      <c r="H1135" s="13" t="s">
        <v>101</v>
      </c>
      <c r="I1135" s="21" t="s">
        <v>4101</v>
      </c>
      <c r="J1135" s="21" t="s">
        <v>311</v>
      </c>
      <c r="K1135" s="21" t="s">
        <v>4102</v>
      </c>
      <c r="L1135" s="22" t="s">
        <v>36</v>
      </c>
      <c r="M1135" s="21" t="s">
        <v>235</v>
      </c>
      <c r="N1135" s="13" t="s">
        <v>106</v>
      </c>
      <c r="O1135" s="23" t="n">
        <v>12.54</v>
      </c>
      <c r="P1135" s="13" t="n">
        <v>1</v>
      </c>
      <c r="Q1135" s="24" t="n">
        <v>46310.9782523148</v>
      </c>
      <c r="R1135" s="22"/>
      <c r="S1135" s="13" t="s">
        <v>164</v>
      </c>
      <c r="T1135" s="13" t="str">
        <f aca="false">IF(S1135="Oui",IF(R1135=L1135,"Identique","Changé"),"")</f>
        <v/>
      </c>
    </row>
    <row r="1136" customFormat="false" ht="35.05" hidden="false" customHeight="false" outlineLevel="0" collapsed="false">
      <c r="A1136" s="13" t="s">
        <v>4103</v>
      </c>
      <c r="B1136" s="13" t="s">
        <v>4091</v>
      </c>
      <c r="C1136" s="13" t="n">
        <v>5</v>
      </c>
      <c r="D1136" s="13" t="s">
        <v>97</v>
      </c>
      <c r="E1136" s="13" t="s">
        <v>260</v>
      </c>
      <c r="F1136" s="13" t="s">
        <v>99</v>
      </c>
      <c r="G1136" s="13" t="s">
        <v>2019</v>
      </c>
      <c r="H1136" s="13" t="s">
        <v>101</v>
      </c>
      <c r="I1136" s="21" t="s">
        <v>4104</v>
      </c>
      <c r="J1136" s="21" t="s">
        <v>512</v>
      </c>
      <c r="K1136" s="21" t="s">
        <v>4105</v>
      </c>
      <c r="L1136" s="22" t="s">
        <v>36</v>
      </c>
      <c r="M1136" s="21" t="s">
        <v>120</v>
      </c>
      <c r="N1136" s="13" t="s">
        <v>106</v>
      </c>
      <c r="O1136" s="23" t="n">
        <v>9.6</v>
      </c>
      <c r="P1136" s="13" t="n">
        <v>1</v>
      </c>
      <c r="Q1136" s="24" t="n">
        <v>46310.9784722222</v>
      </c>
      <c r="R1136" s="22"/>
      <c r="S1136" s="13" t="s">
        <v>164</v>
      </c>
      <c r="T1136" s="13" t="str">
        <f aca="false">IF(S1136="Oui",IF(R1136=L1136,"Identique","Changé"),"")</f>
        <v/>
      </c>
    </row>
    <row r="1137" customFormat="false" ht="35.05" hidden="false" customHeight="false" outlineLevel="0" collapsed="false">
      <c r="A1137" s="13" t="s">
        <v>4106</v>
      </c>
      <c r="B1137" s="13" t="s">
        <v>4107</v>
      </c>
      <c r="C1137" s="13" t="n">
        <v>1</v>
      </c>
      <c r="D1137" s="13" t="s">
        <v>135</v>
      </c>
      <c r="E1137" s="13" t="s">
        <v>171</v>
      </c>
      <c r="F1137" s="13" t="s">
        <v>2796</v>
      </c>
      <c r="G1137" s="13" t="s">
        <v>172</v>
      </c>
      <c r="H1137" s="13" t="s">
        <v>101</v>
      </c>
      <c r="I1137" s="21" t="s">
        <v>4108</v>
      </c>
      <c r="J1137" s="21" t="s">
        <v>174</v>
      </c>
      <c r="K1137" s="21" t="s">
        <v>4109</v>
      </c>
      <c r="L1137" s="22" t="s">
        <v>36</v>
      </c>
      <c r="M1137" s="21" t="s">
        <v>120</v>
      </c>
      <c r="N1137" s="13" t="s">
        <v>106</v>
      </c>
      <c r="O1137" s="23" t="n">
        <v>28.89</v>
      </c>
      <c r="P1137" s="13" t="n">
        <v>1</v>
      </c>
      <c r="Q1137" s="24" t="n">
        <v>46310.9789814815</v>
      </c>
      <c r="R1137" s="22"/>
      <c r="S1137" s="13" t="s">
        <v>164</v>
      </c>
      <c r="T1137" s="13" t="str">
        <f aca="false">IF(S1137="Oui",IF(R1137=L1137,"Identique","Changé"),"")</f>
        <v/>
      </c>
    </row>
    <row r="1138" customFormat="false" ht="35.05" hidden="false" customHeight="false" outlineLevel="0" collapsed="false">
      <c r="A1138" s="13" t="s">
        <v>4110</v>
      </c>
      <c r="B1138" s="13" t="s">
        <v>4107</v>
      </c>
      <c r="C1138" s="13" t="n">
        <v>2</v>
      </c>
      <c r="D1138" s="13" t="s">
        <v>135</v>
      </c>
      <c r="E1138" s="13" t="s">
        <v>98</v>
      </c>
      <c r="F1138" s="13" t="s">
        <v>2796</v>
      </c>
      <c r="G1138" s="13" t="s">
        <v>2500</v>
      </c>
      <c r="H1138" s="13" t="s">
        <v>101</v>
      </c>
      <c r="I1138" s="21" t="s">
        <v>4111</v>
      </c>
      <c r="J1138" s="21" t="s">
        <v>4112</v>
      </c>
      <c r="K1138" s="21" t="s">
        <v>4113</v>
      </c>
      <c r="L1138" s="22" t="s">
        <v>36</v>
      </c>
      <c r="M1138" s="21" t="s">
        <v>2135</v>
      </c>
      <c r="N1138" s="13" t="s">
        <v>106</v>
      </c>
      <c r="O1138" s="23" t="n">
        <v>10.41</v>
      </c>
      <c r="P1138" s="13" t="n">
        <v>1</v>
      </c>
      <c r="Q1138" s="24" t="n">
        <v>46310.9792013889</v>
      </c>
      <c r="R1138" s="22"/>
      <c r="S1138" s="13" t="s">
        <v>164</v>
      </c>
      <c r="T1138" s="13" t="str">
        <f aca="false">IF(S1138="Oui",IF(R1138=L1138,"Identique","Changé"),"")</f>
        <v/>
      </c>
    </row>
    <row r="1139" customFormat="false" ht="35.05" hidden="false" customHeight="false" outlineLevel="0" collapsed="false">
      <c r="A1139" s="13" t="s">
        <v>4114</v>
      </c>
      <c r="B1139" s="13" t="s">
        <v>4107</v>
      </c>
      <c r="C1139" s="13" t="n">
        <v>3</v>
      </c>
      <c r="D1139" s="13" t="s">
        <v>135</v>
      </c>
      <c r="E1139" s="13" t="s">
        <v>158</v>
      </c>
      <c r="F1139" s="13" t="s">
        <v>2796</v>
      </c>
      <c r="G1139" s="13" t="s">
        <v>1913</v>
      </c>
      <c r="H1139" s="13" t="s">
        <v>101</v>
      </c>
      <c r="I1139" s="21" t="s">
        <v>4115</v>
      </c>
      <c r="J1139" s="21" t="s">
        <v>284</v>
      </c>
      <c r="K1139" s="21" t="s">
        <v>4116</v>
      </c>
      <c r="L1139" s="22" t="s">
        <v>36</v>
      </c>
      <c r="M1139" s="21" t="s">
        <v>120</v>
      </c>
      <c r="N1139" s="13" t="s">
        <v>106</v>
      </c>
      <c r="O1139" s="23" t="n">
        <v>11.53</v>
      </c>
      <c r="P1139" s="13" t="n">
        <v>1</v>
      </c>
      <c r="Q1139" s="24" t="n">
        <v>46310.9794328704</v>
      </c>
      <c r="R1139" s="22"/>
      <c r="S1139" s="13" t="s">
        <v>164</v>
      </c>
      <c r="T1139" s="13" t="str">
        <f aca="false">IF(S1139="Oui",IF(R1139=L1139,"Identique","Changé"),"")</f>
        <v/>
      </c>
    </row>
    <row r="1140" customFormat="false" ht="202.95" hidden="false" customHeight="false" outlineLevel="0" collapsed="false">
      <c r="A1140" s="13" t="s">
        <v>4117</v>
      </c>
      <c r="B1140" s="13" t="s">
        <v>4107</v>
      </c>
      <c r="C1140" s="13" t="n">
        <v>4</v>
      </c>
      <c r="D1140" s="13" t="s">
        <v>135</v>
      </c>
      <c r="E1140" s="13" t="s">
        <v>1730</v>
      </c>
      <c r="F1140" s="13" t="s">
        <v>2796</v>
      </c>
      <c r="G1140" s="13" t="s">
        <v>2003</v>
      </c>
      <c r="H1140" s="13" t="s">
        <v>101</v>
      </c>
      <c r="I1140" s="21" t="s">
        <v>4118</v>
      </c>
      <c r="J1140" s="21" t="s">
        <v>4119</v>
      </c>
      <c r="K1140" s="21" t="s">
        <v>4120</v>
      </c>
      <c r="L1140" s="22" t="s">
        <v>36</v>
      </c>
      <c r="M1140" s="21" t="s">
        <v>2943</v>
      </c>
      <c r="N1140" s="13" t="s">
        <v>106</v>
      </c>
      <c r="O1140" s="23" t="n">
        <v>10.57</v>
      </c>
      <c r="P1140" s="13" t="n">
        <v>1</v>
      </c>
      <c r="Q1140" s="24" t="n">
        <v>46310.9796643519</v>
      </c>
      <c r="R1140" s="22"/>
      <c r="S1140" s="13" t="s">
        <v>164</v>
      </c>
      <c r="T1140" s="13" t="str">
        <f aca="false">IF(S1140="Oui",IF(R1140=L1140,"Identique","Changé"),"")</f>
        <v/>
      </c>
    </row>
    <row r="1141" customFormat="false" ht="35.05" hidden="false" customHeight="false" outlineLevel="0" collapsed="false">
      <c r="A1141" s="13" t="s">
        <v>4121</v>
      </c>
      <c r="B1141" s="13" t="s">
        <v>4107</v>
      </c>
      <c r="C1141" s="13" t="n">
        <v>5</v>
      </c>
      <c r="D1141" s="13" t="s">
        <v>135</v>
      </c>
      <c r="E1141" s="13" t="s">
        <v>158</v>
      </c>
      <c r="F1141" s="13" t="s">
        <v>2796</v>
      </c>
      <c r="G1141" s="13" t="s">
        <v>1951</v>
      </c>
      <c r="H1141" s="13" t="s">
        <v>101</v>
      </c>
      <c r="I1141" s="21" t="s">
        <v>4122</v>
      </c>
      <c r="J1141" s="21" t="s">
        <v>284</v>
      </c>
      <c r="K1141" s="21" t="s">
        <v>4123</v>
      </c>
      <c r="L1141" s="22" t="s">
        <v>36</v>
      </c>
      <c r="M1141" s="21" t="s">
        <v>120</v>
      </c>
      <c r="N1141" s="13" t="s">
        <v>106</v>
      </c>
      <c r="O1141" s="23" t="n">
        <v>8.91</v>
      </c>
      <c r="P1141" s="13" t="n">
        <v>1</v>
      </c>
      <c r="Q1141" s="24" t="n">
        <v>46310.9798726852</v>
      </c>
      <c r="R1141" s="22"/>
      <c r="S1141" s="13" t="s">
        <v>164</v>
      </c>
      <c r="T1141" s="13" t="str">
        <f aca="false">IF(S1141="Oui",IF(R1141=L1141,"Identique","Changé"),"")</f>
        <v/>
      </c>
    </row>
    <row r="1142" customFormat="false" ht="46.25" hidden="false" customHeight="false" outlineLevel="0" collapsed="false">
      <c r="A1142" s="13" t="s">
        <v>4124</v>
      </c>
      <c r="B1142" s="13" t="s">
        <v>4125</v>
      </c>
      <c r="C1142" s="13" t="n">
        <v>1</v>
      </c>
      <c r="D1142" s="13" t="s">
        <v>97</v>
      </c>
      <c r="E1142" s="13" t="s">
        <v>122</v>
      </c>
      <c r="F1142" s="13" t="s">
        <v>1473</v>
      </c>
      <c r="G1142" s="13" t="s">
        <v>1819</v>
      </c>
      <c r="H1142" s="13" t="s">
        <v>101</v>
      </c>
      <c r="I1142" s="21" t="s">
        <v>4126</v>
      </c>
      <c r="J1142" s="21" t="s">
        <v>1741</v>
      </c>
      <c r="K1142" s="21" t="s">
        <v>4127</v>
      </c>
      <c r="L1142" s="22" t="s">
        <v>38</v>
      </c>
      <c r="M1142" s="21" t="s">
        <v>1822</v>
      </c>
      <c r="N1142" s="13" t="s">
        <v>106</v>
      </c>
      <c r="O1142" s="23" t="n">
        <v>30.18</v>
      </c>
      <c r="P1142" s="13" t="n">
        <v>1</v>
      </c>
      <c r="Q1142" s="24" t="n">
        <v>46310.9803819444</v>
      </c>
      <c r="R1142" s="22"/>
      <c r="S1142" s="13" t="s">
        <v>164</v>
      </c>
      <c r="T1142" s="13" t="str">
        <f aca="false">IF(S1142="Oui",IF(R1142=L1142,"Identique","Changé"),"")</f>
        <v/>
      </c>
    </row>
    <row r="1143" customFormat="false" ht="35.05" hidden="false" customHeight="false" outlineLevel="0" collapsed="false">
      <c r="A1143" s="13" t="s">
        <v>4128</v>
      </c>
      <c r="B1143" s="13" t="s">
        <v>4125</v>
      </c>
      <c r="C1143" s="13" t="n">
        <v>2</v>
      </c>
      <c r="D1143" s="13" t="s">
        <v>97</v>
      </c>
      <c r="E1143" s="13" t="s">
        <v>570</v>
      </c>
      <c r="F1143" s="13" t="s">
        <v>1473</v>
      </c>
      <c r="G1143" s="13" t="s">
        <v>1785</v>
      </c>
      <c r="H1143" s="13" t="s">
        <v>101</v>
      </c>
      <c r="I1143" s="21" t="s">
        <v>4129</v>
      </c>
      <c r="J1143" s="21" t="s">
        <v>4130</v>
      </c>
      <c r="K1143" s="21" t="s">
        <v>4131</v>
      </c>
      <c r="L1143" s="22" t="s">
        <v>36</v>
      </c>
      <c r="M1143" s="21" t="s">
        <v>235</v>
      </c>
      <c r="N1143" s="13" t="s">
        <v>106</v>
      </c>
      <c r="O1143" s="23" t="n">
        <v>9.98</v>
      </c>
      <c r="P1143" s="13" t="n">
        <v>1</v>
      </c>
      <c r="Q1143" s="24" t="n">
        <v>46310.9806018519</v>
      </c>
      <c r="R1143" s="22"/>
      <c r="S1143" s="13" t="s">
        <v>164</v>
      </c>
      <c r="T1143" s="13" t="str">
        <f aca="false">IF(S1143="Oui",IF(R1143=L1143,"Identique","Changé"),"")</f>
        <v/>
      </c>
    </row>
    <row r="1144" customFormat="false" ht="35.05" hidden="false" customHeight="false" outlineLevel="0" collapsed="false">
      <c r="A1144" s="13" t="s">
        <v>4132</v>
      </c>
      <c r="B1144" s="13" t="s">
        <v>4125</v>
      </c>
      <c r="C1144" s="13" t="n">
        <v>3</v>
      </c>
      <c r="D1144" s="13" t="s">
        <v>97</v>
      </c>
      <c r="E1144" s="13" t="s">
        <v>570</v>
      </c>
      <c r="F1144" s="13" t="s">
        <v>409</v>
      </c>
      <c r="G1144" s="13" t="s">
        <v>1800</v>
      </c>
      <c r="H1144" s="13" t="s">
        <v>101</v>
      </c>
      <c r="I1144" s="21" t="s">
        <v>4133</v>
      </c>
      <c r="J1144" s="21" t="s">
        <v>1741</v>
      </c>
      <c r="K1144" s="21" t="s">
        <v>4134</v>
      </c>
      <c r="L1144" s="22" t="s">
        <v>36</v>
      </c>
      <c r="M1144" s="21" t="s">
        <v>235</v>
      </c>
      <c r="N1144" s="13" t="s">
        <v>106</v>
      </c>
      <c r="O1144" s="23" t="n">
        <v>10.46</v>
      </c>
      <c r="P1144" s="13" t="n">
        <v>1</v>
      </c>
      <c r="Q1144" s="24" t="n">
        <v>46310.9808217593</v>
      </c>
      <c r="R1144" s="22"/>
      <c r="S1144" s="13" t="s">
        <v>164</v>
      </c>
      <c r="T1144" s="13" t="str">
        <f aca="false">IF(S1144="Oui",IF(R1144=L1144,"Identique","Changé"),"")</f>
        <v/>
      </c>
    </row>
    <row r="1145" customFormat="false" ht="35.05" hidden="false" customHeight="false" outlineLevel="0" collapsed="false">
      <c r="A1145" s="13" t="s">
        <v>4135</v>
      </c>
      <c r="B1145" s="13" t="s">
        <v>4125</v>
      </c>
      <c r="C1145" s="13" t="n">
        <v>4</v>
      </c>
      <c r="D1145" s="13" t="s">
        <v>97</v>
      </c>
      <c r="E1145" s="13" t="s">
        <v>570</v>
      </c>
      <c r="F1145" s="13" t="s">
        <v>409</v>
      </c>
      <c r="G1145" s="13" t="s">
        <v>1980</v>
      </c>
      <c r="H1145" s="13" t="s">
        <v>152</v>
      </c>
      <c r="I1145" s="21" t="s">
        <v>4136</v>
      </c>
      <c r="J1145" s="21" t="s">
        <v>154</v>
      </c>
      <c r="K1145" s="21" t="s">
        <v>4137</v>
      </c>
      <c r="L1145" s="22" t="s">
        <v>40</v>
      </c>
      <c r="M1145" s="21" t="s">
        <v>156</v>
      </c>
      <c r="N1145" s="13" t="s">
        <v>106</v>
      </c>
      <c r="O1145" s="23" t="n">
        <v>9.29</v>
      </c>
      <c r="P1145" s="13" t="n">
        <v>1</v>
      </c>
      <c r="Q1145" s="24" t="n">
        <v>46310.9810416667</v>
      </c>
      <c r="R1145" s="22"/>
      <c r="S1145" s="13" t="s">
        <v>164</v>
      </c>
      <c r="T1145" s="13" t="str">
        <f aca="false">IF(S1145="Oui",IF(R1145=L1145,"Identique","Changé"),"")</f>
        <v/>
      </c>
    </row>
    <row r="1146" customFormat="false" ht="35.05" hidden="false" customHeight="false" outlineLevel="0" collapsed="false">
      <c r="A1146" s="13" t="s">
        <v>4138</v>
      </c>
      <c r="B1146" s="13" t="s">
        <v>4125</v>
      </c>
      <c r="C1146" s="13" t="n">
        <v>5</v>
      </c>
      <c r="D1146" s="13" t="s">
        <v>97</v>
      </c>
      <c r="E1146" s="13" t="s">
        <v>570</v>
      </c>
      <c r="F1146" s="13" t="s">
        <v>1473</v>
      </c>
      <c r="G1146" s="13" t="s">
        <v>1758</v>
      </c>
      <c r="H1146" s="13" t="s">
        <v>101</v>
      </c>
      <c r="I1146" s="21" t="s">
        <v>4139</v>
      </c>
      <c r="J1146" s="21" t="s">
        <v>1741</v>
      </c>
      <c r="K1146" s="21" t="s">
        <v>4140</v>
      </c>
      <c r="L1146" s="22" t="s">
        <v>36</v>
      </c>
      <c r="M1146" s="21" t="s">
        <v>235</v>
      </c>
      <c r="N1146" s="13" t="s">
        <v>106</v>
      </c>
      <c r="O1146" s="23" t="n">
        <v>11.07</v>
      </c>
      <c r="P1146" s="13" t="n">
        <v>1</v>
      </c>
      <c r="Q1146" s="24" t="n">
        <v>46310.9812847222</v>
      </c>
      <c r="R1146" s="22"/>
      <c r="S1146" s="13" t="s">
        <v>164</v>
      </c>
      <c r="T1146" s="13" t="str">
        <f aca="false">IF(S1146="Oui",IF(R1146=L1146,"Identique","Changé"),"")</f>
        <v/>
      </c>
    </row>
    <row r="1147" customFormat="false" ht="57.45" hidden="false" customHeight="false" outlineLevel="0" collapsed="false">
      <c r="A1147" s="13" t="s">
        <v>4141</v>
      </c>
      <c r="B1147" s="13" t="s">
        <v>4142</v>
      </c>
      <c r="C1147" s="13" t="n">
        <v>1</v>
      </c>
      <c r="D1147" s="13" t="s">
        <v>135</v>
      </c>
      <c r="E1147" s="13" t="s">
        <v>122</v>
      </c>
      <c r="F1147" s="13" t="s">
        <v>4143</v>
      </c>
      <c r="G1147" s="13" t="s">
        <v>1395</v>
      </c>
      <c r="H1147" s="13" t="s">
        <v>101</v>
      </c>
      <c r="I1147" s="21" t="s">
        <v>4144</v>
      </c>
      <c r="J1147" s="21" t="s">
        <v>284</v>
      </c>
      <c r="K1147" s="21" t="s">
        <v>4145</v>
      </c>
      <c r="L1147" s="22" t="s">
        <v>36</v>
      </c>
      <c r="M1147" s="21" t="s">
        <v>1398</v>
      </c>
      <c r="N1147" s="13" t="s">
        <v>1085</v>
      </c>
      <c r="O1147" s="23" t="n">
        <v>34.12</v>
      </c>
      <c r="P1147" s="13" t="n">
        <v>2</v>
      </c>
      <c r="Q1147" s="24" t="n">
        <v>46310.9864351852</v>
      </c>
      <c r="R1147" s="22"/>
      <c r="S1147" s="13" t="s">
        <v>164</v>
      </c>
      <c r="T1147" s="13" t="str">
        <f aca="false">IF(S1147="Oui",IF(R1147=L1147,"Identique","Changé"),"")</f>
        <v/>
      </c>
    </row>
    <row r="1148" customFormat="false" ht="57.45" hidden="false" customHeight="false" outlineLevel="0" collapsed="false">
      <c r="A1148" s="13" t="s">
        <v>4146</v>
      </c>
      <c r="B1148" s="13" t="s">
        <v>4142</v>
      </c>
      <c r="C1148" s="13" t="n">
        <v>2</v>
      </c>
      <c r="D1148" s="13" t="s">
        <v>135</v>
      </c>
      <c r="E1148" s="13" t="s">
        <v>122</v>
      </c>
      <c r="F1148" s="13" t="s">
        <v>4143</v>
      </c>
      <c r="G1148" s="13" t="s">
        <v>1744</v>
      </c>
      <c r="H1148" s="13" t="s">
        <v>101</v>
      </c>
      <c r="I1148" s="21" t="s">
        <v>4147</v>
      </c>
      <c r="J1148" s="21" t="s">
        <v>1741</v>
      </c>
      <c r="K1148" s="21" t="s">
        <v>4148</v>
      </c>
      <c r="L1148" s="22" t="s">
        <v>36</v>
      </c>
      <c r="M1148" s="21" t="s">
        <v>235</v>
      </c>
      <c r="N1148" s="13" t="s">
        <v>106</v>
      </c>
      <c r="O1148" s="23" t="n">
        <v>11.39</v>
      </c>
      <c r="P1148" s="13" t="n">
        <v>2</v>
      </c>
      <c r="Q1148" s="24" t="n">
        <v>46310.9866666667</v>
      </c>
      <c r="R1148" s="22"/>
      <c r="S1148" s="13" t="s">
        <v>164</v>
      </c>
      <c r="T1148" s="13" t="str">
        <f aca="false">IF(S1148="Oui",IF(R1148=L1148,"Identique","Changé"),"")</f>
        <v/>
      </c>
    </row>
    <row r="1149" customFormat="false" ht="46.25" hidden="false" customHeight="false" outlineLevel="0" collapsed="false">
      <c r="A1149" s="13" t="s">
        <v>4149</v>
      </c>
      <c r="B1149" s="13" t="s">
        <v>4142</v>
      </c>
      <c r="C1149" s="13" t="n">
        <v>3</v>
      </c>
      <c r="D1149" s="13" t="s">
        <v>135</v>
      </c>
      <c r="E1149" s="13" t="s">
        <v>570</v>
      </c>
      <c r="F1149" s="13" t="s">
        <v>1810</v>
      </c>
      <c r="G1149" s="13" t="s">
        <v>1859</v>
      </c>
      <c r="H1149" s="13" t="s">
        <v>101</v>
      </c>
      <c r="I1149" s="21" t="s">
        <v>4150</v>
      </c>
      <c r="J1149" s="21" t="s">
        <v>1765</v>
      </c>
      <c r="K1149" s="21" t="s">
        <v>4151</v>
      </c>
      <c r="L1149" s="22" t="s">
        <v>36</v>
      </c>
      <c r="M1149" s="21" t="s">
        <v>235</v>
      </c>
      <c r="N1149" s="13" t="s">
        <v>106</v>
      </c>
      <c r="O1149" s="23" t="n">
        <v>9.61</v>
      </c>
      <c r="P1149" s="13" t="n">
        <v>2</v>
      </c>
      <c r="Q1149" s="24" t="n">
        <v>46310.9868865741</v>
      </c>
      <c r="R1149" s="22"/>
      <c r="S1149" s="13" t="s">
        <v>164</v>
      </c>
      <c r="T1149" s="13" t="str">
        <f aca="false">IF(S1149="Oui",IF(R1149=L1149,"Identique","Changé"),"")</f>
        <v/>
      </c>
    </row>
    <row r="1150" customFormat="false" ht="46.25" hidden="false" customHeight="false" outlineLevel="0" collapsed="false">
      <c r="A1150" s="13" t="s">
        <v>4152</v>
      </c>
      <c r="B1150" s="13" t="s">
        <v>4142</v>
      </c>
      <c r="C1150" s="13" t="n">
        <v>4</v>
      </c>
      <c r="D1150" s="13" t="s">
        <v>135</v>
      </c>
      <c r="E1150" s="13" t="s">
        <v>158</v>
      </c>
      <c r="F1150" s="13" t="s">
        <v>1810</v>
      </c>
      <c r="G1150" s="13" t="s">
        <v>159</v>
      </c>
      <c r="H1150" s="13" t="s">
        <v>101</v>
      </c>
      <c r="I1150" s="21" t="s">
        <v>4153</v>
      </c>
      <c r="J1150" s="21" t="s">
        <v>233</v>
      </c>
      <c r="K1150" s="21" t="s">
        <v>4154</v>
      </c>
      <c r="L1150" s="22" t="s">
        <v>37</v>
      </c>
      <c r="M1150" s="21" t="s">
        <v>163</v>
      </c>
      <c r="N1150" s="13" t="s">
        <v>106</v>
      </c>
      <c r="O1150" s="23" t="n">
        <v>9.33</v>
      </c>
      <c r="P1150" s="13" t="n">
        <v>2</v>
      </c>
      <c r="Q1150" s="24" t="n">
        <v>46310.9870949074</v>
      </c>
      <c r="R1150" s="22"/>
      <c r="S1150" s="13" t="s">
        <v>164</v>
      </c>
      <c r="T1150" s="13" t="str">
        <f aca="false">IF(S1150="Oui",IF(R1150=L1150,"Identique","Changé"),"")</f>
        <v/>
      </c>
    </row>
    <row r="1151" customFormat="false" ht="46.25" hidden="false" customHeight="false" outlineLevel="0" collapsed="false">
      <c r="A1151" s="13" t="s">
        <v>4155</v>
      </c>
      <c r="B1151" s="13" t="s">
        <v>4142</v>
      </c>
      <c r="C1151" s="13" t="n">
        <v>5</v>
      </c>
      <c r="D1151" s="13" t="s">
        <v>135</v>
      </c>
      <c r="E1151" s="13" t="s">
        <v>122</v>
      </c>
      <c r="F1151" s="13" t="s">
        <v>4143</v>
      </c>
      <c r="G1151" s="13" t="s">
        <v>1819</v>
      </c>
      <c r="H1151" s="13" t="s">
        <v>101</v>
      </c>
      <c r="I1151" s="21" t="s">
        <v>4156</v>
      </c>
      <c r="J1151" s="21" t="s">
        <v>1741</v>
      </c>
      <c r="K1151" s="21" t="s">
        <v>4157</v>
      </c>
      <c r="L1151" s="22" t="s">
        <v>36</v>
      </c>
      <c r="M1151" s="21" t="s">
        <v>235</v>
      </c>
      <c r="N1151" s="13" t="s">
        <v>106</v>
      </c>
      <c r="O1151" s="23" t="n">
        <v>11.95</v>
      </c>
      <c r="P1151" s="13" t="n">
        <v>2</v>
      </c>
      <c r="Q1151" s="24" t="n">
        <v>46310.987337963</v>
      </c>
      <c r="R1151" s="22"/>
      <c r="S1151" s="13" t="s">
        <v>164</v>
      </c>
      <c r="T1151" s="13" t="str">
        <f aca="false">IF(S1151="Oui",IF(R1151=L1151,"Identique","Changé"),"")</f>
        <v/>
      </c>
    </row>
    <row r="1152" customFormat="false" ht="35.05" hidden="false" customHeight="false" outlineLevel="0" collapsed="false">
      <c r="A1152" s="13" t="s">
        <v>4158</v>
      </c>
      <c r="B1152" s="13" t="s">
        <v>4159</v>
      </c>
      <c r="C1152" s="13" t="n">
        <v>1</v>
      </c>
      <c r="D1152" s="13" t="s">
        <v>97</v>
      </c>
      <c r="E1152" s="13" t="s">
        <v>260</v>
      </c>
      <c r="F1152" s="13" t="s">
        <v>1298</v>
      </c>
      <c r="G1152" s="13" t="s">
        <v>1897</v>
      </c>
      <c r="H1152" s="13" t="s">
        <v>101</v>
      </c>
      <c r="I1152" s="21" t="s">
        <v>4160</v>
      </c>
      <c r="J1152" s="21" t="s">
        <v>4161</v>
      </c>
      <c r="K1152" s="21" t="s">
        <v>4162</v>
      </c>
      <c r="L1152" s="22" t="s">
        <v>36</v>
      </c>
      <c r="M1152" s="21" t="s">
        <v>120</v>
      </c>
      <c r="N1152" s="13" t="s">
        <v>106</v>
      </c>
      <c r="O1152" s="23" t="n">
        <v>28.07</v>
      </c>
      <c r="P1152" s="13" t="n">
        <v>1</v>
      </c>
      <c r="Q1152" s="24" t="n">
        <v>46310.9878240741</v>
      </c>
      <c r="R1152" s="22"/>
      <c r="S1152" s="13" t="s">
        <v>164</v>
      </c>
      <c r="T1152" s="13" t="str">
        <f aca="false">IF(S1152="Oui",IF(R1152=L1152,"Identique","Changé"),"")</f>
        <v/>
      </c>
    </row>
    <row r="1153" customFormat="false" ht="1031.3" hidden="false" customHeight="false" outlineLevel="0" collapsed="false">
      <c r="A1153" s="13" t="s">
        <v>4163</v>
      </c>
      <c r="B1153" s="13" t="s">
        <v>4159</v>
      </c>
      <c r="C1153" s="13" t="n">
        <v>2</v>
      </c>
      <c r="D1153" s="13" t="s">
        <v>97</v>
      </c>
      <c r="E1153" s="13" t="s">
        <v>1730</v>
      </c>
      <c r="F1153" s="13" t="s">
        <v>1298</v>
      </c>
      <c r="G1153" s="13" t="s">
        <v>1753</v>
      </c>
      <c r="H1153" s="13" t="s">
        <v>101</v>
      </c>
      <c r="I1153" s="21" t="s">
        <v>4164</v>
      </c>
      <c r="J1153" s="21" t="s">
        <v>4165</v>
      </c>
      <c r="K1153" s="21" t="s">
        <v>4166</v>
      </c>
      <c r="L1153" s="22" t="s">
        <v>36</v>
      </c>
      <c r="M1153" s="21" t="s">
        <v>2007</v>
      </c>
      <c r="N1153" s="13" t="s">
        <v>1085</v>
      </c>
      <c r="O1153" s="23" t="n">
        <v>12.77</v>
      </c>
      <c r="P1153" s="13" t="n">
        <v>1</v>
      </c>
      <c r="Q1153" s="24" t="n">
        <v>46310.9880787037</v>
      </c>
      <c r="R1153" s="22"/>
      <c r="S1153" s="13" t="s">
        <v>164</v>
      </c>
      <c r="T1153" s="13" t="str">
        <f aca="false">IF(S1153="Oui",IF(R1153=L1153,"Identique","Changé"),"")</f>
        <v/>
      </c>
    </row>
    <row r="1154" customFormat="false" ht="46.25" hidden="false" customHeight="false" outlineLevel="0" collapsed="false">
      <c r="A1154" s="13" t="s">
        <v>4167</v>
      </c>
      <c r="B1154" s="13" t="s">
        <v>4159</v>
      </c>
      <c r="C1154" s="13" t="n">
        <v>3</v>
      </c>
      <c r="D1154" s="13" t="s">
        <v>97</v>
      </c>
      <c r="E1154" s="13" t="s">
        <v>570</v>
      </c>
      <c r="F1154" s="13" t="s">
        <v>1298</v>
      </c>
      <c r="G1154" s="13" t="s">
        <v>1775</v>
      </c>
      <c r="H1154" s="13" t="s">
        <v>101</v>
      </c>
      <c r="I1154" s="21" t="s">
        <v>4168</v>
      </c>
      <c r="J1154" s="21" t="s">
        <v>1777</v>
      </c>
      <c r="K1154" s="21" t="s">
        <v>4169</v>
      </c>
      <c r="L1154" s="22" t="s">
        <v>36</v>
      </c>
      <c r="M1154" s="21" t="s">
        <v>120</v>
      </c>
      <c r="N1154" s="13" t="s">
        <v>106</v>
      </c>
      <c r="O1154" s="23" t="n">
        <v>10.02</v>
      </c>
      <c r="P1154" s="13" t="n">
        <v>1</v>
      </c>
      <c r="Q1154" s="24" t="n">
        <v>46310.988287037</v>
      </c>
      <c r="R1154" s="22"/>
      <c r="S1154" s="13" t="s">
        <v>164</v>
      </c>
      <c r="T1154" s="13" t="str">
        <f aca="false">IF(S1154="Oui",IF(R1154=L1154,"Identique","Changé"),"")</f>
        <v/>
      </c>
    </row>
    <row r="1155" customFormat="false" ht="46.25" hidden="false" customHeight="false" outlineLevel="0" collapsed="false">
      <c r="A1155" s="13" t="s">
        <v>4170</v>
      </c>
      <c r="B1155" s="13" t="s">
        <v>4159</v>
      </c>
      <c r="C1155" s="13" t="n">
        <v>4</v>
      </c>
      <c r="D1155" s="13" t="s">
        <v>97</v>
      </c>
      <c r="E1155" s="13" t="s">
        <v>98</v>
      </c>
      <c r="F1155" s="13" t="s">
        <v>1298</v>
      </c>
      <c r="G1155" s="13" t="s">
        <v>2478</v>
      </c>
      <c r="H1155" s="13" t="s">
        <v>101</v>
      </c>
      <c r="I1155" s="21" t="s">
        <v>4171</v>
      </c>
      <c r="J1155" s="21" t="s">
        <v>4172</v>
      </c>
      <c r="K1155" s="21" t="s">
        <v>4173</v>
      </c>
      <c r="L1155" s="22" t="s">
        <v>36</v>
      </c>
      <c r="M1155" s="21" t="s">
        <v>2135</v>
      </c>
      <c r="N1155" s="13" t="s">
        <v>106</v>
      </c>
      <c r="O1155" s="23" t="n">
        <v>11.67</v>
      </c>
      <c r="P1155" s="13" t="n">
        <v>1</v>
      </c>
      <c r="Q1155" s="24" t="n">
        <v>46310.9885300926</v>
      </c>
      <c r="R1155" s="22"/>
      <c r="S1155" s="13" t="s">
        <v>164</v>
      </c>
      <c r="T1155" s="13" t="str">
        <f aca="false">IF(S1155="Oui",IF(R1155=L1155,"Identique","Changé"),"")</f>
        <v/>
      </c>
    </row>
    <row r="1156" customFormat="false" ht="46.25" hidden="false" customHeight="false" outlineLevel="0" collapsed="false">
      <c r="A1156" s="13" t="s">
        <v>4174</v>
      </c>
      <c r="B1156" s="13" t="s">
        <v>4159</v>
      </c>
      <c r="C1156" s="13" t="n">
        <v>5</v>
      </c>
      <c r="D1156" s="13" t="s">
        <v>97</v>
      </c>
      <c r="E1156" s="13" t="s">
        <v>158</v>
      </c>
      <c r="F1156" s="13" t="s">
        <v>1298</v>
      </c>
      <c r="G1156" s="13" t="s">
        <v>1909</v>
      </c>
      <c r="H1156" s="13" t="s">
        <v>101</v>
      </c>
      <c r="I1156" s="21" t="s">
        <v>4175</v>
      </c>
      <c r="J1156" s="21" t="s">
        <v>284</v>
      </c>
      <c r="K1156" s="21" t="s">
        <v>4176</v>
      </c>
      <c r="L1156" s="22" t="s">
        <v>36</v>
      </c>
      <c r="M1156" s="21" t="s">
        <v>120</v>
      </c>
      <c r="N1156" s="13" t="s">
        <v>106</v>
      </c>
      <c r="O1156" s="23" t="n">
        <v>10.23</v>
      </c>
      <c r="P1156" s="13" t="n">
        <v>1</v>
      </c>
      <c r="Q1156" s="24" t="n">
        <v>46310.9887615741</v>
      </c>
      <c r="R1156" s="22"/>
      <c r="S1156" s="13" t="s">
        <v>164</v>
      </c>
      <c r="T1156" s="13" t="str">
        <f aca="false">IF(S1156="Oui",IF(R1156=L1156,"Identique","Changé"),"")</f>
        <v/>
      </c>
    </row>
    <row r="1157" customFormat="false" ht="57.45" hidden="false" customHeight="false" outlineLevel="0" collapsed="false">
      <c r="A1157" s="13" t="s">
        <v>4177</v>
      </c>
      <c r="B1157" s="13" t="s">
        <v>4178</v>
      </c>
      <c r="C1157" s="13" t="n">
        <v>1</v>
      </c>
      <c r="D1157" s="13" t="s">
        <v>135</v>
      </c>
      <c r="E1157" s="13" t="s">
        <v>122</v>
      </c>
      <c r="F1157" s="13" t="s">
        <v>4179</v>
      </c>
      <c r="G1157" s="13" t="s">
        <v>1848</v>
      </c>
      <c r="H1157" s="13" t="s">
        <v>101</v>
      </c>
      <c r="I1157" s="21" t="s">
        <v>4180</v>
      </c>
      <c r="J1157" s="21" t="s">
        <v>3932</v>
      </c>
      <c r="K1157" s="21" t="s">
        <v>4181</v>
      </c>
      <c r="L1157" s="22" t="s">
        <v>36</v>
      </c>
      <c r="M1157" s="21" t="s">
        <v>235</v>
      </c>
      <c r="N1157" s="13" t="s">
        <v>106</v>
      </c>
      <c r="O1157" s="23" t="n">
        <v>34.38</v>
      </c>
      <c r="P1157" s="13" t="n">
        <v>1</v>
      </c>
      <c r="Q1157" s="24" t="n">
        <v>46310.9893171296</v>
      </c>
      <c r="R1157" s="22"/>
      <c r="S1157" s="13" t="s">
        <v>164</v>
      </c>
      <c r="T1157" s="13" t="str">
        <f aca="false">IF(S1157="Oui",IF(R1157=L1157,"Identique","Changé"),"")</f>
        <v/>
      </c>
    </row>
    <row r="1158" customFormat="false" ht="46.25" hidden="false" customHeight="false" outlineLevel="0" collapsed="false">
      <c r="A1158" s="13" t="s">
        <v>4182</v>
      </c>
      <c r="B1158" s="13" t="s">
        <v>4178</v>
      </c>
      <c r="C1158" s="13" t="n">
        <v>2</v>
      </c>
      <c r="D1158" s="13" t="s">
        <v>135</v>
      </c>
      <c r="E1158" s="13" t="s">
        <v>171</v>
      </c>
      <c r="F1158" s="13" t="s">
        <v>4179</v>
      </c>
      <c r="G1158" s="13" t="s">
        <v>519</v>
      </c>
      <c r="H1158" s="13" t="s">
        <v>101</v>
      </c>
      <c r="I1158" s="21" t="s">
        <v>4183</v>
      </c>
      <c r="J1158" s="21" t="s">
        <v>284</v>
      </c>
      <c r="K1158" s="21" t="s">
        <v>4184</v>
      </c>
      <c r="L1158" s="22" t="s">
        <v>37</v>
      </c>
      <c r="M1158" s="21" t="s">
        <v>163</v>
      </c>
      <c r="N1158" s="13" t="s">
        <v>106</v>
      </c>
      <c r="O1158" s="23" t="n">
        <v>11.23</v>
      </c>
      <c r="P1158" s="13" t="n">
        <v>1</v>
      </c>
      <c r="Q1158" s="24" t="n">
        <v>46310.9895486111</v>
      </c>
      <c r="R1158" s="22"/>
      <c r="S1158" s="13" t="s">
        <v>164</v>
      </c>
      <c r="T1158" s="13" t="str">
        <f aca="false">IF(S1158="Oui",IF(R1158=L1158,"Identique","Changé"),"")</f>
        <v/>
      </c>
    </row>
    <row r="1159" customFormat="false" ht="57.45" hidden="false" customHeight="false" outlineLevel="0" collapsed="false">
      <c r="A1159" s="13" t="s">
        <v>4185</v>
      </c>
      <c r="B1159" s="13" t="s">
        <v>4178</v>
      </c>
      <c r="C1159" s="13" t="n">
        <v>3</v>
      </c>
      <c r="D1159" s="13" t="s">
        <v>135</v>
      </c>
      <c r="E1159" s="13" t="s">
        <v>570</v>
      </c>
      <c r="F1159" s="13" t="s">
        <v>1854</v>
      </c>
      <c r="G1159" s="13" t="s">
        <v>1883</v>
      </c>
      <c r="H1159" s="13" t="s">
        <v>152</v>
      </c>
      <c r="I1159" s="21" t="s">
        <v>4186</v>
      </c>
      <c r="J1159" s="21" t="s">
        <v>154</v>
      </c>
      <c r="K1159" s="21" t="s">
        <v>4187</v>
      </c>
      <c r="L1159" s="22" t="s">
        <v>40</v>
      </c>
      <c r="M1159" s="21" t="s">
        <v>156</v>
      </c>
      <c r="N1159" s="13" t="s">
        <v>106</v>
      </c>
      <c r="O1159" s="23" t="n">
        <v>13.24</v>
      </c>
      <c r="P1159" s="13" t="n">
        <v>1</v>
      </c>
      <c r="Q1159" s="24" t="n">
        <v>46310.9898032407</v>
      </c>
      <c r="R1159" s="22"/>
      <c r="S1159" s="13" t="s">
        <v>164</v>
      </c>
      <c r="T1159" s="13" t="str">
        <f aca="false">IF(S1159="Oui",IF(R1159=L1159,"Identique","Changé"),"")</f>
        <v/>
      </c>
    </row>
    <row r="1160" customFormat="false" ht="46.25" hidden="false" customHeight="false" outlineLevel="0" collapsed="false">
      <c r="A1160" s="13" t="s">
        <v>4188</v>
      </c>
      <c r="B1160" s="13" t="s">
        <v>4178</v>
      </c>
      <c r="C1160" s="13" t="n">
        <v>4</v>
      </c>
      <c r="D1160" s="13" t="s">
        <v>135</v>
      </c>
      <c r="E1160" s="13" t="s">
        <v>570</v>
      </c>
      <c r="F1160" s="13" t="s">
        <v>1854</v>
      </c>
      <c r="G1160" s="13" t="s">
        <v>1811</v>
      </c>
      <c r="H1160" s="13" t="s">
        <v>101</v>
      </c>
      <c r="I1160" s="21" t="s">
        <v>4189</v>
      </c>
      <c r="J1160" s="21" t="s">
        <v>1649</v>
      </c>
      <c r="K1160" s="21" t="s">
        <v>4190</v>
      </c>
      <c r="L1160" s="22" t="s">
        <v>36</v>
      </c>
      <c r="M1160" s="21" t="s">
        <v>235</v>
      </c>
      <c r="N1160" s="13" t="s">
        <v>106</v>
      </c>
      <c r="O1160" s="23" t="n">
        <v>9.36</v>
      </c>
      <c r="P1160" s="13" t="n">
        <v>1</v>
      </c>
      <c r="Q1160" s="24" t="n">
        <v>46310.9900231482</v>
      </c>
      <c r="R1160" s="22"/>
      <c r="S1160" s="13" t="s">
        <v>164</v>
      </c>
      <c r="T1160" s="13" t="str">
        <f aca="false">IF(S1160="Oui",IF(R1160=L1160,"Identique","Changé"),"")</f>
        <v/>
      </c>
    </row>
    <row r="1161" customFormat="false" ht="46.25" hidden="false" customHeight="false" outlineLevel="0" collapsed="false">
      <c r="A1161" s="13" t="s">
        <v>4191</v>
      </c>
      <c r="B1161" s="13" t="s">
        <v>4178</v>
      </c>
      <c r="C1161" s="13" t="n">
        <v>5</v>
      </c>
      <c r="D1161" s="13" t="s">
        <v>135</v>
      </c>
      <c r="E1161" s="13" t="s">
        <v>122</v>
      </c>
      <c r="F1161" s="13" t="s">
        <v>4179</v>
      </c>
      <c r="G1161" s="13" t="s">
        <v>282</v>
      </c>
      <c r="H1161" s="13" t="s">
        <v>101</v>
      </c>
      <c r="I1161" s="21" t="s">
        <v>4192</v>
      </c>
      <c r="J1161" s="21" t="s">
        <v>512</v>
      </c>
      <c r="K1161" s="21" t="s">
        <v>4193</v>
      </c>
      <c r="L1161" s="22" t="s">
        <v>38</v>
      </c>
      <c r="M1161" s="21" t="s">
        <v>3008</v>
      </c>
      <c r="N1161" s="13" t="s">
        <v>106</v>
      </c>
      <c r="O1161" s="23" t="n">
        <v>10.9</v>
      </c>
      <c r="P1161" s="13" t="n">
        <v>1</v>
      </c>
      <c r="Q1161" s="24" t="n">
        <v>46310.9902546296</v>
      </c>
      <c r="R1161" s="22"/>
      <c r="S1161" s="13" t="s">
        <v>164</v>
      </c>
      <c r="T1161" s="13" t="str">
        <f aca="false">IF(S1161="Oui",IF(R1161=L1161,"Identique","Changé"),"")</f>
        <v/>
      </c>
    </row>
    <row r="1162" customFormat="false" ht="57.45" hidden="false" customHeight="false" outlineLevel="0" collapsed="false">
      <c r="A1162" s="13" t="s">
        <v>4194</v>
      </c>
      <c r="B1162" s="13" t="s">
        <v>4195</v>
      </c>
      <c r="C1162" s="13" t="n">
        <v>1</v>
      </c>
      <c r="D1162" s="13" t="s">
        <v>97</v>
      </c>
      <c r="E1162" s="13" t="s">
        <v>570</v>
      </c>
      <c r="F1162" s="13" t="s">
        <v>332</v>
      </c>
      <c r="G1162" s="13" t="s">
        <v>1790</v>
      </c>
      <c r="H1162" s="13" t="s">
        <v>101</v>
      </c>
      <c r="I1162" s="21" t="s">
        <v>4196</v>
      </c>
      <c r="J1162" s="21" t="s">
        <v>512</v>
      </c>
      <c r="K1162" s="21" t="s">
        <v>4197</v>
      </c>
      <c r="L1162" s="22" t="s">
        <v>36</v>
      </c>
      <c r="M1162" s="21" t="s">
        <v>120</v>
      </c>
      <c r="N1162" s="13" t="s">
        <v>106</v>
      </c>
      <c r="O1162" s="23" t="n">
        <v>27.82</v>
      </c>
      <c r="P1162" s="13" t="n">
        <v>1</v>
      </c>
      <c r="Q1162" s="24" t="n">
        <v>46310.9907523148</v>
      </c>
      <c r="R1162" s="22"/>
      <c r="S1162" s="13" t="s">
        <v>164</v>
      </c>
      <c r="T1162" s="13" t="str">
        <f aca="false">IF(S1162="Oui",IF(R1162=L1162,"Identique","Changé"),"")</f>
        <v/>
      </c>
    </row>
    <row r="1163" customFormat="false" ht="46.25" hidden="false" customHeight="false" outlineLevel="0" collapsed="false">
      <c r="A1163" s="13" t="s">
        <v>4198</v>
      </c>
      <c r="B1163" s="13" t="s">
        <v>4195</v>
      </c>
      <c r="C1163" s="13" t="n">
        <v>2</v>
      </c>
      <c r="D1163" s="13" t="s">
        <v>97</v>
      </c>
      <c r="E1163" s="13" t="s">
        <v>128</v>
      </c>
      <c r="F1163" s="13" t="s">
        <v>332</v>
      </c>
      <c r="G1163" s="13" t="s">
        <v>1975</v>
      </c>
      <c r="H1163" s="13" t="s">
        <v>101</v>
      </c>
      <c r="I1163" s="21" t="s">
        <v>4199</v>
      </c>
      <c r="J1163" s="21" t="s">
        <v>284</v>
      </c>
      <c r="K1163" s="21" t="s">
        <v>4200</v>
      </c>
      <c r="L1163" s="22" t="s">
        <v>36</v>
      </c>
      <c r="M1163" s="21" t="s">
        <v>120</v>
      </c>
      <c r="N1163" s="13" t="s">
        <v>106</v>
      </c>
      <c r="O1163" s="23" t="n">
        <v>10.35</v>
      </c>
      <c r="P1163" s="13" t="n">
        <v>1</v>
      </c>
      <c r="Q1163" s="24" t="n">
        <v>46310.9909722222</v>
      </c>
      <c r="R1163" s="22"/>
      <c r="S1163" s="13" t="s">
        <v>164</v>
      </c>
      <c r="T1163" s="13" t="str">
        <f aca="false">IF(S1163="Oui",IF(R1163=L1163,"Identique","Changé"),"")</f>
        <v/>
      </c>
    </row>
    <row r="1164" customFormat="false" ht="46.25" hidden="false" customHeight="false" outlineLevel="0" collapsed="false">
      <c r="A1164" s="13" t="s">
        <v>4201</v>
      </c>
      <c r="B1164" s="13" t="s">
        <v>4195</v>
      </c>
      <c r="C1164" s="13" t="n">
        <v>3</v>
      </c>
      <c r="D1164" s="13" t="s">
        <v>97</v>
      </c>
      <c r="E1164" s="13" t="s">
        <v>122</v>
      </c>
      <c r="F1164" s="13" t="s">
        <v>332</v>
      </c>
      <c r="G1164" s="13" t="s">
        <v>1874</v>
      </c>
      <c r="H1164" s="13" t="s">
        <v>101</v>
      </c>
      <c r="I1164" s="21" t="s">
        <v>4202</v>
      </c>
      <c r="J1164" s="21" t="s">
        <v>1876</v>
      </c>
      <c r="K1164" s="21" t="s">
        <v>4203</v>
      </c>
      <c r="L1164" s="22" t="s">
        <v>36</v>
      </c>
      <c r="M1164" s="21" t="s">
        <v>1878</v>
      </c>
      <c r="N1164" s="13" t="s">
        <v>1085</v>
      </c>
      <c r="O1164" s="23" t="n">
        <v>10.45</v>
      </c>
      <c r="P1164" s="13" t="n">
        <v>1</v>
      </c>
      <c r="Q1164" s="24" t="n">
        <v>46310.9911921296</v>
      </c>
      <c r="R1164" s="22"/>
      <c r="S1164" s="13" t="s">
        <v>164</v>
      </c>
      <c r="T1164" s="13" t="str">
        <f aca="false">IF(S1164="Oui",IF(R1164=L1164,"Identique","Changé"),"")</f>
        <v/>
      </c>
    </row>
    <row r="1165" customFormat="false" ht="35.05" hidden="false" customHeight="false" outlineLevel="0" collapsed="false">
      <c r="A1165" s="13" t="s">
        <v>4204</v>
      </c>
      <c r="B1165" s="13" t="s">
        <v>4195</v>
      </c>
      <c r="C1165" s="13" t="n">
        <v>4</v>
      </c>
      <c r="D1165" s="13" t="s">
        <v>97</v>
      </c>
      <c r="E1165" s="13" t="s">
        <v>260</v>
      </c>
      <c r="F1165" s="13" t="s">
        <v>332</v>
      </c>
      <c r="G1165" s="13" t="s">
        <v>2047</v>
      </c>
      <c r="H1165" s="13" t="s">
        <v>101</v>
      </c>
      <c r="I1165" s="21" t="s">
        <v>4205</v>
      </c>
      <c r="J1165" s="21" t="s">
        <v>512</v>
      </c>
      <c r="K1165" s="21" t="s">
        <v>4206</v>
      </c>
      <c r="L1165" s="22" t="s">
        <v>36</v>
      </c>
      <c r="M1165" s="21" t="s">
        <v>120</v>
      </c>
      <c r="N1165" s="13" t="s">
        <v>106</v>
      </c>
      <c r="O1165" s="23" t="n">
        <v>9.68</v>
      </c>
      <c r="P1165" s="13" t="n">
        <v>1</v>
      </c>
      <c r="Q1165" s="24" t="n">
        <v>46310.991412037</v>
      </c>
      <c r="R1165" s="22"/>
      <c r="S1165" s="13" t="s">
        <v>164</v>
      </c>
      <c r="T1165" s="13" t="str">
        <f aca="false">IF(S1165="Oui",IF(R1165=L1165,"Identique","Changé"),"")</f>
        <v/>
      </c>
    </row>
    <row r="1166" customFormat="false" ht="46.25" hidden="false" customHeight="false" outlineLevel="0" collapsed="false">
      <c r="A1166" s="13" t="s">
        <v>4207</v>
      </c>
      <c r="B1166" s="13" t="s">
        <v>4195</v>
      </c>
      <c r="C1166" s="13" t="n">
        <v>5</v>
      </c>
      <c r="D1166" s="13" t="s">
        <v>97</v>
      </c>
      <c r="E1166" s="13" t="s">
        <v>570</v>
      </c>
      <c r="F1166" s="13" t="s">
        <v>332</v>
      </c>
      <c r="G1166" s="13" t="s">
        <v>1780</v>
      </c>
      <c r="H1166" s="13" t="s">
        <v>101</v>
      </c>
      <c r="I1166" s="21" t="s">
        <v>4208</v>
      </c>
      <c r="J1166" s="21" t="s">
        <v>284</v>
      </c>
      <c r="K1166" s="21" t="s">
        <v>4209</v>
      </c>
      <c r="L1166" s="22" t="s">
        <v>36</v>
      </c>
      <c r="M1166" s="21" t="s">
        <v>120</v>
      </c>
      <c r="N1166" s="13" t="s">
        <v>106</v>
      </c>
      <c r="O1166" s="23" t="n">
        <v>10.6</v>
      </c>
      <c r="P1166" s="13" t="n">
        <v>1</v>
      </c>
      <c r="Q1166" s="24" t="n">
        <v>46310.9916319445</v>
      </c>
      <c r="R1166" s="22"/>
      <c r="S1166" s="13" t="s">
        <v>164</v>
      </c>
      <c r="T1166" s="13" t="str">
        <f aca="false">IF(S1166="Oui",IF(R1166=L1166,"Identique","Changé"),"")</f>
        <v/>
      </c>
    </row>
    <row r="1167" customFormat="false" ht="46.25" hidden="false" customHeight="false" outlineLevel="0" collapsed="false">
      <c r="A1167" s="13" t="s">
        <v>4210</v>
      </c>
      <c r="B1167" s="13" t="s">
        <v>4211</v>
      </c>
      <c r="C1167" s="13" t="n">
        <v>1</v>
      </c>
      <c r="D1167" s="13" t="s">
        <v>135</v>
      </c>
      <c r="E1167" s="13" t="s">
        <v>122</v>
      </c>
      <c r="F1167" s="13" t="s">
        <v>2900</v>
      </c>
      <c r="G1167" s="13" t="s">
        <v>1840</v>
      </c>
      <c r="H1167" s="13" t="s">
        <v>101</v>
      </c>
      <c r="I1167" s="21" t="s">
        <v>4212</v>
      </c>
      <c r="J1167" s="21" t="s">
        <v>284</v>
      </c>
      <c r="K1167" s="21" t="s">
        <v>4213</v>
      </c>
      <c r="L1167" s="22" t="s">
        <v>36</v>
      </c>
      <c r="M1167" s="21" t="s">
        <v>120</v>
      </c>
      <c r="N1167" s="13" t="s">
        <v>106</v>
      </c>
      <c r="O1167" s="23" t="n">
        <v>25.88</v>
      </c>
      <c r="P1167" s="13" t="n">
        <v>2</v>
      </c>
      <c r="Q1167" s="24" t="n">
        <v>46310.9967013889</v>
      </c>
      <c r="R1167" s="22"/>
      <c r="S1167" s="13" t="s">
        <v>164</v>
      </c>
      <c r="T1167" s="13" t="str">
        <f aca="false">IF(S1167="Oui",IF(R1167=L1167,"Identique","Changé"),"")</f>
        <v/>
      </c>
    </row>
    <row r="1168" customFormat="false" ht="35.05" hidden="false" customHeight="false" outlineLevel="0" collapsed="false">
      <c r="A1168" s="13" t="s">
        <v>4214</v>
      </c>
      <c r="B1168" s="13" t="s">
        <v>4211</v>
      </c>
      <c r="C1168" s="13" t="n">
        <v>2</v>
      </c>
      <c r="D1168" s="13" t="s">
        <v>135</v>
      </c>
      <c r="E1168" s="13" t="s">
        <v>114</v>
      </c>
      <c r="F1168" s="13" t="s">
        <v>2900</v>
      </c>
      <c r="G1168" s="13" t="s">
        <v>1887</v>
      </c>
      <c r="H1168" s="13" t="s">
        <v>101</v>
      </c>
      <c r="I1168" s="21" t="s">
        <v>4215</v>
      </c>
      <c r="J1168" s="21" t="s">
        <v>284</v>
      </c>
      <c r="K1168" s="21" t="s">
        <v>4216</v>
      </c>
      <c r="L1168" s="22" t="s">
        <v>36</v>
      </c>
      <c r="M1168" s="21" t="s">
        <v>120</v>
      </c>
      <c r="N1168" s="13" t="s">
        <v>106</v>
      </c>
      <c r="O1168" s="23" t="n">
        <v>10.1</v>
      </c>
      <c r="P1168" s="13" t="n">
        <v>2</v>
      </c>
      <c r="Q1168" s="24" t="n">
        <v>46310.9969212963</v>
      </c>
      <c r="R1168" s="22"/>
      <c r="S1168" s="13" t="s">
        <v>164</v>
      </c>
      <c r="T1168" s="13" t="str">
        <f aca="false">IF(S1168="Oui",IF(R1168=L1168,"Identique","Changé"),"")</f>
        <v/>
      </c>
    </row>
    <row r="1169" customFormat="false" ht="46.25" hidden="false" customHeight="false" outlineLevel="0" collapsed="false">
      <c r="A1169" s="13" t="s">
        <v>4217</v>
      </c>
      <c r="B1169" s="13" t="s">
        <v>4211</v>
      </c>
      <c r="C1169" s="13" t="n">
        <v>3</v>
      </c>
      <c r="D1169" s="13" t="s">
        <v>135</v>
      </c>
      <c r="E1169" s="13" t="s">
        <v>570</v>
      </c>
      <c r="F1169" s="13" t="s">
        <v>1896</v>
      </c>
      <c r="G1169" s="13" t="s">
        <v>1800</v>
      </c>
      <c r="H1169" s="13" t="s">
        <v>101</v>
      </c>
      <c r="I1169" s="21" t="s">
        <v>4218</v>
      </c>
      <c r="J1169" s="21" t="s">
        <v>4219</v>
      </c>
      <c r="K1169" s="21" t="s">
        <v>4220</v>
      </c>
      <c r="L1169" s="22" t="s">
        <v>36</v>
      </c>
      <c r="M1169" s="21" t="s">
        <v>235</v>
      </c>
      <c r="N1169" s="13" t="s">
        <v>106</v>
      </c>
      <c r="O1169" s="23" t="n">
        <v>10.53</v>
      </c>
      <c r="P1169" s="13" t="n">
        <v>2</v>
      </c>
      <c r="Q1169" s="24" t="n">
        <v>46310.9971527778</v>
      </c>
      <c r="R1169" s="22"/>
      <c r="S1169" s="13" t="s">
        <v>164</v>
      </c>
      <c r="T1169" s="13" t="str">
        <f aca="false">IF(S1169="Oui",IF(R1169=L1169,"Identique","Changé"),"")</f>
        <v/>
      </c>
    </row>
    <row r="1170" customFormat="false" ht="35.05" hidden="false" customHeight="false" outlineLevel="0" collapsed="false">
      <c r="A1170" s="13" t="s">
        <v>4221</v>
      </c>
      <c r="B1170" s="13" t="s">
        <v>4211</v>
      </c>
      <c r="C1170" s="13" t="n">
        <v>4</v>
      </c>
      <c r="D1170" s="13" t="s">
        <v>135</v>
      </c>
      <c r="E1170" s="13" t="s">
        <v>570</v>
      </c>
      <c r="F1170" s="13" t="s">
        <v>1896</v>
      </c>
      <c r="G1170" s="13" t="s">
        <v>1930</v>
      </c>
      <c r="H1170" s="13" t="s">
        <v>152</v>
      </c>
      <c r="I1170" s="21" t="s">
        <v>4222</v>
      </c>
      <c r="J1170" s="21" t="s">
        <v>154</v>
      </c>
      <c r="K1170" s="21" t="s">
        <v>4223</v>
      </c>
      <c r="L1170" s="22" t="s">
        <v>40</v>
      </c>
      <c r="M1170" s="21" t="s">
        <v>156</v>
      </c>
      <c r="N1170" s="13" t="s">
        <v>106</v>
      </c>
      <c r="O1170" s="23" t="n">
        <v>11.21</v>
      </c>
      <c r="P1170" s="13" t="n">
        <v>2</v>
      </c>
      <c r="Q1170" s="24" t="n">
        <v>46310.9973842593</v>
      </c>
      <c r="R1170" s="22"/>
      <c r="S1170" s="13" t="s">
        <v>164</v>
      </c>
      <c r="T1170" s="13" t="str">
        <f aca="false">IF(S1170="Oui",IF(R1170=L1170,"Identique","Changé"),"")</f>
        <v/>
      </c>
    </row>
    <row r="1171" customFormat="false" ht="35.05" hidden="false" customHeight="false" outlineLevel="0" collapsed="false">
      <c r="A1171" s="13" t="s">
        <v>4224</v>
      </c>
      <c r="B1171" s="13" t="s">
        <v>4211</v>
      </c>
      <c r="C1171" s="13" t="n">
        <v>5</v>
      </c>
      <c r="D1171" s="13" t="s">
        <v>135</v>
      </c>
      <c r="E1171" s="13" t="s">
        <v>128</v>
      </c>
      <c r="F1171" s="13" t="s">
        <v>2900</v>
      </c>
      <c r="G1171" s="13" t="s">
        <v>2071</v>
      </c>
      <c r="H1171" s="13" t="s">
        <v>101</v>
      </c>
      <c r="I1171" s="21" t="s">
        <v>4225</v>
      </c>
      <c r="J1171" s="21" t="s">
        <v>195</v>
      </c>
      <c r="K1171" s="21" t="s">
        <v>4226</v>
      </c>
      <c r="L1171" s="22" t="s">
        <v>36</v>
      </c>
      <c r="M1171" s="21" t="s">
        <v>120</v>
      </c>
      <c r="N1171" s="13" t="s">
        <v>106</v>
      </c>
      <c r="O1171" s="23" t="n">
        <v>9.7</v>
      </c>
      <c r="P1171" s="13" t="n">
        <v>2</v>
      </c>
      <c r="Q1171" s="24" t="n">
        <v>46310.9976041667</v>
      </c>
      <c r="R1171" s="22"/>
      <c r="S1171" s="13" t="s">
        <v>164</v>
      </c>
      <c r="T1171" s="13" t="str">
        <f aca="false">IF(S1171="Oui",IF(R1171=L1171,"Identique","Changé"),"")</f>
        <v/>
      </c>
    </row>
    <row r="1172" customFormat="false" ht="35.05" hidden="false" customHeight="false" outlineLevel="0" collapsed="false">
      <c r="A1172" s="13" t="s">
        <v>4227</v>
      </c>
      <c r="B1172" s="13" t="s">
        <v>4228</v>
      </c>
      <c r="C1172" s="13" t="n">
        <v>1</v>
      </c>
      <c r="D1172" s="13" t="s">
        <v>97</v>
      </c>
      <c r="E1172" s="13" t="s">
        <v>98</v>
      </c>
      <c r="F1172" s="13" t="s">
        <v>1151</v>
      </c>
      <c r="G1172" s="13" t="s">
        <v>2672</v>
      </c>
      <c r="H1172" s="13" t="s">
        <v>101</v>
      </c>
      <c r="I1172" s="21" t="s">
        <v>4229</v>
      </c>
      <c r="J1172" s="21" t="s">
        <v>4230</v>
      </c>
      <c r="K1172" s="21" t="s">
        <v>4231</v>
      </c>
      <c r="L1172" s="22" t="s">
        <v>36</v>
      </c>
      <c r="M1172" s="21" t="s">
        <v>427</v>
      </c>
      <c r="N1172" s="13" t="s">
        <v>106</v>
      </c>
      <c r="O1172" s="23" t="n">
        <v>27.14</v>
      </c>
      <c r="P1172" s="13" t="n">
        <v>1</v>
      </c>
      <c r="Q1172" s="24" t="n">
        <v>46310.9980902778</v>
      </c>
      <c r="R1172" s="22"/>
      <c r="S1172" s="13" t="s">
        <v>164</v>
      </c>
      <c r="T1172" s="13" t="str">
        <f aca="false">IF(S1172="Oui",IF(R1172=L1172,"Identique","Changé"),"")</f>
        <v/>
      </c>
    </row>
    <row r="1173" customFormat="false" ht="57.45" hidden="false" customHeight="false" outlineLevel="0" collapsed="false">
      <c r="A1173" s="13" t="s">
        <v>4232</v>
      </c>
      <c r="B1173" s="13" t="s">
        <v>4228</v>
      </c>
      <c r="C1173" s="13" t="n">
        <v>2</v>
      </c>
      <c r="D1173" s="13" t="s">
        <v>97</v>
      </c>
      <c r="E1173" s="13" t="s">
        <v>158</v>
      </c>
      <c r="F1173" s="13" t="s">
        <v>1151</v>
      </c>
      <c r="G1173" s="13" t="s">
        <v>343</v>
      </c>
      <c r="H1173" s="13" t="s">
        <v>101</v>
      </c>
      <c r="I1173" s="21" t="s">
        <v>4233</v>
      </c>
      <c r="J1173" s="21" t="s">
        <v>178</v>
      </c>
      <c r="K1173" s="21" t="s">
        <v>4234</v>
      </c>
      <c r="L1173" s="22" t="s">
        <v>37</v>
      </c>
      <c r="M1173" s="21" t="s">
        <v>163</v>
      </c>
      <c r="N1173" s="13" t="s">
        <v>106</v>
      </c>
      <c r="O1173" s="23" t="n">
        <v>21.6</v>
      </c>
      <c r="P1173" s="13" t="n">
        <v>1</v>
      </c>
      <c r="Q1173" s="24" t="n">
        <v>46310.9984375</v>
      </c>
      <c r="R1173" s="22"/>
      <c r="S1173" s="13" t="s">
        <v>164</v>
      </c>
      <c r="T1173" s="13" t="str">
        <f aca="false">IF(S1173="Oui",IF(R1173=L1173,"Identique","Changé"),"")</f>
        <v/>
      </c>
    </row>
    <row r="1174" customFormat="false" ht="46.25" hidden="false" customHeight="false" outlineLevel="0" collapsed="false">
      <c r="A1174" s="13" t="s">
        <v>4235</v>
      </c>
      <c r="B1174" s="13" t="s">
        <v>4228</v>
      </c>
      <c r="C1174" s="13" t="n">
        <v>3</v>
      </c>
      <c r="D1174" s="13" t="s">
        <v>97</v>
      </c>
      <c r="E1174" s="13" t="s">
        <v>122</v>
      </c>
      <c r="F1174" s="13" t="s">
        <v>816</v>
      </c>
      <c r="G1174" s="13" t="s">
        <v>1744</v>
      </c>
      <c r="H1174" s="13" t="s">
        <v>101</v>
      </c>
      <c r="I1174" s="21" t="s">
        <v>4236</v>
      </c>
      <c r="J1174" s="21" t="s">
        <v>1746</v>
      </c>
      <c r="K1174" s="21" t="s">
        <v>4237</v>
      </c>
      <c r="L1174" s="22" t="s">
        <v>36</v>
      </c>
      <c r="M1174" s="21" t="s">
        <v>235</v>
      </c>
      <c r="N1174" s="13" t="s">
        <v>106</v>
      </c>
      <c r="O1174" s="23" t="n">
        <v>22.12</v>
      </c>
      <c r="P1174" s="13" t="n">
        <v>1</v>
      </c>
      <c r="Q1174" s="24" t="n">
        <v>46310.9987962963</v>
      </c>
      <c r="R1174" s="22"/>
      <c r="S1174" s="13" t="s">
        <v>164</v>
      </c>
      <c r="T1174" s="13" t="str">
        <f aca="false">IF(S1174="Oui",IF(R1174=L1174,"Identique","Changé"),"")</f>
        <v/>
      </c>
    </row>
    <row r="1175" customFormat="false" ht="359.7" hidden="false" customHeight="false" outlineLevel="0" collapsed="false">
      <c r="A1175" s="13" t="s">
        <v>4238</v>
      </c>
      <c r="B1175" s="13" t="s">
        <v>4228</v>
      </c>
      <c r="C1175" s="13" t="n">
        <v>4</v>
      </c>
      <c r="D1175" s="13" t="s">
        <v>97</v>
      </c>
      <c r="E1175" s="13" t="s">
        <v>1730</v>
      </c>
      <c r="F1175" s="13" t="s">
        <v>816</v>
      </c>
      <c r="G1175" s="13" t="s">
        <v>2003</v>
      </c>
      <c r="H1175" s="13" t="s">
        <v>101</v>
      </c>
      <c r="I1175" s="21" t="s">
        <v>4239</v>
      </c>
      <c r="J1175" s="21" t="s">
        <v>4240</v>
      </c>
      <c r="K1175" s="21" t="s">
        <v>4241</v>
      </c>
      <c r="L1175" s="22" t="s">
        <v>36</v>
      </c>
      <c r="M1175" s="21" t="s">
        <v>1736</v>
      </c>
      <c r="N1175" s="13" t="s">
        <v>106</v>
      </c>
      <c r="O1175" s="23" t="n">
        <v>14.63</v>
      </c>
      <c r="P1175" s="13" t="n">
        <v>1</v>
      </c>
      <c r="Q1175" s="24" t="n">
        <v>46310.9990740741</v>
      </c>
      <c r="R1175" s="22"/>
      <c r="S1175" s="13" t="s">
        <v>164</v>
      </c>
      <c r="T1175" s="13" t="str">
        <f aca="false">IF(S1175="Oui",IF(R1175=L1175,"Identique","Changé"),"")</f>
        <v/>
      </c>
    </row>
    <row r="1176" customFormat="false" ht="35.05" hidden="false" customHeight="false" outlineLevel="0" collapsed="false">
      <c r="A1176" s="13" t="s">
        <v>4242</v>
      </c>
      <c r="B1176" s="13" t="s">
        <v>4228</v>
      </c>
      <c r="C1176" s="13" t="n">
        <v>5</v>
      </c>
      <c r="D1176" s="13" t="s">
        <v>97</v>
      </c>
      <c r="E1176" s="13" t="s">
        <v>570</v>
      </c>
      <c r="F1176" s="13" t="s">
        <v>1151</v>
      </c>
      <c r="G1176" s="13" t="s">
        <v>1805</v>
      </c>
      <c r="H1176" s="13" t="s">
        <v>101</v>
      </c>
      <c r="I1176" s="21" t="s">
        <v>4243</v>
      </c>
      <c r="J1176" s="21" t="s">
        <v>284</v>
      </c>
      <c r="K1176" s="21" t="s">
        <v>4244</v>
      </c>
      <c r="L1176" s="22" t="s">
        <v>36</v>
      </c>
      <c r="M1176" s="21" t="s">
        <v>120</v>
      </c>
      <c r="N1176" s="13" t="s">
        <v>106</v>
      </c>
      <c r="O1176" s="23" t="n">
        <v>11.31</v>
      </c>
      <c r="P1176" s="13" t="n">
        <v>1</v>
      </c>
      <c r="Q1176" s="24" t="n">
        <v>46310.9993171296</v>
      </c>
      <c r="R1176" s="22"/>
      <c r="S1176" s="13" t="s">
        <v>164</v>
      </c>
      <c r="T1176" s="13" t="str">
        <f aca="false">IF(S1176="Oui",IF(R1176=L1176,"Identique","Changé"),"")</f>
        <v/>
      </c>
    </row>
    <row r="1177" customFormat="false" ht="46.25" hidden="false" customHeight="false" outlineLevel="0" collapsed="false">
      <c r="A1177" s="13" t="s">
        <v>4245</v>
      </c>
      <c r="B1177" s="13" t="s">
        <v>4246</v>
      </c>
      <c r="C1177" s="13" t="n">
        <v>1</v>
      </c>
      <c r="D1177" s="13" t="s">
        <v>135</v>
      </c>
      <c r="E1177" s="13" t="s">
        <v>122</v>
      </c>
      <c r="F1177" s="13" t="s">
        <v>2936</v>
      </c>
      <c r="G1177" s="13" t="s">
        <v>231</v>
      </c>
      <c r="H1177" s="13" t="s">
        <v>101</v>
      </c>
      <c r="I1177" s="21" t="s">
        <v>4247</v>
      </c>
      <c r="J1177" s="21" t="s">
        <v>1662</v>
      </c>
      <c r="K1177" s="21" t="s">
        <v>4248</v>
      </c>
      <c r="L1177" s="22" t="s">
        <v>36</v>
      </c>
      <c r="M1177" s="21" t="s">
        <v>120</v>
      </c>
      <c r="N1177" s="13" t="s">
        <v>106</v>
      </c>
      <c r="O1177" s="23" t="n">
        <v>27.3</v>
      </c>
      <c r="P1177" s="13" t="n">
        <v>1</v>
      </c>
      <c r="Q1177" s="24" t="n">
        <v>46310.9997916667</v>
      </c>
      <c r="R1177" s="22"/>
      <c r="S1177" s="13" t="s">
        <v>164</v>
      </c>
      <c r="T1177" s="13" t="str">
        <f aca="false">IF(S1177="Oui",IF(R1177=L1177,"Identique","Changé"),"")</f>
        <v/>
      </c>
    </row>
    <row r="1178" customFormat="false" ht="35.05" hidden="false" customHeight="false" outlineLevel="0" collapsed="false">
      <c r="A1178" s="13" t="s">
        <v>4249</v>
      </c>
      <c r="B1178" s="13" t="s">
        <v>4246</v>
      </c>
      <c r="C1178" s="13" t="n">
        <v>2</v>
      </c>
      <c r="D1178" s="13" t="s">
        <v>135</v>
      </c>
      <c r="E1178" s="13" t="s">
        <v>260</v>
      </c>
      <c r="F1178" s="13" t="s">
        <v>2936</v>
      </c>
      <c r="G1178" s="13" t="s">
        <v>2019</v>
      </c>
      <c r="H1178" s="13" t="s">
        <v>101</v>
      </c>
      <c r="I1178" s="21" t="s">
        <v>4250</v>
      </c>
      <c r="J1178" s="21" t="s">
        <v>512</v>
      </c>
      <c r="K1178" s="21" t="s">
        <v>4251</v>
      </c>
      <c r="L1178" s="22" t="s">
        <v>36</v>
      </c>
      <c r="M1178" s="21" t="s">
        <v>120</v>
      </c>
      <c r="N1178" s="13" t="s">
        <v>106</v>
      </c>
      <c r="O1178" s="23" t="n">
        <v>9.33</v>
      </c>
      <c r="P1178" s="13" t="n">
        <v>1</v>
      </c>
      <c r="Q1178" s="24" t="n">
        <v>46311</v>
      </c>
      <c r="R1178" s="22"/>
      <c r="S1178" s="13" t="s">
        <v>164</v>
      </c>
      <c r="T1178" s="13" t="str">
        <f aca="false">IF(S1178="Oui",IF(R1178=L1178,"Identique","Changé"),"")</f>
        <v/>
      </c>
    </row>
    <row r="1179" customFormat="false" ht="35.05" hidden="false" customHeight="false" outlineLevel="0" collapsed="false">
      <c r="A1179" s="13" t="s">
        <v>4252</v>
      </c>
      <c r="B1179" s="13" t="s">
        <v>4246</v>
      </c>
      <c r="C1179" s="13" t="n">
        <v>3</v>
      </c>
      <c r="D1179" s="13" t="s">
        <v>135</v>
      </c>
      <c r="E1179" s="13" t="s">
        <v>158</v>
      </c>
      <c r="F1179" s="13" t="s">
        <v>2936</v>
      </c>
      <c r="G1179" s="13" t="s">
        <v>1913</v>
      </c>
      <c r="H1179" s="13" t="s">
        <v>101</v>
      </c>
      <c r="I1179" s="21" t="s">
        <v>4253</v>
      </c>
      <c r="J1179" s="21" t="s">
        <v>284</v>
      </c>
      <c r="K1179" s="21" t="s">
        <v>4254</v>
      </c>
      <c r="L1179" s="22" t="s">
        <v>36</v>
      </c>
      <c r="M1179" s="21" t="s">
        <v>120</v>
      </c>
      <c r="N1179" s="13" t="s">
        <v>106</v>
      </c>
      <c r="O1179" s="23" t="n">
        <v>12.04</v>
      </c>
      <c r="P1179" s="13" t="n">
        <v>1</v>
      </c>
      <c r="Q1179" s="24" t="n">
        <v>46311.0002546296</v>
      </c>
      <c r="R1179" s="22"/>
      <c r="S1179" s="13" t="s">
        <v>164</v>
      </c>
      <c r="T1179" s="13" t="str">
        <f aca="false">IF(S1179="Oui",IF(R1179=L1179,"Identique","Changé"),"")</f>
        <v/>
      </c>
    </row>
    <row r="1180" customFormat="false" ht="35.05" hidden="false" customHeight="false" outlineLevel="0" collapsed="false">
      <c r="A1180" s="13" t="s">
        <v>4255</v>
      </c>
      <c r="B1180" s="13" t="s">
        <v>4246</v>
      </c>
      <c r="C1180" s="13" t="n">
        <v>4</v>
      </c>
      <c r="D1180" s="13" t="s">
        <v>135</v>
      </c>
      <c r="E1180" s="13" t="s">
        <v>114</v>
      </c>
      <c r="F1180" s="13" t="s">
        <v>2936</v>
      </c>
      <c r="G1180" s="13" t="s">
        <v>2085</v>
      </c>
      <c r="H1180" s="13" t="s">
        <v>101</v>
      </c>
      <c r="I1180" s="21" t="s">
        <v>4256</v>
      </c>
      <c r="J1180" s="21" t="s">
        <v>512</v>
      </c>
      <c r="K1180" s="21" t="s">
        <v>4257</v>
      </c>
      <c r="L1180" s="22" t="s">
        <v>36</v>
      </c>
      <c r="M1180" s="21" t="s">
        <v>120</v>
      </c>
      <c r="N1180" s="13" t="s">
        <v>106</v>
      </c>
      <c r="O1180" s="23" t="n">
        <v>9.99</v>
      </c>
      <c r="P1180" s="13" t="n">
        <v>1</v>
      </c>
      <c r="Q1180" s="24" t="n">
        <v>46311.000474537</v>
      </c>
      <c r="R1180" s="22"/>
      <c r="S1180" s="13" t="s">
        <v>164</v>
      </c>
      <c r="T1180" s="13" t="str">
        <f aca="false">IF(S1180="Oui",IF(R1180=L1180,"Identique","Changé"),"")</f>
        <v/>
      </c>
    </row>
    <row r="1181" customFormat="false" ht="57.45" hidden="false" customHeight="false" outlineLevel="0" collapsed="false">
      <c r="A1181" s="13" t="s">
        <v>4258</v>
      </c>
      <c r="B1181" s="13" t="s">
        <v>4246</v>
      </c>
      <c r="C1181" s="13" t="n">
        <v>5</v>
      </c>
      <c r="D1181" s="13" t="s">
        <v>135</v>
      </c>
      <c r="E1181" s="13" t="s">
        <v>122</v>
      </c>
      <c r="F1181" s="13" t="s">
        <v>2936</v>
      </c>
      <c r="G1181" s="13" t="s">
        <v>1905</v>
      </c>
      <c r="H1181" s="13" t="s">
        <v>101</v>
      </c>
      <c r="I1181" s="21" t="s">
        <v>4259</v>
      </c>
      <c r="J1181" s="21" t="s">
        <v>284</v>
      </c>
      <c r="K1181" s="21" t="s">
        <v>4260</v>
      </c>
      <c r="L1181" s="22" t="s">
        <v>37</v>
      </c>
      <c r="M1181" s="21" t="s">
        <v>163</v>
      </c>
      <c r="N1181" s="13" t="s">
        <v>106</v>
      </c>
      <c r="O1181" s="23" t="n">
        <v>11.39</v>
      </c>
      <c r="P1181" s="13" t="n">
        <v>1</v>
      </c>
      <c r="Q1181" s="24" t="n">
        <v>46311.0007175926</v>
      </c>
      <c r="R1181" s="22"/>
      <c r="S1181" s="13" t="s">
        <v>164</v>
      </c>
      <c r="T1181" s="13" t="str">
        <f aca="false">IF(S1181="Oui",IF(R1181=L1181,"Identique","Changé"),"")</f>
        <v/>
      </c>
    </row>
    <row r="1182" customFormat="false" ht="46.25" hidden="false" customHeight="false" outlineLevel="0" collapsed="false">
      <c r="A1182" s="13" t="s">
        <v>4261</v>
      </c>
      <c r="B1182" s="13" t="s">
        <v>4262</v>
      </c>
      <c r="C1182" s="13" t="n">
        <v>1</v>
      </c>
      <c r="D1182" s="13" t="s">
        <v>97</v>
      </c>
      <c r="E1182" s="13" t="s">
        <v>122</v>
      </c>
      <c r="F1182" s="13" t="s">
        <v>1448</v>
      </c>
      <c r="G1182" s="13" t="s">
        <v>282</v>
      </c>
      <c r="H1182" s="13" t="s">
        <v>101</v>
      </c>
      <c r="I1182" s="21" t="s">
        <v>4263</v>
      </c>
      <c r="J1182" s="21" t="s">
        <v>512</v>
      </c>
      <c r="K1182" s="21" t="s">
        <v>4264</v>
      </c>
      <c r="L1182" s="22" t="s">
        <v>36</v>
      </c>
      <c r="M1182" s="21" t="s">
        <v>120</v>
      </c>
      <c r="N1182" s="13" t="s">
        <v>106</v>
      </c>
      <c r="O1182" s="23" t="n">
        <v>45.12</v>
      </c>
      <c r="P1182" s="13" t="n">
        <v>2</v>
      </c>
      <c r="Q1182" s="24" t="n">
        <v>46311.0060069444</v>
      </c>
      <c r="R1182" s="22"/>
      <c r="S1182" s="13" t="s">
        <v>164</v>
      </c>
      <c r="T1182" s="13" t="str">
        <f aca="false">IF(S1182="Oui",IF(R1182=L1182,"Identique","Changé"),"")</f>
        <v/>
      </c>
    </row>
    <row r="1183" customFormat="false" ht="46.25" hidden="false" customHeight="false" outlineLevel="0" collapsed="false">
      <c r="A1183" s="13" t="s">
        <v>4265</v>
      </c>
      <c r="B1183" s="13" t="s">
        <v>4262</v>
      </c>
      <c r="C1183" s="13" t="n">
        <v>2</v>
      </c>
      <c r="D1183" s="13" t="s">
        <v>97</v>
      </c>
      <c r="E1183" s="13" t="s">
        <v>122</v>
      </c>
      <c r="F1183" s="13" t="s">
        <v>1448</v>
      </c>
      <c r="G1183" s="13" t="s">
        <v>1395</v>
      </c>
      <c r="H1183" s="13" t="s">
        <v>101</v>
      </c>
      <c r="I1183" s="21" t="s">
        <v>4266</v>
      </c>
      <c r="J1183" s="21" t="s">
        <v>512</v>
      </c>
      <c r="K1183" s="21" t="s">
        <v>4267</v>
      </c>
      <c r="L1183" s="22" t="s">
        <v>36</v>
      </c>
      <c r="M1183" s="21" t="s">
        <v>1398</v>
      </c>
      <c r="N1183" s="13" t="s">
        <v>1085</v>
      </c>
      <c r="O1183" s="23" t="n">
        <v>9.72</v>
      </c>
      <c r="P1183" s="13" t="n">
        <v>2</v>
      </c>
      <c r="Q1183" s="24" t="n">
        <v>46311.0062152778</v>
      </c>
      <c r="R1183" s="22"/>
      <c r="S1183" s="13" t="s">
        <v>164</v>
      </c>
      <c r="T1183" s="13" t="str">
        <f aca="false">IF(S1183="Oui",IF(R1183=L1183,"Identique","Changé"),"")</f>
        <v/>
      </c>
    </row>
    <row r="1184" customFormat="false" ht="46.25" hidden="false" customHeight="false" outlineLevel="0" collapsed="false">
      <c r="A1184" s="13" t="s">
        <v>4268</v>
      </c>
      <c r="B1184" s="13" t="s">
        <v>4262</v>
      </c>
      <c r="C1184" s="13" t="n">
        <v>3</v>
      </c>
      <c r="D1184" s="13" t="s">
        <v>97</v>
      </c>
      <c r="E1184" s="13" t="s">
        <v>185</v>
      </c>
      <c r="F1184" s="13" t="s">
        <v>215</v>
      </c>
      <c r="G1184" s="13" t="s">
        <v>363</v>
      </c>
      <c r="H1184" s="13" t="s">
        <v>152</v>
      </c>
      <c r="I1184" s="21" t="s">
        <v>4269</v>
      </c>
      <c r="J1184" s="21" t="s">
        <v>154</v>
      </c>
      <c r="K1184" s="21" t="s">
        <v>4270</v>
      </c>
      <c r="L1184" s="22" t="s">
        <v>40</v>
      </c>
      <c r="M1184" s="21" t="s">
        <v>156</v>
      </c>
      <c r="N1184" s="13" t="s">
        <v>106</v>
      </c>
      <c r="O1184" s="23" t="n">
        <v>9.2</v>
      </c>
      <c r="P1184" s="13" t="n">
        <v>2</v>
      </c>
      <c r="Q1184" s="24" t="n">
        <v>46311.0064236111</v>
      </c>
      <c r="R1184" s="22"/>
      <c r="S1184" s="13" t="s">
        <v>164</v>
      </c>
      <c r="T1184" s="13" t="str">
        <f aca="false">IF(S1184="Oui",IF(R1184=L1184,"Identique","Changé"),"")</f>
        <v/>
      </c>
    </row>
    <row r="1185" customFormat="false" ht="35.05" hidden="false" customHeight="false" outlineLevel="0" collapsed="false">
      <c r="A1185" s="13" t="s">
        <v>4271</v>
      </c>
      <c r="B1185" s="13" t="s">
        <v>4262</v>
      </c>
      <c r="C1185" s="13" t="n">
        <v>4</v>
      </c>
      <c r="D1185" s="13" t="s">
        <v>97</v>
      </c>
      <c r="E1185" s="13" t="s">
        <v>260</v>
      </c>
      <c r="F1185" s="13" t="s">
        <v>215</v>
      </c>
      <c r="G1185" s="13" t="s">
        <v>2057</v>
      </c>
      <c r="H1185" s="13" t="s">
        <v>101</v>
      </c>
      <c r="I1185" s="21" t="s">
        <v>4272</v>
      </c>
      <c r="J1185" s="21" t="s">
        <v>512</v>
      </c>
      <c r="K1185" s="21" t="s">
        <v>4273</v>
      </c>
      <c r="L1185" s="22" t="s">
        <v>36</v>
      </c>
      <c r="M1185" s="21" t="s">
        <v>120</v>
      </c>
      <c r="N1185" s="13" t="s">
        <v>106</v>
      </c>
      <c r="O1185" s="23" t="n">
        <v>9.97</v>
      </c>
      <c r="P1185" s="13" t="n">
        <v>2</v>
      </c>
      <c r="Q1185" s="24" t="n">
        <v>46311.0066435185</v>
      </c>
      <c r="R1185" s="22"/>
      <c r="S1185" s="13" t="s">
        <v>164</v>
      </c>
      <c r="T1185" s="13" t="str">
        <f aca="false">IF(S1185="Oui",IF(R1185=L1185,"Identique","Changé"),"")</f>
        <v/>
      </c>
    </row>
    <row r="1186" customFormat="false" ht="35.05" hidden="false" customHeight="false" outlineLevel="0" collapsed="false">
      <c r="A1186" s="13" t="s">
        <v>4274</v>
      </c>
      <c r="B1186" s="13" t="s">
        <v>4262</v>
      </c>
      <c r="C1186" s="13" t="n">
        <v>5</v>
      </c>
      <c r="D1186" s="13" t="s">
        <v>97</v>
      </c>
      <c r="E1186" s="13" t="s">
        <v>122</v>
      </c>
      <c r="F1186" s="13" t="s">
        <v>1448</v>
      </c>
      <c r="G1186" s="13" t="s">
        <v>1891</v>
      </c>
      <c r="H1186" s="13" t="s">
        <v>101</v>
      </c>
      <c r="I1186" s="21" t="s">
        <v>4275</v>
      </c>
      <c r="J1186" s="21" t="s">
        <v>1741</v>
      </c>
      <c r="K1186" s="21" t="s">
        <v>4276</v>
      </c>
      <c r="L1186" s="22" t="s">
        <v>36</v>
      </c>
      <c r="M1186" s="21" t="s">
        <v>235</v>
      </c>
      <c r="N1186" s="13" t="s">
        <v>106</v>
      </c>
      <c r="O1186" s="23" t="n">
        <v>9.96</v>
      </c>
      <c r="P1186" s="13" t="n">
        <v>2</v>
      </c>
      <c r="Q1186" s="24" t="n">
        <v>46311.0068634259</v>
      </c>
      <c r="R1186" s="22"/>
      <c r="S1186" s="13" t="s">
        <v>164</v>
      </c>
      <c r="T1186" s="13" t="str">
        <f aca="false">IF(S1186="Oui",IF(R1186=L1186,"Identique","Changé"),"")</f>
        <v/>
      </c>
    </row>
    <row r="1187" customFormat="false" ht="35.05" hidden="false" customHeight="false" outlineLevel="0" collapsed="false">
      <c r="A1187" s="13" t="s">
        <v>4277</v>
      </c>
      <c r="B1187" s="13" t="s">
        <v>4278</v>
      </c>
      <c r="C1187" s="13" t="n">
        <v>1</v>
      </c>
      <c r="D1187" s="13" t="s">
        <v>135</v>
      </c>
      <c r="E1187" s="13" t="s">
        <v>570</v>
      </c>
      <c r="F1187" s="13" t="s">
        <v>2976</v>
      </c>
      <c r="G1187" s="13" t="s">
        <v>1739</v>
      </c>
      <c r="H1187" s="13" t="s">
        <v>101</v>
      </c>
      <c r="I1187" s="21" t="s">
        <v>4279</v>
      </c>
      <c r="J1187" s="21" t="s">
        <v>233</v>
      </c>
      <c r="K1187" s="21" t="s">
        <v>4280</v>
      </c>
      <c r="L1187" s="22" t="s">
        <v>36</v>
      </c>
      <c r="M1187" s="21" t="s">
        <v>235</v>
      </c>
      <c r="N1187" s="13" t="s">
        <v>106</v>
      </c>
      <c r="O1187" s="23" t="n">
        <v>33.23</v>
      </c>
      <c r="P1187" s="13" t="n">
        <v>1</v>
      </c>
      <c r="Q1187" s="24" t="n">
        <v>46311.0074074074</v>
      </c>
      <c r="R1187" s="22"/>
      <c r="S1187" s="13" t="s">
        <v>164</v>
      </c>
      <c r="T1187" s="13" t="str">
        <f aca="false">IF(S1187="Oui",IF(R1187=L1187,"Identique","Changé"),"")</f>
        <v/>
      </c>
    </row>
    <row r="1188" customFormat="false" ht="35.05" hidden="false" customHeight="false" outlineLevel="0" collapsed="false">
      <c r="A1188" s="13" t="s">
        <v>4281</v>
      </c>
      <c r="B1188" s="13" t="s">
        <v>4278</v>
      </c>
      <c r="C1188" s="13" t="n">
        <v>2</v>
      </c>
      <c r="D1188" s="13" t="s">
        <v>135</v>
      </c>
      <c r="E1188" s="13" t="s">
        <v>570</v>
      </c>
      <c r="F1188" s="13" t="s">
        <v>2976</v>
      </c>
      <c r="G1188" s="13" t="s">
        <v>1859</v>
      </c>
      <c r="H1188" s="13" t="s">
        <v>101</v>
      </c>
      <c r="I1188" s="21" t="s">
        <v>4282</v>
      </c>
      <c r="J1188" s="21" t="s">
        <v>1649</v>
      </c>
      <c r="K1188" s="21" t="s">
        <v>4283</v>
      </c>
      <c r="L1188" s="22" t="s">
        <v>36</v>
      </c>
      <c r="M1188" s="21" t="s">
        <v>235</v>
      </c>
      <c r="N1188" s="13" t="s">
        <v>106</v>
      </c>
      <c r="O1188" s="23" t="n">
        <v>10.46</v>
      </c>
      <c r="P1188" s="13" t="n">
        <v>1</v>
      </c>
      <c r="Q1188" s="24" t="n">
        <v>46311.0076273148</v>
      </c>
      <c r="R1188" s="22"/>
      <c r="S1188" s="13" t="s">
        <v>164</v>
      </c>
      <c r="T1188" s="13" t="str">
        <f aca="false">IF(S1188="Oui",IF(R1188=L1188,"Identique","Changé"),"")</f>
        <v/>
      </c>
    </row>
    <row r="1189" customFormat="false" ht="35.05" hidden="false" customHeight="false" outlineLevel="0" collapsed="false">
      <c r="A1189" s="13" t="s">
        <v>4284</v>
      </c>
      <c r="B1189" s="13" t="s">
        <v>4278</v>
      </c>
      <c r="C1189" s="13" t="n">
        <v>3</v>
      </c>
      <c r="D1189" s="13" t="s">
        <v>135</v>
      </c>
      <c r="E1189" s="13" t="s">
        <v>570</v>
      </c>
      <c r="F1189" s="13" t="s">
        <v>2976</v>
      </c>
      <c r="G1189" s="13" t="s">
        <v>1811</v>
      </c>
      <c r="H1189" s="13" t="s">
        <v>101</v>
      </c>
      <c r="I1189" s="21" t="s">
        <v>4285</v>
      </c>
      <c r="J1189" s="21" t="s">
        <v>1649</v>
      </c>
      <c r="K1189" s="21" t="s">
        <v>4286</v>
      </c>
      <c r="L1189" s="22" t="s">
        <v>36</v>
      </c>
      <c r="M1189" s="21" t="s">
        <v>235</v>
      </c>
      <c r="N1189" s="13" t="s">
        <v>106</v>
      </c>
      <c r="O1189" s="23" t="n">
        <v>9.42</v>
      </c>
      <c r="P1189" s="13" t="n">
        <v>1</v>
      </c>
      <c r="Q1189" s="24" t="n">
        <v>46311.0078472222</v>
      </c>
      <c r="R1189" s="22"/>
      <c r="S1189" s="13" t="s">
        <v>164</v>
      </c>
      <c r="T1189" s="13" t="str">
        <f aca="false">IF(S1189="Oui",IF(R1189=L1189,"Identique","Changé"),"")</f>
        <v/>
      </c>
    </row>
    <row r="1190" customFormat="false" ht="35.05" hidden="false" customHeight="false" outlineLevel="0" collapsed="false">
      <c r="A1190" s="13" t="s">
        <v>4287</v>
      </c>
      <c r="B1190" s="13" t="s">
        <v>4278</v>
      </c>
      <c r="C1190" s="13" t="n">
        <v>4</v>
      </c>
      <c r="D1190" s="13" t="s">
        <v>135</v>
      </c>
      <c r="E1190" s="13" t="s">
        <v>260</v>
      </c>
      <c r="F1190" s="13" t="s">
        <v>2976</v>
      </c>
      <c r="G1190" s="13" t="s">
        <v>1897</v>
      </c>
      <c r="H1190" s="13" t="s">
        <v>101</v>
      </c>
      <c r="I1190" s="21" t="s">
        <v>4288</v>
      </c>
      <c r="J1190" s="21" t="s">
        <v>1899</v>
      </c>
      <c r="K1190" s="21" t="s">
        <v>4289</v>
      </c>
      <c r="L1190" s="22" t="s">
        <v>36</v>
      </c>
      <c r="M1190" s="21" t="s">
        <v>120</v>
      </c>
      <c r="N1190" s="13" t="s">
        <v>106</v>
      </c>
      <c r="O1190" s="23" t="n">
        <v>9.65</v>
      </c>
      <c r="P1190" s="13" t="n">
        <v>1</v>
      </c>
      <c r="Q1190" s="24" t="n">
        <v>46311.0080555556</v>
      </c>
      <c r="R1190" s="22"/>
      <c r="S1190" s="13" t="s">
        <v>164</v>
      </c>
      <c r="T1190" s="13" t="str">
        <f aca="false">IF(S1190="Oui",IF(R1190=L1190,"Identique","Changé"),"")</f>
        <v/>
      </c>
    </row>
    <row r="1191" customFormat="false" ht="247.75" hidden="false" customHeight="false" outlineLevel="0" collapsed="false">
      <c r="A1191" s="13" t="s">
        <v>4290</v>
      </c>
      <c r="B1191" s="13" t="s">
        <v>4278</v>
      </c>
      <c r="C1191" s="13" t="n">
        <v>5</v>
      </c>
      <c r="D1191" s="13" t="s">
        <v>135</v>
      </c>
      <c r="E1191" s="13" t="s">
        <v>1730</v>
      </c>
      <c r="F1191" s="13" t="s">
        <v>2976</v>
      </c>
      <c r="G1191" s="13" t="s">
        <v>1732</v>
      </c>
      <c r="H1191" s="13" t="s">
        <v>101</v>
      </c>
      <c r="I1191" s="21" t="s">
        <v>4291</v>
      </c>
      <c r="J1191" s="21" t="s">
        <v>4292</v>
      </c>
      <c r="K1191" s="21" t="s">
        <v>4293</v>
      </c>
      <c r="L1191" s="22" t="s">
        <v>36</v>
      </c>
      <c r="M1191" s="21" t="s">
        <v>120</v>
      </c>
      <c r="N1191" s="13" t="s">
        <v>106</v>
      </c>
      <c r="O1191" s="23" t="n">
        <v>12.88</v>
      </c>
      <c r="P1191" s="13" t="n">
        <v>1</v>
      </c>
      <c r="Q1191" s="24" t="n">
        <v>46311.0083217593</v>
      </c>
      <c r="R1191" s="22"/>
      <c r="S1191" s="13" t="s">
        <v>164</v>
      </c>
      <c r="T1191" s="13" t="str">
        <f aca="false">IF(S1191="Oui",IF(R1191=L1191,"Identique","Changé"),"")</f>
        <v/>
      </c>
    </row>
    <row r="1192" customFormat="false" ht="46.25" hidden="false" customHeight="false" outlineLevel="0" collapsed="false">
      <c r="A1192" s="13" t="s">
        <v>4294</v>
      </c>
      <c r="B1192" s="13" t="s">
        <v>4295</v>
      </c>
      <c r="C1192" s="13" t="n">
        <v>1</v>
      </c>
      <c r="D1192" s="13" t="s">
        <v>97</v>
      </c>
      <c r="E1192" s="13" t="s">
        <v>98</v>
      </c>
      <c r="F1192" s="13" t="s">
        <v>627</v>
      </c>
      <c r="G1192" s="13" t="s">
        <v>2487</v>
      </c>
      <c r="H1192" s="13" t="s">
        <v>101</v>
      </c>
      <c r="I1192" s="21" t="s">
        <v>4296</v>
      </c>
      <c r="J1192" s="21" t="s">
        <v>4297</v>
      </c>
      <c r="K1192" s="21" t="s">
        <v>4298</v>
      </c>
      <c r="L1192" s="22" t="s">
        <v>36</v>
      </c>
      <c r="M1192" s="21" t="s">
        <v>427</v>
      </c>
      <c r="N1192" s="13" t="s">
        <v>106</v>
      </c>
      <c r="O1192" s="23" t="n">
        <v>25.92</v>
      </c>
      <c r="P1192" s="13" t="n">
        <v>1</v>
      </c>
      <c r="Q1192" s="24" t="n">
        <v>46311.0087847222</v>
      </c>
      <c r="R1192" s="22"/>
      <c r="S1192" s="13" t="s">
        <v>164</v>
      </c>
      <c r="T1192" s="13" t="str">
        <f aca="false">IF(S1192="Oui",IF(R1192=L1192,"Identique","Changé"),"")</f>
        <v/>
      </c>
    </row>
    <row r="1193" customFormat="false" ht="46.25" hidden="false" customHeight="false" outlineLevel="0" collapsed="false">
      <c r="A1193" s="13" t="s">
        <v>4299</v>
      </c>
      <c r="B1193" s="13" t="s">
        <v>4295</v>
      </c>
      <c r="C1193" s="13" t="n">
        <v>2</v>
      </c>
      <c r="D1193" s="13" t="s">
        <v>97</v>
      </c>
      <c r="E1193" s="13" t="s">
        <v>570</v>
      </c>
      <c r="F1193" s="13" t="s">
        <v>627</v>
      </c>
      <c r="G1193" s="13" t="s">
        <v>1811</v>
      </c>
      <c r="H1193" s="13" t="s">
        <v>101</v>
      </c>
      <c r="I1193" s="21" t="s">
        <v>4300</v>
      </c>
      <c r="J1193" s="21" t="s">
        <v>1741</v>
      </c>
      <c r="K1193" s="21" t="s">
        <v>4301</v>
      </c>
      <c r="L1193" s="22" t="s">
        <v>36</v>
      </c>
      <c r="M1193" s="21" t="s">
        <v>235</v>
      </c>
      <c r="N1193" s="13" t="s">
        <v>106</v>
      </c>
      <c r="O1193" s="23" t="n">
        <v>9.4</v>
      </c>
      <c r="P1193" s="13" t="n">
        <v>1</v>
      </c>
      <c r="Q1193" s="24" t="n">
        <v>46311.0089930556</v>
      </c>
      <c r="R1193" s="22"/>
      <c r="S1193" s="13" t="s">
        <v>164</v>
      </c>
      <c r="T1193" s="13" t="str">
        <f aca="false">IF(S1193="Oui",IF(R1193=L1193,"Identique","Changé"),"")</f>
        <v/>
      </c>
    </row>
    <row r="1194" customFormat="false" ht="35.05" hidden="false" customHeight="false" outlineLevel="0" collapsed="false">
      <c r="A1194" s="13" t="s">
        <v>4302</v>
      </c>
      <c r="B1194" s="13" t="s">
        <v>4295</v>
      </c>
      <c r="C1194" s="13" t="n">
        <v>3</v>
      </c>
      <c r="D1194" s="13" t="s">
        <v>97</v>
      </c>
      <c r="E1194" s="13" t="s">
        <v>158</v>
      </c>
      <c r="F1194" s="13" t="s">
        <v>256</v>
      </c>
      <c r="G1194" s="13" t="s">
        <v>1918</v>
      </c>
      <c r="H1194" s="13" t="s">
        <v>101</v>
      </c>
      <c r="I1194" s="21" t="s">
        <v>4303</v>
      </c>
      <c r="J1194" s="21" t="s">
        <v>512</v>
      </c>
      <c r="K1194" s="21" t="s">
        <v>4304</v>
      </c>
      <c r="L1194" s="22" t="s">
        <v>36</v>
      </c>
      <c r="M1194" s="21" t="s">
        <v>120</v>
      </c>
      <c r="N1194" s="13" t="s">
        <v>106</v>
      </c>
      <c r="O1194" s="23" t="n">
        <v>9.48</v>
      </c>
      <c r="P1194" s="13" t="n">
        <v>1</v>
      </c>
      <c r="Q1194" s="24" t="n">
        <v>46311.009212963</v>
      </c>
      <c r="R1194" s="22"/>
      <c r="S1194" s="13" t="s">
        <v>164</v>
      </c>
      <c r="T1194" s="13" t="str">
        <f aca="false">IF(S1194="Oui",IF(R1194=L1194,"Identique","Changé"),"")</f>
        <v/>
      </c>
    </row>
    <row r="1195" customFormat="false" ht="46.25" hidden="false" customHeight="false" outlineLevel="0" collapsed="false">
      <c r="A1195" s="13" t="s">
        <v>4305</v>
      </c>
      <c r="B1195" s="13" t="s">
        <v>4295</v>
      </c>
      <c r="C1195" s="13" t="n">
        <v>4</v>
      </c>
      <c r="D1195" s="13" t="s">
        <v>97</v>
      </c>
      <c r="E1195" s="13" t="s">
        <v>570</v>
      </c>
      <c r="F1195" s="13" t="s">
        <v>256</v>
      </c>
      <c r="G1195" s="13" t="s">
        <v>639</v>
      </c>
      <c r="H1195" s="13" t="s">
        <v>152</v>
      </c>
      <c r="I1195" s="21" t="s">
        <v>4306</v>
      </c>
      <c r="J1195" s="21" t="s">
        <v>154</v>
      </c>
      <c r="K1195" s="21" t="s">
        <v>4307</v>
      </c>
      <c r="L1195" s="22" t="s">
        <v>40</v>
      </c>
      <c r="M1195" s="21" t="s">
        <v>156</v>
      </c>
      <c r="N1195" s="13" t="s">
        <v>106</v>
      </c>
      <c r="O1195" s="23" t="n">
        <v>8.44</v>
      </c>
      <c r="P1195" s="13" t="n">
        <v>1</v>
      </c>
      <c r="Q1195" s="24" t="n">
        <v>46311.0094212963</v>
      </c>
      <c r="R1195" s="22"/>
      <c r="S1195" s="13" t="s">
        <v>164</v>
      </c>
      <c r="T1195" s="13" t="str">
        <f aca="false">IF(S1195="Oui",IF(R1195=L1195,"Identique","Changé"),"")</f>
        <v/>
      </c>
    </row>
    <row r="1196" customFormat="false" ht="79.85" hidden="false" customHeight="false" outlineLevel="0" collapsed="false">
      <c r="A1196" s="13" t="s">
        <v>4308</v>
      </c>
      <c r="B1196" s="13" t="s">
        <v>4295</v>
      </c>
      <c r="C1196" s="13" t="n">
        <v>5</v>
      </c>
      <c r="D1196" s="13" t="s">
        <v>97</v>
      </c>
      <c r="E1196" s="13" t="s">
        <v>122</v>
      </c>
      <c r="F1196" s="13" t="s">
        <v>627</v>
      </c>
      <c r="G1196" s="13" t="s">
        <v>1833</v>
      </c>
      <c r="H1196" s="13" t="s">
        <v>101</v>
      </c>
      <c r="I1196" s="21" t="s">
        <v>4309</v>
      </c>
      <c r="J1196" s="21" t="s">
        <v>1741</v>
      </c>
      <c r="K1196" s="21" t="s">
        <v>4310</v>
      </c>
      <c r="L1196" s="22" t="s">
        <v>36</v>
      </c>
      <c r="M1196" s="21" t="s">
        <v>235</v>
      </c>
      <c r="N1196" s="13" t="s">
        <v>106</v>
      </c>
      <c r="O1196" s="23" t="n">
        <v>12.67</v>
      </c>
      <c r="P1196" s="13" t="n">
        <v>1</v>
      </c>
      <c r="Q1196" s="24" t="n">
        <v>46311.0096759259</v>
      </c>
      <c r="R1196" s="22"/>
      <c r="S1196" s="13" t="s">
        <v>164</v>
      </c>
      <c r="T1196" s="13" t="str">
        <f aca="false">IF(S1196="Oui",IF(R1196=L1196,"Identique","Changé"),"")</f>
        <v/>
      </c>
    </row>
    <row r="1197" customFormat="false" ht="35.05" hidden="false" customHeight="false" outlineLevel="0" collapsed="false">
      <c r="A1197" s="13" t="s">
        <v>4311</v>
      </c>
      <c r="B1197" s="13" t="s">
        <v>4312</v>
      </c>
      <c r="C1197" s="13" t="n">
        <v>1</v>
      </c>
      <c r="D1197" s="13" t="s">
        <v>135</v>
      </c>
      <c r="E1197" s="13" t="s">
        <v>122</v>
      </c>
      <c r="F1197" s="13" t="s">
        <v>4313</v>
      </c>
      <c r="G1197" s="13" t="s">
        <v>123</v>
      </c>
      <c r="H1197" s="13" t="s">
        <v>101</v>
      </c>
      <c r="I1197" s="21" t="s">
        <v>4314</v>
      </c>
      <c r="J1197" s="21" t="s">
        <v>277</v>
      </c>
      <c r="K1197" s="21" t="s">
        <v>4315</v>
      </c>
      <c r="L1197" s="22" t="s">
        <v>36</v>
      </c>
      <c r="M1197" s="21" t="s">
        <v>120</v>
      </c>
      <c r="N1197" s="13" t="s">
        <v>106</v>
      </c>
      <c r="O1197" s="23" t="n">
        <v>25.25</v>
      </c>
      <c r="P1197" s="13" t="n">
        <v>1</v>
      </c>
      <c r="Q1197" s="24" t="n">
        <v>46311.0101388889</v>
      </c>
      <c r="R1197" s="22"/>
      <c r="S1197" s="13" t="s">
        <v>164</v>
      </c>
      <c r="T1197" s="13" t="str">
        <f aca="false">IF(S1197="Oui",IF(R1197=L1197,"Identique","Changé"),"")</f>
        <v/>
      </c>
    </row>
    <row r="1198" customFormat="false" ht="46.25" hidden="false" customHeight="false" outlineLevel="0" collapsed="false">
      <c r="A1198" s="13" t="s">
        <v>4316</v>
      </c>
      <c r="B1198" s="13" t="s">
        <v>4312</v>
      </c>
      <c r="C1198" s="13" t="n">
        <v>2</v>
      </c>
      <c r="D1198" s="13" t="s">
        <v>135</v>
      </c>
      <c r="E1198" s="13" t="s">
        <v>158</v>
      </c>
      <c r="F1198" s="13" t="s">
        <v>4313</v>
      </c>
      <c r="G1198" s="13" t="s">
        <v>1909</v>
      </c>
      <c r="H1198" s="13" t="s">
        <v>101</v>
      </c>
      <c r="I1198" s="21" t="s">
        <v>4317</v>
      </c>
      <c r="J1198" s="21" t="s">
        <v>284</v>
      </c>
      <c r="K1198" s="21" t="s">
        <v>4318</v>
      </c>
      <c r="L1198" s="22" t="s">
        <v>37</v>
      </c>
      <c r="M1198" s="21" t="s">
        <v>163</v>
      </c>
      <c r="N1198" s="13" t="s">
        <v>106</v>
      </c>
      <c r="O1198" s="23" t="n">
        <v>10.17</v>
      </c>
      <c r="P1198" s="13" t="n">
        <v>1</v>
      </c>
      <c r="Q1198" s="24" t="n">
        <v>46311.0103587963</v>
      </c>
      <c r="R1198" s="22"/>
      <c r="S1198" s="13" t="s">
        <v>164</v>
      </c>
      <c r="T1198" s="13" t="str">
        <f aca="false">IF(S1198="Oui",IF(R1198=L1198,"Identique","Changé"),"")</f>
        <v/>
      </c>
    </row>
    <row r="1199" customFormat="false" ht="46.25" hidden="false" customHeight="false" outlineLevel="0" collapsed="false">
      <c r="A1199" s="13" t="s">
        <v>4319</v>
      </c>
      <c r="B1199" s="13" t="s">
        <v>4312</v>
      </c>
      <c r="C1199" s="13" t="n">
        <v>3</v>
      </c>
      <c r="D1199" s="13" t="s">
        <v>135</v>
      </c>
      <c r="E1199" s="13" t="s">
        <v>570</v>
      </c>
      <c r="F1199" s="13" t="s">
        <v>2015</v>
      </c>
      <c r="G1199" s="13" t="s">
        <v>1785</v>
      </c>
      <c r="H1199" s="13" t="s">
        <v>101</v>
      </c>
      <c r="I1199" s="21" t="s">
        <v>4320</v>
      </c>
      <c r="J1199" s="21" t="s">
        <v>4321</v>
      </c>
      <c r="K1199" s="21" t="s">
        <v>4322</v>
      </c>
      <c r="L1199" s="22" t="s">
        <v>36</v>
      </c>
      <c r="M1199" s="21" t="s">
        <v>235</v>
      </c>
      <c r="N1199" s="13" t="s">
        <v>106</v>
      </c>
      <c r="O1199" s="23" t="n">
        <v>10.26</v>
      </c>
      <c r="P1199" s="13" t="n">
        <v>1</v>
      </c>
      <c r="Q1199" s="24" t="n">
        <v>46311.0105902778</v>
      </c>
      <c r="R1199" s="22"/>
      <c r="S1199" s="13" t="s">
        <v>164</v>
      </c>
      <c r="T1199" s="13" t="str">
        <f aca="false">IF(S1199="Oui",IF(R1199=L1199,"Identique","Changé"),"")</f>
        <v/>
      </c>
    </row>
    <row r="1200" customFormat="false" ht="46.25" hidden="false" customHeight="false" outlineLevel="0" collapsed="false">
      <c r="A1200" s="13" t="s">
        <v>4323</v>
      </c>
      <c r="B1200" s="13" t="s">
        <v>4312</v>
      </c>
      <c r="C1200" s="13" t="n">
        <v>4</v>
      </c>
      <c r="D1200" s="13" t="s">
        <v>135</v>
      </c>
      <c r="E1200" s="13" t="s">
        <v>570</v>
      </c>
      <c r="F1200" s="13" t="s">
        <v>2015</v>
      </c>
      <c r="G1200" s="13" t="s">
        <v>1758</v>
      </c>
      <c r="H1200" s="13" t="s">
        <v>101</v>
      </c>
      <c r="I1200" s="21" t="s">
        <v>4324</v>
      </c>
      <c r="J1200" s="21" t="s">
        <v>4325</v>
      </c>
      <c r="K1200" s="21" t="s">
        <v>4326</v>
      </c>
      <c r="L1200" s="22" t="s">
        <v>36</v>
      </c>
      <c r="M1200" s="21" t="s">
        <v>235</v>
      </c>
      <c r="N1200" s="13" t="s">
        <v>106</v>
      </c>
      <c r="O1200" s="23" t="n">
        <v>9.64</v>
      </c>
      <c r="P1200" s="13" t="n">
        <v>1</v>
      </c>
      <c r="Q1200" s="24" t="n">
        <v>46311.0107986111</v>
      </c>
      <c r="R1200" s="22"/>
      <c r="S1200" s="13" t="s">
        <v>164</v>
      </c>
      <c r="T1200" s="13" t="str">
        <f aca="false">IF(S1200="Oui",IF(R1200=L1200,"Identique","Changé"),"")</f>
        <v/>
      </c>
    </row>
    <row r="1201" customFormat="false" ht="46.25" hidden="false" customHeight="false" outlineLevel="0" collapsed="false">
      <c r="A1201" s="13" t="s">
        <v>4327</v>
      </c>
      <c r="B1201" s="13" t="s">
        <v>4312</v>
      </c>
      <c r="C1201" s="13" t="n">
        <v>5</v>
      </c>
      <c r="D1201" s="13" t="s">
        <v>135</v>
      </c>
      <c r="E1201" s="13" t="s">
        <v>128</v>
      </c>
      <c r="F1201" s="13" t="s">
        <v>4313</v>
      </c>
      <c r="G1201" s="13" t="s">
        <v>2024</v>
      </c>
      <c r="H1201" s="13" t="s">
        <v>101</v>
      </c>
      <c r="I1201" s="21" t="s">
        <v>4328</v>
      </c>
      <c r="J1201" s="21" t="s">
        <v>4329</v>
      </c>
      <c r="K1201" s="21" t="s">
        <v>4330</v>
      </c>
      <c r="L1201" s="22" t="s">
        <v>36</v>
      </c>
      <c r="M1201" s="21" t="s">
        <v>120</v>
      </c>
      <c r="N1201" s="13" t="s">
        <v>106</v>
      </c>
      <c r="O1201" s="23" t="n">
        <v>13.37</v>
      </c>
      <c r="P1201" s="13" t="n">
        <v>1</v>
      </c>
      <c r="Q1201" s="24" t="n">
        <v>46311.0110648148</v>
      </c>
      <c r="R1201" s="22"/>
      <c r="S1201" s="13" t="s">
        <v>164</v>
      </c>
      <c r="T1201" s="13" t="str">
        <f aca="false">IF(S1201="Oui",IF(R1201=L1201,"Identique","Changé"),"")</f>
        <v/>
      </c>
    </row>
    <row r="1202" customFormat="false" ht="180.55" hidden="false" customHeight="false" outlineLevel="0" collapsed="false">
      <c r="A1202" s="13" t="s">
        <v>4331</v>
      </c>
      <c r="B1202" s="13" t="s">
        <v>4332</v>
      </c>
      <c r="C1202" s="13" t="n">
        <v>1</v>
      </c>
      <c r="D1202" s="13" t="s">
        <v>97</v>
      </c>
      <c r="E1202" s="13" t="s">
        <v>1730</v>
      </c>
      <c r="F1202" s="13" t="s">
        <v>664</v>
      </c>
      <c r="G1202" s="13" t="s">
        <v>2009</v>
      </c>
      <c r="H1202" s="13" t="s">
        <v>101</v>
      </c>
      <c r="I1202" s="21" t="s">
        <v>4333</v>
      </c>
      <c r="J1202" s="21" t="s">
        <v>4334</v>
      </c>
      <c r="K1202" s="21" t="s">
        <v>4335</v>
      </c>
      <c r="L1202" s="22" t="s">
        <v>36</v>
      </c>
      <c r="M1202" s="21" t="s">
        <v>4336</v>
      </c>
      <c r="N1202" s="13" t="s">
        <v>106</v>
      </c>
      <c r="O1202" s="23" t="n">
        <v>26.45</v>
      </c>
      <c r="P1202" s="13" t="n">
        <v>1</v>
      </c>
      <c r="Q1202" s="24" t="n">
        <v>46311.0115393519</v>
      </c>
      <c r="R1202" s="22"/>
      <c r="S1202" s="13" t="s">
        <v>164</v>
      </c>
      <c r="T1202" s="13" t="str">
        <f aca="false">IF(S1202="Oui",IF(R1202=L1202,"Identique","Changé"),"")</f>
        <v/>
      </c>
    </row>
    <row r="1203" customFormat="false" ht="57.45" hidden="false" customHeight="false" outlineLevel="0" collapsed="false">
      <c r="A1203" s="13" t="s">
        <v>4337</v>
      </c>
      <c r="B1203" s="13" t="s">
        <v>4332</v>
      </c>
      <c r="C1203" s="13" t="n">
        <v>2</v>
      </c>
      <c r="D1203" s="13" t="s">
        <v>97</v>
      </c>
      <c r="E1203" s="13" t="s">
        <v>114</v>
      </c>
      <c r="F1203" s="13" t="s">
        <v>664</v>
      </c>
      <c r="G1203" s="13" t="s">
        <v>2118</v>
      </c>
      <c r="H1203" s="13" t="s">
        <v>101</v>
      </c>
      <c r="I1203" s="21" t="s">
        <v>4338</v>
      </c>
      <c r="J1203" s="21" t="s">
        <v>2120</v>
      </c>
      <c r="K1203" s="21" t="s">
        <v>4339</v>
      </c>
      <c r="L1203" s="22" t="s">
        <v>36</v>
      </c>
      <c r="M1203" s="21" t="s">
        <v>120</v>
      </c>
      <c r="N1203" s="13" t="s">
        <v>106</v>
      </c>
      <c r="O1203" s="23" t="n">
        <v>9.86</v>
      </c>
      <c r="P1203" s="13" t="n">
        <v>1</v>
      </c>
      <c r="Q1203" s="24" t="n">
        <v>46311.0117476852</v>
      </c>
      <c r="R1203" s="22"/>
      <c r="S1203" s="13" t="s">
        <v>164</v>
      </c>
      <c r="T1203" s="13" t="str">
        <f aca="false">IF(S1203="Oui",IF(R1203=L1203,"Identique","Changé"),"")</f>
        <v/>
      </c>
    </row>
    <row r="1204" customFormat="false" ht="35.05" hidden="false" customHeight="false" outlineLevel="0" collapsed="false">
      <c r="A1204" s="13" t="s">
        <v>4340</v>
      </c>
      <c r="B1204" s="13" t="s">
        <v>4332</v>
      </c>
      <c r="C1204" s="13" t="n">
        <v>3</v>
      </c>
      <c r="D1204" s="13" t="s">
        <v>97</v>
      </c>
      <c r="E1204" s="13" t="s">
        <v>158</v>
      </c>
      <c r="F1204" s="13" t="s">
        <v>664</v>
      </c>
      <c r="G1204" s="13" t="s">
        <v>1951</v>
      </c>
      <c r="H1204" s="13" t="s">
        <v>101</v>
      </c>
      <c r="I1204" s="21" t="s">
        <v>4341</v>
      </c>
      <c r="J1204" s="21" t="s">
        <v>512</v>
      </c>
      <c r="K1204" s="21" t="s">
        <v>4342</v>
      </c>
      <c r="L1204" s="22" t="s">
        <v>36</v>
      </c>
      <c r="M1204" s="21" t="s">
        <v>120</v>
      </c>
      <c r="N1204" s="13" t="s">
        <v>106</v>
      </c>
      <c r="O1204" s="23" t="n">
        <v>9.82</v>
      </c>
      <c r="P1204" s="13" t="n">
        <v>1</v>
      </c>
      <c r="Q1204" s="24" t="n">
        <v>46311.0119675926</v>
      </c>
      <c r="R1204" s="22"/>
      <c r="S1204" s="13" t="s">
        <v>164</v>
      </c>
      <c r="T1204" s="13" t="str">
        <f aca="false">IF(S1204="Oui",IF(R1204=L1204,"Identique","Changé"),"")</f>
        <v/>
      </c>
    </row>
    <row r="1205" customFormat="false" ht="79.85" hidden="false" customHeight="false" outlineLevel="0" collapsed="false">
      <c r="A1205" s="13" t="s">
        <v>4343</v>
      </c>
      <c r="B1205" s="13" t="s">
        <v>4332</v>
      </c>
      <c r="C1205" s="13" t="n">
        <v>4</v>
      </c>
      <c r="D1205" s="13" t="s">
        <v>97</v>
      </c>
      <c r="E1205" s="13" t="s">
        <v>171</v>
      </c>
      <c r="F1205" s="13" t="s">
        <v>664</v>
      </c>
      <c r="G1205" s="13" t="s">
        <v>519</v>
      </c>
      <c r="H1205" s="13" t="s">
        <v>101</v>
      </c>
      <c r="I1205" s="21" t="s">
        <v>4344</v>
      </c>
      <c r="J1205" s="21" t="s">
        <v>284</v>
      </c>
      <c r="K1205" s="21" t="s">
        <v>4345</v>
      </c>
      <c r="L1205" s="22" t="s">
        <v>37</v>
      </c>
      <c r="M1205" s="21" t="s">
        <v>163</v>
      </c>
      <c r="N1205" s="13" t="s">
        <v>106</v>
      </c>
      <c r="O1205" s="23" t="n">
        <v>10.99</v>
      </c>
      <c r="P1205" s="13" t="n">
        <v>1</v>
      </c>
      <c r="Q1205" s="24" t="n">
        <v>46311.0121990741</v>
      </c>
      <c r="R1205" s="22"/>
      <c r="S1205" s="13" t="s">
        <v>164</v>
      </c>
      <c r="T1205" s="13" t="str">
        <f aca="false">IF(S1205="Oui",IF(R1205=L1205,"Identique","Changé"),"")</f>
        <v/>
      </c>
    </row>
    <row r="1206" customFormat="false" ht="68.65" hidden="false" customHeight="false" outlineLevel="0" collapsed="false">
      <c r="A1206" s="13" t="s">
        <v>4346</v>
      </c>
      <c r="B1206" s="13" t="s">
        <v>4332</v>
      </c>
      <c r="C1206" s="13" t="n">
        <v>5</v>
      </c>
      <c r="D1206" s="13" t="s">
        <v>97</v>
      </c>
      <c r="E1206" s="13" t="s">
        <v>171</v>
      </c>
      <c r="F1206" s="13" t="s">
        <v>664</v>
      </c>
      <c r="G1206" s="13" t="s">
        <v>1998</v>
      </c>
      <c r="H1206" s="13" t="s">
        <v>101</v>
      </c>
      <c r="I1206" s="21" t="s">
        <v>4347</v>
      </c>
      <c r="J1206" s="21" t="s">
        <v>4348</v>
      </c>
      <c r="K1206" s="21" t="s">
        <v>4349</v>
      </c>
      <c r="L1206" s="22" t="s">
        <v>36</v>
      </c>
      <c r="M1206" s="21" t="s">
        <v>120</v>
      </c>
      <c r="N1206" s="13" t="s">
        <v>106</v>
      </c>
      <c r="O1206" s="23" t="n">
        <v>12.33</v>
      </c>
      <c r="P1206" s="13" t="n">
        <v>1</v>
      </c>
      <c r="Q1206" s="24" t="n">
        <v>46311.0124537037</v>
      </c>
      <c r="R1206" s="22"/>
      <c r="S1206" s="13" t="s">
        <v>164</v>
      </c>
      <c r="T1206" s="13" t="str">
        <f aca="false">IF(S1206="Oui",IF(R1206=L1206,"Identique","Changé"),"")</f>
        <v/>
      </c>
    </row>
    <row r="1207" customFormat="false" ht="23.85" hidden="false" customHeight="false" outlineLevel="0" collapsed="false">
      <c r="A1207" s="13" t="s">
        <v>4350</v>
      </c>
      <c r="B1207" s="13" t="s">
        <v>4351</v>
      </c>
      <c r="C1207" s="13" t="n">
        <v>1</v>
      </c>
      <c r="D1207" s="13" t="s">
        <v>135</v>
      </c>
      <c r="E1207" s="13" t="s">
        <v>570</v>
      </c>
      <c r="F1207" s="13" t="s">
        <v>4352</v>
      </c>
      <c r="G1207" s="13" t="s">
        <v>1775</v>
      </c>
      <c r="H1207" s="13" t="s">
        <v>101</v>
      </c>
      <c r="I1207" s="21" t="s">
        <v>4353</v>
      </c>
      <c r="J1207" s="21" t="s">
        <v>1777</v>
      </c>
      <c r="K1207" s="21" t="s">
        <v>1110</v>
      </c>
      <c r="L1207" s="22" t="s">
        <v>37</v>
      </c>
      <c r="M1207" s="21" t="s">
        <v>163</v>
      </c>
      <c r="N1207" s="13" t="s">
        <v>106</v>
      </c>
      <c r="O1207" s="23" t="n">
        <v>26.46</v>
      </c>
      <c r="P1207" s="13" t="n">
        <v>1</v>
      </c>
      <c r="Q1207" s="24" t="n">
        <v>46311.0129282407</v>
      </c>
      <c r="R1207" s="22"/>
      <c r="S1207" s="13" t="s">
        <v>164</v>
      </c>
      <c r="T1207" s="13" t="str">
        <f aca="false">IF(S1207="Oui",IF(R1207=L1207,"Identique","Changé"),"")</f>
        <v/>
      </c>
    </row>
    <row r="1208" customFormat="false" ht="23.85" hidden="false" customHeight="false" outlineLevel="0" collapsed="false">
      <c r="A1208" s="13" t="s">
        <v>4354</v>
      </c>
      <c r="B1208" s="13" t="s">
        <v>4351</v>
      </c>
      <c r="C1208" s="13" t="n">
        <v>2</v>
      </c>
      <c r="D1208" s="13" t="s">
        <v>135</v>
      </c>
      <c r="E1208" s="13" t="s">
        <v>570</v>
      </c>
      <c r="F1208" s="13" t="s">
        <v>4352</v>
      </c>
      <c r="G1208" s="13" t="s">
        <v>1780</v>
      </c>
      <c r="H1208" s="13" t="s">
        <v>101</v>
      </c>
      <c r="I1208" s="21" t="s">
        <v>4355</v>
      </c>
      <c r="J1208" s="21" t="s">
        <v>512</v>
      </c>
      <c r="K1208" s="21" t="s">
        <v>4356</v>
      </c>
      <c r="L1208" s="22" t="s">
        <v>36</v>
      </c>
      <c r="M1208" s="21" t="s">
        <v>120</v>
      </c>
      <c r="N1208" s="13" t="s">
        <v>106</v>
      </c>
      <c r="O1208" s="23" t="n">
        <v>17.3</v>
      </c>
      <c r="P1208" s="13" t="n">
        <v>1</v>
      </c>
      <c r="Q1208" s="24" t="n">
        <v>46311.0132291667</v>
      </c>
      <c r="R1208" s="22"/>
      <c r="S1208" s="13" t="s">
        <v>164</v>
      </c>
      <c r="T1208" s="13" t="str">
        <f aca="false">IF(S1208="Oui",IF(R1208=L1208,"Identique","Changé"),"")</f>
        <v/>
      </c>
    </row>
    <row r="1209" customFormat="false" ht="35.05" hidden="false" customHeight="false" outlineLevel="0" collapsed="false">
      <c r="A1209" s="13" t="s">
        <v>4357</v>
      </c>
      <c r="B1209" s="13" t="s">
        <v>4351</v>
      </c>
      <c r="C1209" s="13" t="n">
        <v>3</v>
      </c>
      <c r="D1209" s="13" t="s">
        <v>135</v>
      </c>
      <c r="E1209" s="13" t="s">
        <v>570</v>
      </c>
      <c r="F1209" s="13" t="s">
        <v>2056</v>
      </c>
      <c r="G1209" s="13" t="s">
        <v>1930</v>
      </c>
      <c r="H1209" s="13" t="s">
        <v>152</v>
      </c>
      <c r="I1209" s="21" t="s">
        <v>4358</v>
      </c>
      <c r="J1209" s="21" t="s">
        <v>154</v>
      </c>
      <c r="K1209" s="21" t="s">
        <v>4359</v>
      </c>
      <c r="L1209" s="22" t="s">
        <v>40</v>
      </c>
      <c r="M1209" s="21" t="s">
        <v>156</v>
      </c>
      <c r="N1209" s="13" t="s">
        <v>106</v>
      </c>
      <c r="O1209" s="23" t="n">
        <v>10.19</v>
      </c>
      <c r="P1209" s="13" t="n">
        <v>1</v>
      </c>
      <c r="Q1209" s="24" t="n">
        <v>46311.0134490741</v>
      </c>
      <c r="R1209" s="22"/>
      <c r="S1209" s="13" t="s">
        <v>164</v>
      </c>
      <c r="T1209" s="13" t="str">
        <f aca="false">IF(S1209="Oui",IF(R1209=L1209,"Identique","Changé"),"")</f>
        <v/>
      </c>
    </row>
    <row r="1210" customFormat="false" ht="35.05" hidden="false" customHeight="false" outlineLevel="0" collapsed="false">
      <c r="A1210" s="13" t="s">
        <v>4360</v>
      </c>
      <c r="B1210" s="13" t="s">
        <v>4351</v>
      </c>
      <c r="C1210" s="13" t="n">
        <v>4</v>
      </c>
      <c r="D1210" s="13" t="s">
        <v>135</v>
      </c>
      <c r="E1210" s="13" t="s">
        <v>570</v>
      </c>
      <c r="F1210" s="13" t="s">
        <v>2056</v>
      </c>
      <c r="G1210" s="13" t="s">
        <v>1794</v>
      </c>
      <c r="H1210" s="13" t="s">
        <v>101</v>
      </c>
      <c r="I1210" s="21" t="s">
        <v>4361</v>
      </c>
      <c r="J1210" s="21" t="s">
        <v>1741</v>
      </c>
      <c r="K1210" s="21" t="s">
        <v>4362</v>
      </c>
      <c r="L1210" s="22" t="s">
        <v>36</v>
      </c>
      <c r="M1210" s="21" t="s">
        <v>235</v>
      </c>
      <c r="N1210" s="13" t="s">
        <v>106</v>
      </c>
      <c r="O1210" s="23" t="n">
        <v>11.91</v>
      </c>
      <c r="P1210" s="13" t="n">
        <v>1</v>
      </c>
      <c r="Q1210" s="24" t="n">
        <v>46311.0137037037</v>
      </c>
      <c r="R1210" s="22"/>
      <c r="S1210" s="13" t="s">
        <v>164</v>
      </c>
      <c r="T1210" s="13" t="str">
        <f aca="false">IF(S1210="Oui",IF(R1210=L1210,"Identique","Changé"),"")</f>
        <v/>
      </c>
    </row>
    <row r="1211" customFormat="false" ht="35.05" hidden="false" customHeight="false" outlineLevel="0" collapsed="false">
      <c r="A1211" s="13" t="s">
        <v>4363</v>
      </c>
      <c r="B1211" s="13" t="s">
        <v>4351</v>
      </c>
      <c r="C1211" s="13" t="n">
        <v>5</v>
      </c>
      <c r="D1211" s="13" t="s">
        <v>135</v>
      </c>
      <c r="E1211" s="13" t="s">
        <v>114</v>
      </c>
      <c r="F1211" s="13" t="s">
        <v>4352</v>
      </c>
      <c r="G1211" s="13" t="s">
        <v>2123</v>
      </c>
      <c r="H1211" s="13" t="s">
        <v>101</v>
      </c>
      <c r="I1211" s="21" t="s">
        <v>4364</v>
      </c>
      <c r="J1211" s="21" t="s">
        <v>2149</v>
      </c>
      <c r="K1211" s="21" t="s">
        <v>4365</v>
      </c>
      <c r="L1211" s="22" t="s">
        <v>38</v>
      </c>
      <c r="M1211" s="21" t="s">
        <v>2151</v>
      </c>
      <c r="N1211" s="13" t="s">
        <v>1085</v>
      </c>
      <c r="O1211" s="23" t="n">
        <v>10.79</v>
      </c>
      <c r="P1211" s="13" t="n">
        <v>1</v>
      </c>
      <c r="Q1211" s="24" t="n">
        <v>46311.0139236111</v>
      </c>
      <c r="R1211" s="22"/>
      <c r="S1211" s="13" t="s">
        <v>164</v>
      </c>
      <c r="T1211" s="13" t="str">
        <f aca="false">IF(S1211="Oui",IF(R1211=L1211,"Identique","Changé"),"")</f>
        <v/>
      </c>
    </row>
    <row r="1212" customFormat="false" ht="46.25" hidden="false" customHeight="false" outlineLevel="0" collapsed="false">
      <c r="A1212" s="13" t="s">
        <v>4366</v>
      </c>
      <c r="B1212" s="13" t="s">
        <v>4367</v>
      </c>
      <c r="C1212" s="13" t="n">
        <v>1</v>
      </c>
      <c r="D1212" s="13" t="s">
        <v>97</v>
      </c>
      <c r="E1212" s="13" t="s">
        <v>122</v>
      </c>
      <c r="F1212" s="13" t="s">
        <v>167</v>
      </c>
      <c r="G1212" s="13" t="s">
        <v>1905</v>
      </c>
      <c r="H1212" s="13" t="s">
        <v>101</v>
      </c>
      <c r="I1212" s="21" t="s">
        <v>4368</v>
      </c>
      <c r="J1212" s="21" t="s">
        <v>284</v>
      </c>
      <c r="K1212" s="21" t="s">
        <v>4369</v>
      </c>
      <c r="L1212" s="22" t="s">
        <v>38</v>
      </c>
      <c r="M1212" s="21" t="s">
        <v>2633</v>
      </c>
      <c r="N1212" s="13" t="s">
        <v>1085</v>
      </c>
      <c r="O1212" s="23" t="n">
        <v>30.67</v>
      </c>
      <c r="P1212" s="13" t="n">
        <v>3</v>
      </c>
      <c r="Q1212" s="24" t="n">
        <v>46311.0239814815</v>
      </c>
      <c r="R1212" s="22"/>
      <c r="S1212" s="13" t="s">
        <v>164</v>
      </c>
      <c r="T1212" s="13" t="str">
        <f aca="false">IF(S1212="Oui",IF(R1212=L1212,"Identique","Changé"),"")</f>
        <v/>
      </c>
    </row>
    <row r="1213" customFormat="false" ht="46.25" hidden="false" customHeight="false" outlineLevel="0" collapsed="false">
      <c r="A1213" s="13" t="s">
        <v>4370</v>
      </c>
      <c r="B1213" s="13" t="s">
        <v>4367</v>
      </c>
      <c r="C1213" s="13" t="n">
        <v>2</v>
      </c>
      <c r="D1213" s="13" t="s">
        <v>97</v>
      </c>
      <c r="E1213" s="13" t="s">
        <v>570</v>
      </c>
      <c r="F1213" s="13" t="s">
        <v>167</v>
      </c>
      <c r="G1213" s="13" t="s">
        <v>1805</v>
      </c>
      <c r="H1213" s="13" t="s">
        <v>101</v>
      </c>
      <c r="I1213" s="21" t="s">
        <v>4371</v>
      </c>
      <c r="J1213" s="21" t="s">
        <v>284</v>
      </c>
      <c r="K1213" s="21" t="s">
        <v>4372</v>
      </c>
      <c r="L1213" s="22" t="s">
        <v>36</v>
      </c>
      <c r="M1213" s="21" t="s">
        <v>120</v>
      </c>
      <c r="N1213" s="13" t="s">
        <v>106</v>
      </c>
      <c r="O1213" s="23" t="n">
        <v>9.52</v>
      </c>
      <c r="P1213" s="13" t="n">
        <v>3</v>
      </c>
      <c r="Q1213" s="24" t="n">
        <v>46311.0242013889</v>
      </c>
      <c r="R1213" s="22"/>
      <c r="S1213" s="13" t="s">
        <v>164</v>
      </c>
      <c r="T1213" s="13" t="str">
        <f aca="false">IF(S1213="Oui",IF(R1213=L1213,"Identique","Changé"),"")</f>
        <v/>
      </c>
    </row>
    <row r="1214" customFormat="false" ht="46.25" hidden="false" customHeight="false" outlineLevel="0" collapsed="false">
      <c r="A1214" s="13" t="s">
        <v>4373</v>
      </c>
      <c r="B1214" s="13" t="s">
        <v>4367</v>
      </c>
      <c r="C1214" s="13" t="n">
        <v>3</v>
      </c>
      <c r="D1214" s="13" t="s">
        <v>97</v>
      </c>
      <c r="E1214" s="13" t="s">
        <v>570</v>
      </c>
      <c r="F1214" s="13" t="s">
        <v>167</v>
      </c>
      <c r="G1214" s="13" t="s">
        <v>1800</v>
      </c>
      <c r="H1214" s="13" t="s">
        <v>101</v>
      </c>
      <c r="I1214" s="21" t="s">
        <v>4374</v>
      </c>
      <c r="J1214" s="21" t="s">
        <v>4375</v>
      </c>
      <c r="K1214" s="21" t="s">
        <v>4376</v>
      </c>
      <c r="L1214" s="22" t="s">
        <v>36</v>
      </c>
      <c r="M1214" s="21" t="s">
        <v>235</v>
      </c>
      <c r="N1214" s="13" t="s">
        <v>106</v>
      </c>
      <c r="O1214" s="23" t="n">
        <v>9.6</v>
      </c>
      <c r="P1214" s="13" t="n">
        <v>3</v>
      </c>
      <c r="Q1214" s="24" t="n">
        <v>46311.0244212963</v>
      </c>
      <c r="R1214" s="22"/>
      <c r="S1214" s="13" t="s">
        <v>164</v>
      </c>
      <c r="T1214" s="13" t="str">
        <f aca="false">IF(S1214="Oui",IF(R1214=L1214,"Identique","Changé"),"")</f>
        <v/>
      </c>
    </row>
    <row r="1215" customFormat="false" ht="35.05" hidden="false" customHeight="false" outlineLevel="0" collapsed="false">
      <c r="A1215" s="13" t="s">
        <v>4377</v>
      </c>
      <c r="B1215" s="13" t="s">
        <v>4367</v>
      </c>
      <c r="C1215" s="13" t="n">
        <v>4</v>
      </c>
      <c r="D1215" s="13" t="s">
        <v>97</v>
      </c>
      <c r="E1215" s="13" t="s">
        <v>570</v>
      </c>
      <c r="F1215" s="13" t="s">
        <v>167</v>
      </c>
      <c r="G1215" s="13" t="s">
        <v>1790</v>
      </c>
      <c r="H1215" s="13" t="s">
        <v>101</v>
      </c>
      <c r="I1215" s="21" t="s">
        <v>4378</v>
      </c>
      <c r="J1215" s="21" t="s">
        <v>512</v>
      </c>
      <c r="K1215" s="21" t="s">
        <v>4379</v>
      </c>
      <c r="L1215" s="22" t="s">
        <v>36</v>
      </c>
      <c r="M1215" s="21" t="s">
        <v>120</v>
      </c>
      <c r="N1215" s="13" t="s">
        <v>106</v>
      </c>
      <c r="O1215" s="23" t="n">
        <v>9.88</v>
      </c>
      <c r="P1215" s="13" t="n">
        <v>3</v>
      </c>
      <c r="Q1215" s="24" t="n">
        <v>46311.0246296296</v>
      </c>
      <c r="R1215" s="22"/>
      <c r="S1215" s="13" t="s">
        <v>164</v>
      </c>
      <c r="T1215" s="13" t="str">
        <f aca="false">IF(S1215="Oui",IF(R1215=L1215,"Identique","Changé"),"")</f>
        <v/>
      </c>
    </row>
    <row r="1216" customFormat="false" ht="68.65" hidden="false" customHeight="false" outlineLevel="0" collapsed="false">
      <c r="A1216" s="13" t="s">
        <v>4380</v>
      </c>
      <c r="B1216" s="13" t="s">
        <v>4367</v>
      </c>
      <c r="C1216" s="13" t="n">
        <v>5</v>
      </c>
      <c r="D1216" s="13" t="s">
        <v>97</v>
      </c>
      <c r="E1216" s="13" t="s">
        <v>1730</v>
      </c>
      <c r="F1216" s="13" t="s">
        <v>167</v>
      </c>
      <c r="G1216" s="13" t="s">
        <v>2098</v>
      </c>
      <c r="H1216" s="13" t="s">
        <v>101</v>
      </c>
      <c r="I1216" s="21" t="s">
        <v>4381</v>
      </c>
      <c r="J1216" s="21" t="s">
        <v>4382</v>
      </c>
      <c r="K1216" s="21" t="s">
        <v>4383</v>
      </c>
      <c r="L1216" s="22" t="s">
        <v>36</v>
      </c>
      <c r="M1216" s="21" t="s">
        <v>120</v>
      </c>
      <c r="N1216" s="13" t="s">
        <v>106</v>
      </c>
      <c r="O1216" s="23" t="n">
        <v>10.24</v>
      </c>
      <c r="P1216" s="13" t="n">
        <v>3</v>
      </c>
      <c r="Q1216" s="24" t="n">
        <v>46311.024849537</v>
      </c>
      <c r="R1216" s="22"/>
      <c r="S1216" s="13" t="s">
        <v>164</v>
      </c>
      <c r="T1216" s="13" t="str">
        <f aca="false">IF(S1216="Oui",IF(R1216=L1216,"Identique","Changé"),"")</f>
        <v/>
      </c>
    </row>
    <row r="1217" customFormat="false" ht="35.05" hidden="false" customHeight="false" outlineLevel="0" collapsed="false">
      <c r="A1217" s="13" t="s">
        <v>4384</v>
      </c>
      <c r="B1217" s="13" t="s">
        <v>4385</v>
      </c>
      <c r="C1217" s="13" t="n">
        <v>1</v>
      </c>
      <c r="D1217" s="13" t="s">
        <v>135</v>
      </c>
      <c r="E1217" s="13" t="s">
        <v>122</v>
      </c>
      <c r="F1217" s="13" t="s">
        <v>3081</v>
      </c>
      <c r="G1217" s="13" t="s">
        <v>1833</v>
      </c>
      <c r="H1217" s="13" t="s">
        <v>101</v>
      </c>
      <c r="I1217" s="21" t="s">
        <v>4386</v>
      </c>
      <c r="J1217" s="21" t="s">
        <v>1741</v>
      </c>
      <c r="K1217" s="21" t="s">
        <v>4387</v>
      </c>
      <c r="L1217" s="22" t="s">
        <v>39</v>
      </c>
      <c r="M1217" s="21" t="s">
        <v>565</v>
      </c>
      <c r="N1217" s="13" t="s">
        <v>106</v>
      </c>
      <c r="O1217" s="23" t="n">
        <v>11.17</v>
      </c>
      <c r="P1217" s="13" t="n">
        <v>1</v>
      </c>
      <c r="Q1217" s="24" t="n">
        <v>46311.0251388889</v>
      </c>
      <c r="R1217" s="22"/>
      <c r="S1217" s="13" t="s">
        <v>164</v>
      </c>
      <c r="T1217" s="13" t="str">
        <f aca="false">IF(S1217="Oui",IF(R1217=L1217,"Identique","Changé"),"")</f>
        <v/>
      </c>
    </row>
    <row r="1218" customFormat="false" ht="147" hidden="false" customHeight="false" outlineLevel="0" collapsed="false">
      <c r="A1218" s="13" t="s">
        <v>4388</v>
      </c>
      <c r="B1218" s="13" t="s">
        <v>4385</v>
      </c>
      <c r="C1218" s="13" t="n">
        <v>2</v>
      </c>
      <c r="D1218" s="13" t="s">
        <v>135</v>
      </c>
      <c r="E1218" s="13" t="s">
        <v>122</v>
      </c>
      <c r="F1218" s="13" t="s">
        <v>3081</v>
      </c>
      <c r="G1218" s="13" t="s">
        <v>1819</v>
      </c>
      <c r="H1218" s="13" t="s">
        <v>101</v>
      </c>
      <c r="I1218" s="21" t="s">
        <v>4389</v>
      </c>
      <c r="J1218" s="21" t="s">
        <v>1741</v>
      </c>
      <c r="K1218" s="21" t="s">
        <v>4390</v>
      </c>
      <c r="L1218" s="22" t="s">
        <v>39</v>
      </c>
      <c r="M1218" s="21" t="s">
        <v>4391</v>
      </c>
      <c r="N1218" s="13" t="s">
        <v>1085</v>
      </c>
      <c r="O1218" s="23" t="n">
        <v>8.05</v>
      </c>
      <c r="P1218" s="13" t="n">
        <v>1</v>
      </c>
      <c r="Q1218" s="24" t="n">
        <v>46311.0253356482</v>
      </c>
      <c r="R1218" s="22"/>
      <c r="S1218" s="13" t="s">
        <v>164</v>
      </c>
      <c r="T1218" s="13" t="str">
        <f aca="false">IF(S1218="Oui",IF(R1218=L1218,"Identique","Changé"),"")</f>
        <v/>
      </c>
    </row>
    <row r="1219" customFormat="false" ht="91" hidden="false" customHeight="false" outlineLevel="0" collapsed="false">
      <c r="A1219" s="13" t="s">
        <v>4392</v>
      </c>
      <c r="B1219" s="13" t="s">
        <v>4385</v>
      </c>
      <c r="C1219" s="13" t="n">
        <v>3</v>
      </c>
      <c r="D1219" s="13" t="s">
        <v>135</v>
      </c>
      <c r="E1219" s="13" t="s">
        <v>158</v>
      </c>
      <c r="F1219" s="13" t="s">
        <v>2093</v>
      </c>
      <c r="G1219" s="13" t="s">
        <v>159</v>
      </c>
      <c r="H1219" s="13" t="s">
        <v>101</v>
      </c>
      <c r="I1219" s="21" t="s">
        <v>4393</v>
      </c>
      <c r="J1219" s="21" t="s">
        <v>178</v>
      </c>
      <c r="K1219" s="21" t="s">
        <v>4394</v>
      </c>
      <c r="L1219" s="22" t="s">
        <v>37</v>
      </c>
      <c r="M1219" s="21" t="s">
        <v>163</v>
      </c>
      <c r="N1219" s="13" t="s">
        <v>106</v>
      </c>
      <c r="O1219" s="23" t="n">
        <v>25.66</v>
      </c>
      <c r="P1219" s="13" t="n">
        <v>1</v>
      </c>
      <c r="Q1219" s="24" t="n">
        <v>46311.0257407407</v>
      </c>
      <c r="R1219" s="22"/>
      <c r="S1219" s="13" t="s">
        <v>164</v>
      </c>
      <c r="T1219" s="13" t="str">
        <f aca="false">IF(S1219="Oui",IF(R1219=L1219,"Identique","Changé"),"")</f>
        <v/>
      </c>
    </row>
    <row r="1220" customFormat="false" ht="124.6" hidden="false" customHeight="false" outlineLevel="0" collapsed="false">
      <c r="A1220" s="13" t="s">
        <v>4395</v>
      </c>
      <c r="B1220" s="13" t="s">
        <v>4385</v>
      </c>
      <c r="C1220" s="13" t="n">
        <v>4</v>
      </c>
      <c r="D1220" s="13" t="s">
        <v>135</v>
      </c>
      <c r="E1220" s="13" t="s">
        <v>570</v>
      </c>
      <c r="F1220" s="13" t="s">
        <v>2093</v>
      </c>
      <c r="G1220" s="13" t="s">
        <v>1824</v>
      </c>
      <c r="H1220" s="13" t="s">
        <v>152</v>
      </c>
      <c r="I1220" s="21" t="s">
        <v>4396</v>
      </c>
      <c r="J1220" s="21" t="s">
        <v>154</v>
      </c>
      <c r="K1220" s="21" t="s">
        <v>4397</v>
      </c>
      <c r="L1220" s="22" t="s">
        <v>40</v>
      </c>
      <c r="M1220" s="21" t="s">
        <v>156</v>
      </c>
      <c r="N1220" s="13" t="s">
        <v>106</v>
      </c>
      <c r="O1220" s="23" t="n">
        <v>12.03</v>
      </c>
      <c r="P1220" s="13" t="n">
        <v>1</v>
      </c>
      <c r="Q1220" s="24" t="n">
        <v>46311.0259837963</v>
      </c>
      <c r="R1220" s="22"/>
      <c r="S1220" s="13" t="s">
        <v>164</v>
      </c>
      <c r="T1220" s="13" t="str">
        <f aca="false">IF(S1220="Oui",IF(R1220=L1220,"Identique","Changé"),"")</f>
        <v/>
      </c>
    </row>
    <row r="1221" customFormat="false" ht="57.45" hidden="false" customHeight="false" outlineLevel="0" collapsed="false">
      <c r="A1221" s="13" t="s">
        <v>4398</v>
      </c>
      <c r="B1221" s="13" t="s">
        <v>4385</v>
      </c>
      <c r="C1221" s="13" t="n">
        <v>5</v>
      </c>
      <c r="D1221" s="13" t="s">
        <v>135</v>
      </c>
      <c r="E1221" s="13" t="s">
        <v>1730</v>
      </c>
      <c r="F1221" s="13" t="s">
        <v>3081</v>
      </c>
      <c r="G1221" s="13" t="s">
        <v>2142</v>
      </c>
      <c r="H1221" s="13" t="s">
        <v>101</v>
      </c>
      <c r="I1221" s="21" t="s">
        <v>4399</v>
      </c>
      <c r="J1221" s="21" t="s">
        <v>3083</v>
      </c>
      <c r="K1221" s="21" t="s">
        <v>4400</v>
      </c>
      <c r="L1221" s="22" t="s">
        <v>36</v>
      </c>
      <c r="M1221" s="21" t="s">
        <v>120</v>
      </c>
      <c r="N1221" s="13" t="s">
        <v>106</v>
      </c>
      <c r="O1221" s="23" t="n">
        <v>10.78</v>
      </c>
      <c r="P1221" s="13" t="n">
        <v>1</v>
      </c>
      <c r="Q1221" s="24" t="n">
        <v>46311.0262152778</v>
      </c>
      <c r="R1221" s="22"/>
      <c r="S1221" s="13" t="s">
        <v>164</v>
      </c>
      <c r="T1221" s="13" t="str">
        <f aca="false">IF(S1221="Oui",IF(R1221=L1221,"Identique","Changé"),"")</f>
        <v/>
      </c>
    </row>
    <row r="1222" customFormat="false" ht="426.85" hidden="false" customHeight="false" outlineLevel="0" collapsed="false">
      <c r="A1222" s="13" t="s">
        <v>4401</v>
      </c>
      <c r="B1222" s="13" t="s">
        <v>4402</v>
      </c>
      <c r="C1222" s="13" t="n">
        <v>1</v>
      </c>
      <c r="D1222" s="13" t="s">
        <v>97</v>
      </c>
      <c r="E1222" s="13" t="s">
        <v>1730</v>
      </c>
      <c r="F1222" s="13" t="s">
        <v>1925</v>
      </c>
      <c r="G1222" s="13" t="s">
        <v>1753</v>
      </c>
      <c r="H1222" s="13" t="s">
        <v>101</v>
      </c>
      <c r="I1222" s="21" t="s">
        <v>4403</v>
      </c>
      <c r="J1222" s="21" t="s">
        <v>4404</v>
      </c>
      <c r="K1222" s="21" t="s">
        <v>4405</v>
      </c>
      <c r="L1222" s="22" t="s">
        <v>36</v>
      </c>
      <c r="M1222" s="21" t="s">
        <v>4406</v>
      </c>
      <c r="N1222" s="13" t="s">
        <v>106</v>
      </c>
      <c r="O1222" s="23" t="n">
        <v>34.85</v>
      </c>
      <c r="P1222" s="13" t="n">
        <v>1</v>
      </c>
      <c r="Q1222" s="24" t="n">
        <v>46311.0268055556</v>
      </c>
      <c r="R1222" s="22"/>
      <c r="S1222" s="13" t="s">
        <v>164</v>
      </c>
      <c r="T1222" s="13" t="str">
        <f aca="false">IF(S1222="Oui",IF(R1222=L1222,"Identique","Changé"),"")</f>
        <v/>
      </c>
    </row>
    <row r="1223" customFormat="false" ht="46.25" hidden="false" customHeight="false" outlineLevel="0" collapsed="false">
      <c r="A1223" s="13" t="s">
        <v>4407</v>
      </c>
      <c r="B1223" s="13" t="s">
        <v>4402</v>
      </c>
      <c r="C1223" s="13" t="n">
        <v>2</v>
      </c>
      <c r="D1223" s="13" t="s">
        <v>97</v>
      </c>
      <c r="E1223" s="13" t="s">
        <v>570</v>
      </c>
      <c r="F1223" s="13" t="s">
        <v>1925</v>
      </c>
      <c r="G1223" s="13" t="s">
        <v>1785</v>
      </c>
      <c r="H1223" s="13" t="s">
        <v>101</v>
      </c>
      <c r="I1223" s="21" t="s">
        <v>4408</v>
      </c>
      <c r="J1223" s="21" t="s">
        <v>4409</v>
      </c>
      <c r="K1223" s="21" t="s">
        <v>4410</v>
      </c>
      <c r="L1223" s="22" t="s">
        <v>36</v>
      </c>
      <c r="M1223" s="21" t="s">
        <v>235</v>
      </c>
      <c r="N1223" s="13" t="s">
        <v>106</v>
      </c>
      <c r="O1223" s="23" t="n">
        <v>36.79</v>
      </c>
      <c r="P1223" s="13" t="n">
        <v>1</v>
      </c>
      <c r="Q1223" s="24" t="n">
        <v>46311.027337963</v>
      </c>
      <c r="R1223" s="22"/>
      <c r="S1223" s="13" t="s">
        <v>164</v>
      </c>
      <c r="T1223" s="13" t="str">
        <f aca="false">IF(S1223="Oui",IF(R1223=L1223,"Identique","Changé"),"")</f>
        <v/>
      </c>
    </row>
    <row r="1224" customFormat="false" ht="46.25" hidden="false" customHeight="false" outlineLevel="0" collapsed="false">
      <c r="A1224" s="13" t="s">
        <v>4411</v>
      </c>
      <c r="B1224" s="13" t="s">
        <v>4402</v>
      </c>
      <c r="C1224" s="13" t="n">
        <v>3</v>
      </c>
      <c r="D1224" s="13" t="s">
        <v>97</v>
      </c>
      <c r="E1224" s="13" t="s">
        <v>128</v>
      </c>
      <c r="F1224" s="13" t="s">
        <v>728</v>
      </c>
      <c r="G1224" s="13" t="s">
        <v>2071</v>
      </c>
      <c r="H1224" s="13" t="s">
        <v>101</v>
      </c>
      <c r="I1224" s="21" t="s">
        <v>4412</v>
      </c>
      <c r="J1224" s="21" t="s">
        <v>195</v>
      </c>
      <c r="K1224" s="21" t="s">
        <v>4413</v>
      </c>
      <c r="L1224" s="22" t="s">
        <v>36</v>
      </c>
      <c r="M1224" s="21" t="s">
        <v>120</v>
      </c>
      <c r="N1224" s="13" t="s">
        <v>106</v>
      </c>
      <c r="O1224" s="23" t="n">
        <v>17.64</v>
      </c>
      <c r="P1224" s="13" t="n">
        <v>1</v>
      </c>
      <c r="Q1224" s="24" t="n">
        <v>46311.0276388889</v>
      </c>
      <c r="R1224" s="22"/>
      <c r="S1224" s="13" t="s">
        <v>164</v>
      </c>
      <c r="T1224" s="13" t="str">
        <f aca="false">IF(S1224="Oui",IF(R1224=L1224,"Identique","Changé"),"")</f>
        <v/>
      </c>
    </row>
    <row r="1225" customFormat="false" ht="46.25" hidden="false" customHeight="false" outlineLevel="0" collapsed="false">
      <c r="A1225" s="13" t="s">
        <v>4414</v>
      </c>
      <c r="B1225" s="13" t="s">
        <v>4402</v>
      </c>
      <c r="C1225" s="13" t="n">
        <v>4</v>
      </c>
      <c r="D1225" s="13" t="s">
        <v>97</v>
      </c>
      <c r="E1225" s="13" t="s">
        <v>122</v>
      </c>
      <c r="F1225" s="13" t="s">
        <v>728</v>
      </c>
      <c r="G1225" s="13" t="s">
        <v>1874</v>
      </c>
      <c r="H1225" s="13" t="s">
        <v>101</v>
      </c>
      <c r="I1225" s="21" t="s">
        <v>4415</v>
      </c>
      <c r="J1225" s="21" t="s">
        <v>1876</v>
      </c>
      <c r="K1225" s="21" t="s">
        <v>4416</v>
      </c>
      <c r="L1225" s="22" t="s">
        <v>36</v>
      </c>
      <c r="M1225" s="21" t="s">
        <v>1878</v>
      </c>
      <c r="N1225" s="13" t="s">
        <v>1085</v>
      </c>
      <c r="O1225" s="23" t="n">
        <v>11.01</v>
      </c>
      <c r="P1225" s="13" t="n">
        <v>1</v>
      </c>
      <c r="Q1225" s="24" t="n">
        <v>46311.0278703704</v>
      </c>
      <c r="R1225" s="22"/>
      <c r="S1225" s="13" t="s">
        <v>164</v>
      </c>
      <c r="T1225" s="13" t="str">
        <f aca="false">IF(S1225="Oui",IF(R1225=L1225,"Identique","Changé"),"")</f>
        <v/>
      </c>
    </row>
    <row r="1226" customFormat="false" ht="46.25" hidden="false" customHeight="false" outlineLevel="0" collapsed="false">
      <c r="A1226" s="13" t="s">
        <v>4417</v>
      </c>
      <c r="B1226" s="13" t="s">
        <v>4402</v>
      </c>
      <c r="C1226" s="13" t="n">
        <v>5</v>
      </c>
      <c r="D1226" s="13" t="s">
        <v>97</v>
      </c>
      <c r="E1226" s="13" t="s">
        <v>185</v>
      </c>
      <c r="F1226" s="13" t="s">
        <v>1925</v>
      </c>
      <c r="G1226" s="13" t="s">
        <v>2113</v>
      </c>
      <c r="H1226" s="13" t="s">
        <v>101</v>
      </c>
      <c r="I1226" s="21" t="s">
        <v>4418</v>
      </c>
      <c r="J1226" s="21" t="s">
        <v>4419</v>
      </c>
      <c r="K1226" s="21" t="s">
        <v>4420</v>
      </c>
      <c r="L1226" s="22" t="s">
        <v>36</v>
      </c>
      <c r="M1226" s="21" t="s">
        <v>427</v>
      </c>
      <c r="N1226" s="13" t="s">
        <v>106</v>
      </c>
      <c r="O1226" s="23" t="n">
        <v>13.18</v>
      </c>
      <c r="P1226" s="13" t="n">
        <v>1</v>
      </c>
      <c r="Q1226" s="24" t="n">
        <v>46311.0281365741</v>
      </c>
      <c r="R1226" s="22"/>
      <c r="S1226" s="13" t="s">
        <v>164</v>
      </c>
      <c r="T1226" s="13" t="str">
        <f aca="false">IF(S1226="Oui",IF(R1226=L1226,"Identique","Changé"),"")</f>
        <v/>
      </c>
    </row>
    <row r="1227" customFormat="false" ht="68.65" hidden="false" customHeight="false" outlineLevel="0" collapsed="false">
      <c r="A1227" s="13" t="s">
        <v>4421</v>
      </c>
      <c r="B1227" s="13" t="s">
        <v>4422</v>
      </c>
      <c r="C1227" s="13" t="n">
        <v>1</v>
      </c>
      <c r="D1227" s="13" t="s">
        <v>135</v>
      </c>
      <c r="E1227" s="13" t="s">
        <v>158</v>
      </c>
      <c r="F1227" s="13" t="s">
        <v>3116</v>
      </c>
      <c r="G1227" s="13" t="s">
        <v>343</v>
      </c>
      <c r="H1227" s="13" t="s">
        <v>101</v>
      </c>
      <c r="I1227" s="21" t="s">
        <v>4423</v>
      </c>
      <c r="J1227" s="21" t="s">
        <v>311</v>
      </c>
      <c r="K1227" s="21" t="s">
        <v>4424</v>
      </c>
      <c r="L1227" s="22" t="s">
        <v>37</v>
      </c>
      <c r="M1227" s="21" t="s">
        <v>163</v>
      </c>
      <c r="N1227" s="13" t="s">
        <v>106</v>
      </c>
      <c r="O1227" s="23" t="n">
        <v>66.85</v>
      </c>
      <c r="P1227" s="13" t="n">
        <v>1</v>
      </c>
      <c r="Q1227" s="24" t="n">
        <v>46311.0290856482</v>
      </c>
      <c r="R1227" s="22"/>
      <c r="S1227" s="13" t="s">
        <v>164</v>
      </c>
      <c r="T1227" s="13" t="str">
        <f aca="false">IF(S1227="Oui",IF(R1227=L1227,"Identique","Changé"),"")</f>
        <v/>
      </c>
    </row>
    <row r="1228" customFormat="false" ht="46.25" hidden="false" customHeight="false" outlineLevel="0" collapsed="false">
      <c r="A1228" s="13" t="s">
        <v>4425</v>
      </c>
      <c r="B1228" s="13" t="s">
        <v>4422</v>
      </c>
      <c r="C1228" s="13" t="n">
        <v>2</v>
      </c>
      <c r="D1228" s="13" t="s">
        <v>135</v>
      </c>
      <c r="E1228" s="13" t="s">
        <v>128</v>
      </c>
      <c r="F1228" s="13" t="s">
        <v>3116</v>
      </c>
      <c r="G1228" s="13" t="s">
        <v>2024</v>
      </c>
      <c r="H1228" s="13" t="s">
        <v>101</v>
      </c>
      <c r="I1228" s="21" t="s">
        <v>4426</v>
      </c>
      <c r="J1228" s="21" t="s">
        <v>4427</v>
      </c>
      <c r="K1228" s="21" t="s">
        <v>4428</v>
      </c>
      <c r="L1228" s="22" t="s">
        <v>36</v>
      </c>
      <c r="M1228" s="21" t="s">
        <v>120</v>
      </c>
      <c r="N1228" s="13" t="s">
        <v>106</v>
      </c>
      <c r="O1228" s="23" t="n">
        <v>14.55</v>
      </c>
      <c r="P1228" s="13" t="n">
        <v>1</v>
      </c>
      <c r="Q1228" s="24" t="n">
        <v>46311.0293634259</v>
      </c>
      <c r="R1228" s="22"/>
      <c r="S1228" s="13" t="s">
        <v>164</v>
      </c>
      <c r="T1228" s="13" t="str">
        <f aca="false">IF(S1228="Oui",IF(R1228=L1228,"Identique","Changé"),"")</f>
        <v/>
      </c>
    </row>
    <row r="1229" customFormat="false" ht="46.25" hidden="false" customHeight="false" outlineLevel="0" collapsed="false">
      <c r="A1229" s="13" t="s">
        <v>4429</v>
      </c>
      <c r="B1229" s="13" t="s">
        <v>4422</v>
      </c>
      <c r="C1229" s="13" t="n">
        <v>3</v>
      </c>
      <c r="D1229" s="13" t="s">
        <v>135</v>
      </c>
      <c r="E1229" s="13" t="s">
        <v>570</v>
      </c>
      <c r="F1229" s="13" t="s">
        <v>3116</v>
      </c>
      <c r="G1229" s="13" t="s">
        <v>1859</v>
      </c>
      <c r="H1229" s="13" t="s">
        <v>101</v>
      </c>
      <c r="I1229" s="21" t="s">
        <v>4430</v>
      </c>
      <c r="J1229" s="21" t="s">
        <v>1741</v>
      </c>
      <c r="K1229" s="21" t="s">
        <v>4431</v>
      </c>
      <c r="L1229" s="22" t="s">
        <v>36</v>
      </c>
      <c r="M1229" s="21" t="s">
        <v>235</v>
      </c>
      <c r="N1229" s="13" t="s">
        <v>106</v>
      </c>
      <c r="O1229" s="23" t="n">
        <v>9.26</v>
      </c>
      <c r="P1229" s="13" t="n">
        <v>1</v>
      </c>
      <c r="Q1229" s="24" t="n">
        <v>46311.0295717593</v>
      </c>
      <c r="R1229" s="22"/>
      <c r="S1229" s="13" t="s">
        <v>164</v>
      </c>
      <c r="T1229" s="13" t="str">
        <f aca="false">IF(S1229="Oui",IF(R1229=L1229,"Identique","Changé"),"")</f>
        <v/>
      </c>
    </row>
    <row r="1230" customFormat="false" ht="35.05" hidden="false" customHeight="false" outlineLevel="0" collapsed="false">
      <c r="A1230" s="13" t="s">
        <v>4432</v>
      </c>
      <c r="B1230" s="13" t="s">
        <v>4422</v>
      </c>
      <c r="C1230" s="13" t="n">
        <v>4</v>
      </c>
      <c r="D1230" s="13" t="s">
        <v>135</v>
      </c>
      <c r="E1230" s="13" t="s">
        <v>128</v>
      </c>
      <c r="F1230" s="13" t="s">
        <v>3116</v>
      </c>
      <c r="G1230" s="13" t="s">
        <v>968</v>
      </c>
      <c r="H1230" s="13" t="s">
        <v>101</v>
      </c>
      <c r="I1230" s="21" t="s">
        <v>4433</v>
      </c>
      <c r="J1230" s="21" t="s">
        <v>355</v>
      </c>
      <c r="K1230" s="21" t="s">
        <v>4434</v>
      </c>
      <c r="L1230" s="22" t="s">
        <v>36</v>
      </c>
      <c r="M1230" s="21" t="s">
        <v>120</v>
      </c>
      <c r="N1230" s="13" t="s">
        <v>106</v>
      </c>
      <c r="O1230" s="23" t="n">
        <v>16.26</v>
      </c>
      <c r="P1230" s="13" t="n">
        <v>1</v>
      </c>
      <c r="Q1230" s="24" t="n">
        <v>46311.0298726852</v>
      </c>
      <c r="R1230" s="22"/>
      <c r="S1230" s="13" t="s">
        <v>164</v>
      </c>
      <c r="T1230" s="13" t="str">
        <f aca="false">IF(S1230="Oui",IF(R1230=L1230,"Identique","Changé"),"")</f>
        <v/>
      </c>
    </row>
    <row r="1231" customFormat="false" ht="46.25" hidden="false" customHeight="false" outlineLevel="0" collapsed="false">
      <c r="A1231" s="13" t="s">
        <v>4435</v>
      </c>
      <c r="B1231" s="13" t="s">
        <v>4422</v>
      </c>
      <c r="C1231" s="13" t="n">
        <v>5</v>
      </c>
      <c r="D1231" s="13" t="s">
        <v>135</v>
      </c>
      <c r="E1231" s="13" t="s">
        <v>122</v>
      </c>
      <c r="F1231" s="13" t="s">
        <v>3116</v>
      </c>
      <c r="G1231" s="13" t="s">
        <v>231</v>
      </c>
      <c r="H1231" s="13" t="s">
        <v>101</v>
      </c>
      <c r="I1231" s="21" t="s">
        <v>4436</v>
      </c>
      <c r="J1231" s="21" t="s">
        <v>1662</v>
      </c>
      <c r="K1231" s="21" t="s">
        <v>4437</v>
      </c>
      <c r="L1231" s="22" t="s">
        <v>36</v>
      </c>
      <c r="M1231" s="21" t="s">
        <v>120</v>
      </c>
      <c r="N1231" s="13" t="s">
        <v>106</v>
      </c>
      <c r="O1231" s="23" t="n">
        <v>9.61</v>
      </c>
      <c r="P1231" s="13" t="n">
        <v>1</v>
      </c>
      <c r="Q1231" s="24" t="n">
        <v>46311.0300925926</v>
      </c>
      <c r="R1231" s="22"/>
      <c r="S1231" s="13" t="s">
        <v>164</v>
      </c>
      <c r="T1231" s="13" t="str">
        <f aca="false">IF(S1231="Oui",IF(R1231=L1231,"Identique","Changé"),"")</f>
        <v/>
      </c>
    </row>
    <row r="1232" customFormat="false" ht="79.85" hidden="false" customHeight="false" outlineLevel="0" collapsed="false">
      <c r="A1232" s="13" t="s">
        <v>4438</v>
      </c>
      <c r="B1232" s="13" t="s">
        <v>4439</v>
      </c>
      <c r="C1232" s="13" t="n">
        <v>1</v>
      </c>
      <c r="D1232" s="13" t="s">
        <v>97</v>
      </c>
      <c r="E1232" s="13" t="s">
        <v>122</v>
      </c>
      <c r="F1232" s="13" t="s">
        <v>409</v>
      </c>
      <c r="G1232" s="13" t="s">
        <v>1840</v>
      </c>
      <c r="H1232" s="13" t="s">
        <v>101</v>
      </c>
      <c r="I1232" s="21" t="s">
        <v>4440</v>
      </c>
      <c r="J1232" s="21" t="s">
        <v>512</v>
      </c>
      <c r="K1232" s="21" t="s">
        <v>4441</v>
      </c>
      <c r="L1232" s="22" t="s">
        <v>37</v>
      </c>
      <c r="M1232" s="21" t="s">
        <v>163</v>
      </c>
      <c r="N1232" s="13" t="s">
        <v>106</v>
      </c>
      <c r="O1232" s="23" t="n">
        <v>30.16</v>
      </c>
      <c r="P1232" s="13" t="n">
        <v>1</v>
      </c>
      <c r="Q1232" s="24" t="n">
        <v>46311.0306134259</v>
      </c>
      <c r="R1232" s="22"/>
      <c r="S1232" s="13" t="s">
        <v>164</v>
      </c>
      <c r="T1232" s="13" t="str">
        <f aca="false">IF(S1232="Oui",IF(R1232=L1232,"Identique","Changé"),"")</f>
        <v/>
      </c>
    </row>
    <row r="1233" customFormat="false" ht="57.45" hidden="false" customHeight="false" outlineLevel="0" collapsed="false">
      <c r="A1233" s="13" t="s">
        <v>4442</v>
      </c>
      <c r="B1233" s="13" t="s">
        <v>4439</v>
      </c>
      <c r="C1233" s="13" t="n">
        <v>2</v>
      </c>
      <c r="D1233" s="13" t="s">
        <v>97</v>
      </c>
      <c r="E1233" s="13" t="s">
        <v>122</v>
      </c>
      <c r="F1233" s="13" t="s">
        <v>409</v>
      </c>
      <c r="G1233" s="13" t="s">
        <v>1848</v>
      </c>
      <c r="H1233" s="13" t="s">
        <v>101</v>
      </c>
      <c r="I1233" s="21" t="s">
        <v>4443</v>
      </c>
      <c r="J1233" s="21" t="s">
        <v>2690</v>
      </c>
      <c r="K1233" s="21" t="s">
        <v>4444</v>
      </c>
      <c r="L1233" s="22" t="s">
        <v>36</v>
      </c>
      <c r="M1233" s="21" t="s">
        <v>235</v>
      </c>
      <c r="N1233" s="13" t="s">
        <v>106</v>
      </c>
      <c r="O1233" s="23" t="n">
        <v>9.66</v>
      </c>
      <c r="P1233" s="13" t="n">
        <v>1</v>
      </c>
      <c r="Q1233" s="24" t="n">
        <v>46311.0308217593</v>
      </c>
      <c r="R1233" s="22"/>
      <c r="S1233" s="13" t="s">
        <v>164</v>
      </c>
      <c r="T1233" s="13" t="str">
        <f aca="false">IF(S1233="Oui",IF(R1233=L1233,"Identique","Changé"),"")</f>
        <v/>
      </c>
    </row>
    <row r="1234" customFormat="false" ht="46.25" hidden="false" customHeight="false" outlineLevel="0" collapsed="false">
      <c r="A1234" s="13" t="s">
        <v>4445</v>
      </c>
      <c r="B1234" s="13" t="s">
        <v>4439</v>
      </c>
      <c r="C1234" s="13" t="n">
        <v>3</v>
      </c>
      <c r="D1234" s="13" t="s">
        <v>97</v>
      </c>
      <c r="E1234" s="13" t="s">
        <v>570</v>
      </c>
      <c r="F1234" s="13" t="s">
        <v>524</v>
      </c>
      <c r="G1234" s="13" t="s">
        <v>1883</v>
      </c>
      <c r="H1234" s="13" t="s">
        <v>152</v>
      </c>
      <c r="I1234" s="21" t="s">
        <v>4446</v>
      </c>
      <c r="J1234" s="21" t="s">
        <v>154</v>
      </c>
      <c r="K1234" s="21" t="s">
        <v>4447</v>
      </c>
      <c r="L1234" s="22" t="s">
        <v>40</v>
      </c>
      <c r="M1234" s="21" t="s">
        <v>156</v>
      </c>
      <c r="N1234" s="13" t="s">
        <v>106</v>
      </c>
      <c r="O1234" s="23" t="n">
        <v>11.89</v>
      </c>
      <c r="P1234" s="13" t="n">
        <v>1</v>
      </c>
      <c r="Q1234" s="24" t="n">
        <v>46311.0310648148</v>
      </c>
      <c r="R1234" s="22"/>
      <c r="S1234" s="13" t="s">
        <v>164</v>
      </c>
      <c r="T1234" s="13" t="str">
        <f aca="false">IF(S1234="Oui",IF(R1234=L1234,"Identique","Changé"),"")</f>
        <v/>
      </c>
    </row>
    <row r="1235" customFormat="false" ht="35.05" hidden="false" customHeight="false" outlineLevel="0" collapsed="false">
      <c r="A1235" s="13" t="s">
        <v>4448</v>
      </c>
      <c r="B1235" s="13" t="s">
        <v>4439</v>
      </c>
      <c r="C1235" s="13" t="n">
        <v>4</v>
      </c>
      <c r="D1235" s="13" t="s">
        <v>97</v>
      </c>
      <c r="E1235" s="13" t="s">
        <v>128</v>
      </c>
      <c r="F1235" s="13" t="s">
        <v>524</v>
      </c>
      <c r="G1235" s="13" t="s">
        <v>1975</v>
      </c>
      <c r="H1235" s="13" t="s">
        <v>101</v>
      </c>
      <c r="I1235" s="21" t="s">
        <v>4449</v>
      </c>
      <c r="J1235" s="21" t="s">
        <v>284</v>
      </c>
      <c r="K1235" s="21" t="s">
        <v>4450</v>
      </c>
      <c r="L1235" s="22" t="s">
        <v>36</v>
      </c>
      <c r="M1235" s="21" t="s">
        <v>120</v>
      </c>
      <c r="N1235" s="13" t="s">
        <v>106</v>
      </c>
      <c r="O1235" s="23" t="n">
        <v>8.81</v>
      </c>
      <c r="P1235" s="13" t="n">
        <v>1</v>
      </c>
      <c r="Q1235" s="24" t="n">
        <v>46311.0312615741</v>
      </c>
      <c r="R1235" s="22"/>
      <c r="S1235" s="13" t="s">
        <v>164</v>
      </c>
      <c r="T1235" s="13" t="str">
        <f aca="false">IF(S1235="Oui",IF(R1235=L1235,"Identique","Changé"),"")</f>
        <v/>
      </c>
    </row>
    <row r="1236" customFormat="false" ht="46.25" hidden="false" customHeight="false" outlineLevel="0" collapsed="false">
      <c r="A1236" s="13" t="s">
        <v>4451</v>
      </c>
      <c r="B1236" s="13" t="s">
        <v>4439</v>
      </c>
      <c r="C1236" s="13" t="n">
        <v>5</v>
      </c>
      <c r="D1236" s="13" t="s">
        <v>97</v>
      </c>
      <c r="E1236" s="13" t="s">
        <v>122</v>
      </c>
      <c r="F1236" s="13" t="s">
        <v>409</v>
      </c>
      <c r="G1236" s="13" t="s">
        <v>1395</v>
      </c>
      <c r="H1236" s="13" t="s">
        <v>101</v>
      </c>
      <c r="I1236" s="21" t="s">
        <v>4452</v>
      </c>
      <c r="J1236" s="21" t="s">
        <v>512</v>
      </c>
      <c r="K1236" s="21" t="s">
        <v>4453</v>
      </c>
      <c r="L1236" s="22" t="s">
        <v>36</v>
      </c>
      <c r="M1236" s="21" t="s">
        <v>1398</v>
      </c>
      <c r="N1236" s="13" t="s">
        <v>1085</v>
      </c>
      <c r="O1236" s="23" t="n">
        <v>10.02</v>
      </c>
      <c r="P1236" s="13" t="n">
        <v>1</v>
      </c>
      <c r="Q1236" s="24" t="n">
        <v>46311.0314930556</v>
      </c>
      <c r="R1236" s="22"/>
      <c r="S1236" s="13" t="s">
        <v>164</v>
      </c>
      <c r="T1236" s="13" t="str">
        <f aca="false">IF(S1236="Oui",IF(R1236=L1236,"Identique","Changé"),"")</f>
        <v/>
      </c>
    </row>
    <row r="1237" customFormat="false" ht="169.4" hidden="false" customHeight="false" outlineLevel="0" collapsed="false">
      <c r="A1237" s="13" t="s">
        <v>4454</v>
      </c>
      <c r="B1237" s="13" t="s">
        <v>4455</v>
      </c>
      <c r="C1237" s="13" t="n">
        <v>1</v>
      </c>
      <c r="D1237" s="13" t="s">
        <v>135</v>
      </c>
      <c r="E1237" s="13" t="s">
        <v>1730</v>
      </c>
      <c r="F1237" s="13" t="s">
        <v>3153</v>
      </c>
      <c r="G1237" s="13" t="s">
        <v>1753</v>
      </c>
      <c r="H1237" s="13" t="s">
        <v>101</v>
      </c>
      <c r="I1237" s="21" t="s">
        <v>4456</v>
      </c>
      <c r="J1237" s="21" t="s">
        <v>4457</v>
      </c>
      <c r="K1237" s="21" t="s">
        <v>4458</v>
      </c>
      <c r="L1237" s="22" t="s">
        <v>37</v>
      </c>
      <c r="M1237" s="21" t="s">
        <v>163</v>
      </c>
      <c r="N1237" s="13" t="s">
        <v>106</v>
      </c>
      <c r="O1237" s="23" t="n">
        <v>18.92</v>
      </c>
      <c r="P1237" s="13" t="n">
        <v>1</v>
      </c>
      <c r="Q1237" s="24" t="n">
        <v>46311.031875</v>
      </c>
      <c r="R1237" s="22"/>
      <c r="S1237" s="13" t="s">
        <v>164</v>
      </c>
      <c r="T1237" s="13" t="str">
        <f aca="false">IF(S1237="Oui",IF(R1237=L1237,"Identique","Changé"),"")</f>
        <v/>
      </c>
    </row>
    <row r="1238" customFormat="false" ht="57.45" hidden="false" customHeight="false" outlineLevel="0" collapsed="false">
      <c r="A1238" s="13" t="s">
        <v>4459</v>
      </c>
      <c r="B1238" s="13" t="s">
        <v>4455</v>
      </c>
      <c r="C1238" s="13" t="n">
        <v>2</v>
      </c>
      <c r="D1238" s="13" t="s">
        <v>135</v>
      </c>
      <c r="E1238" s="13" t="s">
        <v>114</v>
      </c>
      <c r="F1238" s="13" t="s">
        <v>3153</v>
      </c>
      <c r="G1238" s="13" t="s">
        <v>1887</v>
      </c>
      <c r="H1238" s="13" t="s">
        <v>101</v>
      </c>
      <c r="I1238" s="21" t="s">
        <v>4460</v>
      </c>
      <c r="J1238" s="21" t="s">
        <v>284</v>
      </c>
      <c r="K1238" s="21" t="s">
        <v>4461</v>
      </c>
      <c r="L1238" s="22" t="s">
        <v>37</v>
      </c>
      <c r="M1238" s="21" t="s">
        <v>163</v>
      </c>
      <c r="N1238" s="13" t="s">
        <v>106</v>
      </c>
      <c r="O1238" s="23" t="n">
        <v>11.35</v>
      </c>
      <c r="P1238" s="13" t="n">
        <v>1</v>
      </c>
      <c r="Q1238" s="24" t="n">
        <v>46311.0321064815</v>
      </c>
      <c r="R1238" s="22"/>
      <c r="S1238" s="13" t="s">
        <v>164</v>
      </c>
      <c r="T1238" s="13" t="str">
        <f aca="false">IF(S1238="Oui",IF(R1238=L1238,"Identique","Changé"),"")</f>
        <v/>
      </c>
    </row>
    <row r="1239" customFormat="false" ht="46.25" hidden="false" customHeight="false" outlineLevel="0" collapsed="false">
      <c r="A1239" s="13" t="s">
        <v>4462</v>
      </c>
      <c r="B1239" s="13" t="s">
        <v>4455</v>
      </c>
      <c r="C1239" s="13" t="n">
        <v>3</v>
      </c>
      <c r="D1239" s="13" t="s">
        <v>135</v>
      </c>
      <c r="E1239" s="13" t="s">
        <v>158</v>
      </c>
      <c r="F1239" s="13" t="s">
        <v>3153</v>
      </c>
      <c r="G1239" s="13" t="s">
        <v>159</v>
      </c>
      <c r="H1239" s="13" t="s">
        <v>101</v>
      </c>
      <c r="I1239" s="21" t="s">
        <v>4463</v>
      </c>
      <c r="J1239" s="21" t="s">
        <v>2946</v>
      </c>
      <c r="K1239" s="21" t="s">
        <v>4464</v>
      </c>
      <c r="L1239" s="22" t="s">
        <v>37</v>
      </c>
      <c r="M1239" s="21" t="s">
        <v>163</v>
      </c>
      <c r="N1239" s="13" t="s">
        <v>106</v>
      </c>
      <c r="O1239" s="23" t="n">
        <v>10.53</v>
      </c>
      <c r="P1239" s="13" t="n">
        <v>1</v>
      </c>
      <c r="Q1239" s="24" t="n">
        <v>46311.0323263889</v>
      </c>
      <c r="R1239" s="22"/>
      <c r="S1239" s="13" t="s">
        <v>164</v>
      </c>
      <c r="T1239" s="13" t="str">
        <f aca="false">IF(S1239="Oui",IF(R1239=L1239,"Identique","Changé"),"")</f>
        <v/>
      </c>
    </row>
    <row r="1240" customFormat="false" ht="68.65" hidden="false" customHeight="false" outlineLevel="0" collapsed="false">
      <c r="A1240" s="13" t="s">
        <v>4465</v>
      </c>
      <c r="B1240" s="13" t="s">
        <v>4455</v>
      </c>
      <c r="C1240" s="13" t="n">
        <v>4</v>
      </c>
      <c r="D1240" s="13" t="s">
        <v>135</v>
      </c>
      <c r="E1240" s="13" t="s">
        <v>185</v>
      </c>
      <c r="F1240" s="13" t="s">
        <v>3153</v>
      </c>
      <c r="G1240" s="13" t="s">
        <v>2153</v>
      </c>
      <c r="H1240" s="13" t="s">
        <v>101</v>
      </c>
      <c r="I1240" s="21" t="s">
        <v>4466</v>
      </c>
      <c r="J1240" s="21" t="s">
        <v>2155</v>
      </c>
      <c r="K1240" s="21" t="s">
        <v>4467</v>
      </c>
      <c r="L1240" s="22" t="s">
        <v>37</v>
      </c>
      <c r="M1240" s="21" t="s">
        <v>163</v>
      </c>
      <c r="N1240" s="13" t="s">
        <v>106</v>
      </c>
      <c r="O1240" s="23" t="n">
        <v>12.87</v>
      </c>
      <c r="P1240" s="13" t="n">
        <v>1</v>
      </c>
      <c r="Q1240" s="24" t="n">
        <v>46311.0325810185</v>
      </c>
      <c r="R1240" s="22"/>
      <c r="S1240" s="13" t="s">
        <v>164</v>
      </c>
      <c r="T1240" s="13" t="str">
        <f aca="false">IF(S1240="Oui",IF(R1240=L1240,"Identique","Changé"),"")</f>
        <v/>
      </c>
    </row>
    <row r="1241" customFormat="false" ht="57.45" hidden="false" customHeight="false" outlineLevel="0" collapsed="false">
      <c r="A1241" s="13" t="s">
        <v>4468</v>
      </c>
      <c r="B1241" s="13" t="s">
        <v>4455</v>
      </c>
      <c r="C1241" s="13" t="n">
        <v>5</v>
      </c>
      <c r="D1241" s="13" t="s">
        <v>135</v>
      </c>
      <c r="E1241" s="13" t="s">
        <v>114</v>
      </c>
      <c r="F1241" s="13" t="s">
        <v>3153</v>
      </c>
      <c r="G1241" s="13" t="s">
        <v>2123</v>
      </c>
      <c r="H1241" s="13" t="s">
        <v>101</v>
      </c>
      <c r="I1241" s="21" t="s">
        <v>4469</v>
      </c>
      <c r="J1241" s="21" t="s">
        <v>2149</v>
      </c>
      <c r="K1241" s="21" t="s">
        <v>4470</v>
      </c>
      <c r="L1241" s="22" t="s">
        <v>37</v>
      </c>
      <c r="M1241" s="21" t="s">
        <v>163</v>
      </c>
      <c r="N1241" s="13" t="s">
        <v>106</v>
      </c>
      <c r="O1241" s="23" t="n">
        <v>11.64</v>
      </c>
      <c r="P1241" s="13" t="n">
        <v>1</v>
      </c>
      <c r="Q1241" s="24" t="n">
        <v>46311.0328240741</v>
      </c>
      <c r="R1241" s="22"/>
      <c r="S1241" s="13" t="s">
        <v>164</v>
      </c>
      <c r="T1241" s="13" t="str">
        <f aca="false">IF(S1241="Oui",IF(R1241=L1241,"Identique","Changé"),"")</f>
        <v/>
      </c>
    </row>
    <row r="1242" customFormat="false" ht="79.85" hidden="false" customHeight="false" outlineLevel="0" collapsed="false">
      <c r="A1242" s="13" t="s">
        <v>4471</v>
      </c>
      <c r="B1242" s="13" t="s">
        <v>4472</v>
      </c>
      <c r="C1242" s="13" t="n">
        <v>1</v>
      </c>
      <c r="D1242" s="13" t="s">
        <v>97</v>
      </c>
      <c r="E1242" s="13" t="s">
        <v>158</v>
      </c>
      <c r="F1242" s="13" t="s">
        <v>701</v>
      </c>
      <c r="G1242" s="13" t="s">
        <v>159</v>
      </c>
      <c r="H1242" s="13" t="s">
        <v>101</v>
      </c>
      <c r="I1242" s="21" t="s">
        <v>4473</v>
      </c>
      <c r="J1242" s="21" t="s">
        <v>178</v>
      </c>
      <c r="K1242" s="21" t="s">
        <v>4474</v>
      </c>
      <c r="L1242" s="22" t="s">
        <v>36</v>
      </c>
      <c r="M1242" s="21" t="s">
        <v>235</v>
      </c>
      <c r="N1242" s="13" t="s">
        <v>106</v>
      </c>
      <c r="O1242" s="23" t="n">
        <v>46.87</v>
      </c>
      <c r="P1242" s="13" t="n">
        <v>1</v>
      </c>
      <c r="Q1242" s="24" t="n">
        <v>46311.0335416667</v>
      </c>
      <c r="R1242" s="22"/>
      <c r="S1242" s="13" t="s">
        <v>164</v>
      </c>
      <c r="T1242" s="13" t="str">
        <f aca="false">IF(S1242="Oui",IF(R1242=L1242,"Identique","Changé"),"")</f>
        <v/>
      </c>
    </row>
    <row r="1243" customFormat="false" ht="79.85" hidden="false" customHeight="false" outlineLevel="0" collapsed="false">
      <c r="A1243" s="13" t="s">
        <v>4475</v>
      </c>
      <c r="B1243" s="13" t="s">
        <v>4472</v>
      </c>
      <c r="C1243" s="13" t="n">
        <v>2</v>
      </c>
      <c r="D1243" s="13" t="s">
        <v>97</v>
      </c>
      <c r="E1243" s="13" t="s">
        <v>122</v>
      </c>
      <c r="F1243" s="13" t="s">
        <v>701</v>
      </c>
      <c r="G1243" s="13" t="s">
        <v>282</v>
      </c>
      <c r="H1243" s="13" t="s">
        <v>101</v>
      </c>
      <c r="I1243" s="21" t="s">
        <v>4476</v>
      </c>
      <c r="J1243" s="21" t="s">
        <v>512</v>
      </c>
      <c r="K1243" s="21" t="s">
        <v>4477</v>
      </c>
      <c r="L1243" s="22" t="s">
        <v>36</v>
      </c>
      <c r="M1243" s="21" t="s">
        <v>120</v>
      </c>
      <c r="N1243" s="13" t="s">
        <v>106</v>
      </c>
      <c r="O1243" s="23" t="n">
        <v>12.19</v>
      </c>
      <c r="P1243" s="13" t="n">
        <v>1</v>
      </c>
      <c r="Q1243" s="24" t="n">
        <v>46311.0337847222</v>
      </c>
      <c r="R1243" s="22"/>
      <c r="S1243" s="13" t="s">
        <v>164</v>
      </c>
      <c r="T1243" s="13" t="str">
        <f aca="false">IF(S1243="Oui",IF(R1243=L1243,"Identique","Changé"),"")</f>
        <v/>
      </c>
    </row>
    <row r="1244" customFormat="false" ht="68.65" hidden="false" customHeight="false" outlineLevel="0" collapsed="false">
      <c r="A1244" s="13" t="s">
        <v>4478</v>
      </c>
      <c r="B1244" s="13" t="s">
        <v>4472</v>
      </c>
      <c r="C1244" s="13" t="n">
        <v>3</v>
      </c>
      <c r="D1244" s="13" t="s">
        <v>97</v>
      </c>
      <c r="E1244" s="13" t="s">
        <v>171</v>
      </c>
      <c r="F1244" s="13" t="s">
        <v>115</v>
      </c>
      <c r="G1244" s="13" t="s">
        <v>519</v>
      </c>
      <c r="H1244" s="13" t="s">
        <v>101</v>
      </c>
      <c r="I1244" s="21" t="s">
        <v>4479</v>
      </c>
      <c r="J1244" s="21" t="s">
        <v>284</v>
      </c>
      <c r="K1244" s="21" t="s">
        <v>4480</v>
      </c>
      <c r="L1244" s="22" t="s">
        <v>37</v>
      </c>
      <c r="M1244" s="21" t="s">
        <v>163</v>
      </c>
      <c r="N1244" s="13" t="s">
        <v>106</v>
      </c>
      <c r="O1244" s="23" t="n">
        <v>10.52</v>
      </c>
      <c r="P1244" s="13" t="n">
        <v>1</v>
      </c>
      <c r="Q1244" s="24" t="n">
        <v>46311.0340046296</v>
      </c>
      <c r="R1244" s="22"/>
      <c r="S1244" s="13" t="s">
        <v>164</v>
      </c>
      <c r="T1244" s="13" t="str">
        <f aca="false">IF(S1244="Oui",IF(R1244=L1244,"Identique","Changé"),"")</f>
        <v/>
      </c>
    </row>
    <row r="1245" customFormat="false" ht="68.65" hidden="false" customHeight="false" outlineLevel="0" collapsed="false">
      <c r="A1245" s="13" t="s">
        <v>4481</v>
      </c>
      <c r="B1245" s="13" t="s">
        <v>4472</v>
      </c>
      <c r="C1245" s="13" t="n">
        <v>4</v>
      </c>
      <c r="D1245" s="13" t="s">
        <v>97</v>
      </c>
      <c r="E1245" s="13" t="s">
        <v>570</v>
      </c>
      <c r="F1245" s="13" t="s">
        <v>115</v>
      </c>
      <c r="G1245" s="13" t="s">
        <v>1980</v>
      </c>
      <c r="H1245" s="13" t="s">
        <v>152</v>
      </c>
      <c r="I1245" s="21" t="s">
        <v>4482</v>
      </c>
      <c r="J1245" s="21" t="s">
        <v>154</v>
      </c>
      <c r="K1245" s="21" t="s">
        <v>4483</v>
      </c>
      <c r="L1245" s="22" t="s">
        <v>40</v>
      </c>
      <c r="M1245" s="21" t="s">
        <v>156</v>
      </c>
      <c r="N1245" s="13" t="s">
        <v>106</v>
      </c>
      <c r="O1245" s="23" t="n">
        <v>9.7</v>
      </c>
      <c r="P1245" s="13" t="n">
        <v>1</v>
      </c>
      <c r="Q1245" s="24" t="n">
        <v>46311.034224537</v>
      </c>
      <c r="R1245" s="22"/>
      <c r="S1245" s="13" t="s">
        <v>164</v>
      </c>
      <c r="T1245" s="13" t="str">
        <f aca="false">IF(S1245="Oui",IF(R1245=L1245,"Identique","Changé"),"")</f>
        <v/>
      </c>
    </row>
    <row r="1246" customFormat="false" ht="35.05" hidden="false" customHeight="false" outlineLevel="0" collapsed="false">
      <c r="A1246" s="13" t="s">
        <v>4484</v>
      </c>
      <c r="B1246" s="13" t="s">
        <v>4472</v>
      </c>
      <c r="C1246" s="13" t="n">
        <v>5</v>
      </c>
      <c r="D1246" s="13" t="s">
        <v>97</v>
      </c>
      <c r="E1246" s="13" t="s">
        <v>185</v>
      </c>
      <c r="F1246" s="13" t="s">
        <v>701</v>
      </c>
      <c r="G1246" s="13" t="s">
        <v>2173</v>
      </c>
      <c r="H1246" s="13" t="s">
        <v>101</v>
      </c>
      <c r="I1246" s="21" t="s">
        <v>4485</v>
      </c>
      <c r="J1246" s="21" t="s">
        <v>4486</v>
      </c>
      <c r="K1246" s="21" t="s">
        <v>4487</v>
      </c>
      <c r="L1246" s="22" t="s">
        <v>36</v>
      </c>
      <c r="M1246" s="21" t="s">
        <v>2135</v>
      </c>
      <c r="N1246" s="13" t="s">
        <v>106</v>
      </c>
      <c r="O1246" s="23" t="n">
        <v>9.36</v>
      </c>
      <c r="P1246" s="13" t="n">
        <v>1</v>
      </c>
      <c r="Q1246" s="24" t="n">
        <v>46311.0344444444</v>
      </c>
      <c r="R1246" s="22"/>
      <c r="S1246" s="13" t="s">
        <v>164</v>
      </c>
      <c r="T1246" s="13" t="str">
        <f aca="false">IF(S1246="Oui",IF(R1246=L1246,"Identique","Changé"),"")</f>
        <v/>
      </c>
    </row>
    <row r="1247" customFormat="false" ht="46.25" hidden="false" customHeight="false" outlineLevel="0" collapsed="false">
      <c r="A1247" s="13" t="s">
        <v>4488</v>
      </c>
      <c r="B1247" s="13" t="s">
        <v>4489</v>
      </c>
      <c r="C1247" s="13" t="n">
        <v>1</v>
      </c>
      <c r="D1247" s="13" t="s">
        <v>135</v>
      </c>
      <c r="E1247" s="13" t="s">
        <v>128</v>
      </c>
      <c r="F1247" s="13" t="s">
        <v>4490</v>
      </c>
      <c r="G1247" s="13" t="s">
        <v>2024</v>
      </c>
      <c r="H1247" s="13" t="s">
        <v>101</v>
      </c>
      <c r="I1247" s="21" t="s">
        <v>4491</v>
      </c>
      <c r="J1247" s="21" t="s">
        <v>4492</v>
      </c>
      <c r="K1247" s="21" t="s">
        <v>4493</v>
      </c>
      <c r="L1247" s="22" t="s">
        <v>36</v>
      </c>
      <c r="M1247" s="21" t="s">
        <v>120</v>
      </c>
      <c r="N1247" s="13" t="s">
        <v>106</v>
      </c>
      <c r="O1247" s="23" t="n">
        <v>41.51</v>
      </c>
      <c r="P1247" s="13" t="n">
        <v>1</v>
      </c>
      <c r="Q1247" s="24" t="n">
        <v>46311.0350810185</v>
      </c>
      <c r="R1247" s="22"/>
      <c r="S1247" s="13" t="s">
        <v>164</v>
      </c>
      <c r="T1247" s="13" t="str">
        <f aca="false">IF(S1247="Oui",IF(R1247=L1247,"Identique","Changé"),"")</f>
        <v/>
      </c>
    </row>
    <row r="1248" customFormat="false" ht="35.05" hidden="false" customHeight="false" outlineLevel="0" collapsed="false">
      <c r="A1248" s="13" t="s">
        <v>4494</v>
      </c>
      <c r="B1248" s="13" t="s">
        <v>4489</v>
      </c>
      <c r="C1248" s="13" t="n">
        <v>2</v>
      </c>
      <c r="D1248" s="13" t="s">
        <v>135</v>
      </c>
      <c r="E1248" s="13" t="s">
        <v>1730</v>
      </c>
      <c r="F1248" s="13" t="s">
        <v>4490</v>
      </c>
      <c r="G1248" s="13" t="s">
        <v>2142</v>
      </c>
      <c r="H1248" s="13" t="s">
        <v>101</v>
      </c>
      <c r="I1248" s="21" t="s">
        <v>4495</v>
      </c>
      <c r="J1248" s="21" t="s">
        <v>4496</v>
      </c>
      <c r="K1248" s="21" t="s">
        <v>4497</v>
      </c>
      <c r="L1248" s="22" t="s">
        <v>36</v>
      </c>
      <c r="M1248" s="21" t="s">
        <v>120</v>
      </c>
      <c r="N1248" s="13" t="s">
        <v>106</v>
      </c>
      <c r="O1248" s="23" t="n">
        <v>11.83</v>
      </c>
      <c r="P1248" s="13" t="n">
        <v>1</v>
      </c>
      <c r="Q1248" s="24" t="n">
        <v>46311.0353125</v>
      </c>
      <c r="R1248" s="22"/>
      <c r="S1248" s="13" t="s">
        <v>164</v>
      </c>
      <c r="T1248" s="13" t="str">
        <f aca="false">IF(S1248="Oui",IF(R1248=L1248,"Identique","Changé"),"")</f>
        <v/>
      </c>
    </row>
    <row r="1249" customFormat="false" ht="35.05" hidden="false" customHeight="false" outlineLevel="0" collapsed="false">
      <c r="A1249" s="13" t="s">
        <v>4498</v>
      </c>
      <c r="B1249" s="13" t="s">
        <v>4489</v>
      </c>
      <c r="C1249" s="13" t="n">
        <v>3</v>
      </c>
      <c r="D1249" s="13" t="s">
        <v>135</v>
      </c>
      <c r="E1249" s="13" t="s">
        <v>122</v>
      </c>
      <c r="F1249" s="13" t="s">
        <v>2226</v>
      </c>
      <c r="G1249" s="13" t="s">
        <v>1891</v>
      </c>
      <c r="H1249" s="13" t="s">
        <v>101</v>
      </c>
      <c r="I1249" s="21" t="s">
        <v>4499</v>
      </c>
      <c r="J1249" s="21" t="s">
        <v>1741</v>
      </c>
      <c r="K1249" s="21" t="s">
        <v>4500</v>
      </c>
      <c r="L1249" s="22" t="s">
        <v>36</v>
      </c>
      <c r="M1249" s="21" t="s">
        <v>235</v>
      </c>
      <c r="N1249" s="13" t="s">
        <v>106</v>
      </c>
      <c r="O1249" s="23" t="n">
        <v>9.82</v>
      </c>
      <c r="P1249" s="13" t="n">
        <v>1</v>
      </c>
      <c r="Q1249" s="24" t="n">
        <v>46311.0355324074</v>
      </c>
      <c r="R1249" s="22"/>
      <c r="S1249" s="13" t="s">
        <v>164</v>
      </c>
      <c r="T1249" s="13" t="str">
        <f aca="false">IF(S1249="Oui",IF(R1249=L1249,"Identique","Changé"),"")</f>
        <v/>
      </c>
    </row>
    <row r="1250" customFormat="false" ht="35.05" hidden="false" customHeight="false" outlineLevel="0" collapsed="false">
      <c r="A1250" s="13" t="s">
        <v>4501</v>
      </c>
      <c r="B1250" s="13" t="s">
        <v>4489</v>
      </c>
      <c r="C1250" s="13" t="n">
        <v>4</v>
      </c>
      <c r="D1250" s="13" t="s">
        <v>135</v>
      </c>
      <c r="E1250" s="13" t="s">
        <v>171</v>
      </c>
      <c r="F1250" s="13" t="s">
        <v>2226</v>
      </c>
      <c r="G1250" s="13" t="s">
        <v>1998</v>
      </c>
      <c r="H1250" s="13" t="s">
        <v>101</v>
      </c>
      <c r="I1250" s="21" t="s">
        <v>4502</v>
      </c>
      <c r="J1250" s="21" t="s">
        <v>4503</v>
      </c>
      <c r="K1250" s="21" t="s">
        <v>4504</v>
      </c>
      <c r="L1250" s="22" t="s">
        <v>36</v>
      </c>
      <c r="M1250" s="21" t="s">
        <v>120</v>
      </c>
      <c r="N1250" s="13" t="s">
        <v>106</v>
      </c>
      <c r="O1250" s="23" t="n">
        <v>11.17</v>
      </c>
      <c r="P1250" s="13" t="n">
        <v>1</v>
      </c>
      <c r="Q1250" s="24" t="n">
        <v>46311.0357638889</v>
      </c>
      <c r="R1250" s="22"/>
      <c r="S1250" s="13" t="s">
        <v>164</v>
      </c>
      <c r="T1250" s="13" t="str">
        <f aca="false">IF(S1250="Oui",IF(R1250=L1250,"Identique","Changé"),"")</f>
        <v/>
      </c>
    </row>
    <row r="1251" customFormat="false" ht="35.05" hidden="false" customHeight="false" outlineLevel="0" collapsed="false">
      <c r="A1251" s="13" t="s">
        <v>4505</v>
      </c>
      <c r="B1251" s="13" t="s">
        <v>4489</v>
      </c>
      <c r="C1251" s="13" t="n">
        <v>5</v>
      </c>
      <c r="D1251" s="13" t="s">
        <v>135</v>
      </c>
      <c r="E1251" s="13" t="s">
        <v>158</v>
      </c>
      <c r="F1251" s="13" t="s">
        <v>4490</v>
      </c>
      <c r="G1251" s="13" t="s">
        <v>1913</v>
      </c>
      <c r="H1251" s="13" t="s">
        <v>101</v>
      </c>
      <c r="I1251" s="21" t="s">
        <v>4506</v>
      </c>
      <c r="J1251" s="21" t="s">
        <v>284</v>
      </c>
      <c r="K1251" s="21" t="s">
        <v>4507</v>
      </c>
      <c r="L1251" s="22" t="s">
        <v>36</v>
      </c>
      <c r="M1251" s="21" t="s">
        <v>120</v>
      </c>
      <c r="N1251" s="13" t="s">
        <v>106</v>
      </c>
      <c r="O1251" s="23" t="n">
        <v>10.78</v>
      </c>
      <c r="P1251" s="13" t="n">
        <v>1</v>
      </c>
      <c r="Q1251" s="24" t="n">
        <v>46311.0359953704</v>
      </c>
      <c r="R1251" s="22"/>
      <c r="S1251" s="13" t="s">
        <v>164</v>
      </c>
      <c r="T1251" s="13" t="str">
        <f aca="false">IF(S1251="Oui",IF(R1251=L1251,"Identique","Changé"),"")</f>
        <v/>
      </c>
    </row>
    <row r="1252" customFormat="false" ht="214.15" hidden="false" customHeight="false" outlineLevel="0" collapsed="false">
      <c r="A1252" s="13" t="s">
        <v>4508</v>
      </c>
      <c r="B1252" s="13" t="s">
        <v>4509</v>
      </c>
      <c r="C1252" s="13" t="n">
        <v>1</v>
      </c>
      <c r="D1252" s="13" t="s">
        <v>97</v>
      </c>
      <c r="E1252" s="13" t="s">
        <v>1730</v>
      </c>
      <c r="F1252" s="13" t="s">
        <v>1210</v>
      </c>
      <c r="G1252" s="13" t="s">
        <v>2009</v>
      </c>
      <c r="H1252" s="13" t="s">
        <v>101</v>
      </c>
      <c r="I1252" s="21" t="s">
        <v>4510</v>
      </c>
      <c r="J1252" s="21" t="s">
        <v>4511</v>
      </c>
      <c r="K1252" s="21" t="s">
        <v>4512</v>
      </c>
      <c r="L1252" s="22" t="s">
        <v>37</v>
      </c>
      <c r="M1252" s="21" t="s">
        <v>163</v>
      </c>
      <c r="N1252" s="13" t="s">
        <v>106</v>
      </c>
      <c r="O1252" s="23" t="n">
        <v>24.48</v>
      </c>
      <c r="P1252" s="13" t="n">
        <v>1</v>
      </c>
      <c r="Q1252" s="24" t="n">
        <v>46311.0364583333</v>
      </c>
      <c r="R1252" s="22"/>
      <c r="S1252" s="13" t="s">
        <v>164</v>
      </c>
      <c r="T1252" s="13" t="str">
        <f aca="false">IF(S1252="Oui",IF(R1252=L1252,"Identique","Changé"),"")</f>
        <v/>
      </c>
    </row>
    <row r="1253" customFormat="false" ht="449.25" hidden="false" customHeight="false" outlineLevel="0" collapsed="false">
      <c r="A1253" s="13" t="s">
        <v>4513</v>
      </c>
      <c r="B1253" s="13" t="s">
        <v>4509</v>
      </c>
      <c r="C1253" s="13" t="n">
        <v>2</v>
      </c>
      <c r="D1253" s="13" t="s">
        <v>97</v>
      </c>
      <c r="E1253" s="13" t="s">
        <v>1730</v>
      </c>
      <c r="F1253" s="13" t="s">
        <v>1210</v>
      </c>
      <c r="G1253" s="13" t="s">
        <v>2003</v>
      </c>
      <c r="H1253" s="13" t="s">
        <v>101</v>
      </c>
      <c r="I1253" s="21" t="s">
        <v>4514</v>
      </c>
      <c r="J1253" s="21" t="s">
        <v>4515</v>
      </c>
      <c r="K1253" s="21" t="s">
        <v>4516</v>
      </c>
      <c r="L1253" s="22" t="s">
        <v>37</v>
      </c>
      <c r="M1253" s="21" t="s">
        <v>163</v>
      </c>
      <c r="N1253" s="13" t="s">
        <v>106</v>
      </c>
      <c r="O1253" s="23" t="n">
        <v>9.01</v>
      </c>
      <c r="P1253" s="13" t="n">
        <v>1</v>
      </c>
      <c r="Q1253" s="24" t="n">
        <v>46311.0366666667</v>
      </c>
      <c r="R1253" s="22"/>
      <c r="S1253" s="13" t="s">
        <v>164</v>
      </c>
      <c r="T1253" s="13" t="str">
        <f aca="false">IF(S1253="Oui",IF(R1253=L1253,"Identique","Changé"),"")</f>
        <v/>
      </c>
    </row>
    <row r="1254" customFormat="false" ht="91" hidden="false" customHeight="false" outlineLevel="0" collapsed="false">
      <c r="A1254" s="13" t="s">
        <v>4517</v>
      </c>
      <c r="B1254" s="13" t="s">
        <v>4509</v>
      </c>
      <c r="C1254" s="13" t="n">
        <v>3</v>
      </c>
      <c r="D1254" s="13" t="s">
        <v>97</v>
      </c>
      <c r="E1254" s="13" t="s">
        <v>260</v>
      </c>
      <c r="F1254" s="13" t="s">
        <v>1210</v>
      </c>
      <c r="G1254" s="13" t="s">
        <v>2019</v>
      </c>
      <c r="H1254" s="13" t="s">
        <v>101</v>
      </c>
      <c r="I1254" s="21" t="s">
        <v>4518</v>
      </c>
      <c r="J1254" s="21" t="s">
        <v>512</v>
      </c>
      <c r="K1254" s="21" t="s">
        <v>4519</v>
      </c>
      <c r="L1254" s="22" t="s">
        <v>37</v>
      </c>
      <c r="M1254" s="21" t="s">
        <v>163</v>
      </c>
      <c r="N1254" s="13" t="s">
        <v>106</v>
      </c>
      <c r="O1254" s="23" t="n">
        <v>27.91</v>
      </c>
      <c r="P1254" s="13" t="n">
        <v>1</v>
      </c>
      <c r="Q1254" s="24" t="n">
        <v>46311.0370949074</v>
      </c>
      <c r="R1254" s="22"/>
      <c r="S1254" s="13" t="s">
        <v>164</v>
      </c>
      <c r="T1254" s="13" t="str">
        <f aca="false">IF(S1254="Oui",IF(R1254=L1254,"Identique","Changé"),"")</f>
        <v/>
      </c>
    </row>
    <row r="1255" customFormat="false" ht="23.85" hidden="false" customHeight="false" outlineLevel="0" collapsed="false">
      <c r="A1255" s="13" t="s">
        <v>4520</v>
      </c>
      <c r="B1255" s="13" t="s">
        <v>4509</v>
      </c>
      <c r="C1255" s="13" t="n">
        <v>4</v>
      </c>
      <c r="D1255" s="13" t="s">
        <v>97</v>
      </c>
      <c r="E1255" s="13" t="s">
        <v>260</v>
      </c>
      <c r="F1255" s="13" t="s">
        <v>1210</v>
      </c>
      <c r="G1255" s="13" t="s">
        <v>1897</v>
      </c>
      <c r="H1255" s="13" t="s">
        <v>101</v>
      </c>
      <c r="I1255" s="21" t="s">
        <v>4521</v>
      </c>
      <c r="J1255" s="21" t="s">
        <v>4161</v>
      </c>
      <c r="K1255" s="21" t="s">
        <v>4522</v>
      </c>
      <c r="L1255" s="22" t="s">
        <v>36</v>
      </c>
      <c r="M1255" s="21" t="s">
        <v>120</v>
      </c>
      <c r="N1255" s="13" t="s">
        <v>106</v>
      </c>
      <c r="O1255" s="23" t="n">
        <v>13.05</v>
      </c>
      <c r="P1255" s="13" t="n">
        <v>1</v>
      </c>
      <c r="Q1255" s="24" t="n">
        <v>46311.037349537</v>
      </c>
      <c r="R1255" s="22"/>
      <c r="S1255" s="13" t="s">
        <v>164</v>
      </c>
      <c r="T1255" s="13" t="str">
        <f aca="false">IF(S1255="Oui",IF(R1255=L1255,"Identique","Changé"),"")</f>
        <v/>
      </c>
    </row>
    <row r="1256" customFormat="false" ht="79.85" hidden="false" customHeight="false" outlineLevel="0" collapsed="false">
      <c r="A1256" s="13" t="s">
        <v>4523</v>
      </c>
      <c r="B1256" s="13" t="s">
        <v>4509</v>
      </c>
      <c r="C1256" s="13" t="n">
        <v>5</v>
      </c>
      <c r="D1256" s="13" t="s">
        <v>97</v>
      </c>
      <c r="E1256" s="13" t="s">
        <v>260</v>
      </c>
      <c r="F1256" s="13" t="s">
        <v>1210</v>
      </c>
      <c r="G1256" s="13" t="s">
        <v>2047</v>
      </c>
      <c r="H1256" s="13" t="s">
        <v>101</v>
      </c>
      <c r="I1256" s="21" t="s">
        <v>4524</v>
      </c>
      <c r="J1256" s="21" t="s">
        <v>512</v>
      </c>
      <c r="K1256" s="21" t="s">
        <v>4525</v>
      </c>
      <c r="L1256" s="22" t="s">
        <v>36</v>
      </c>
      <c r="M1256" s="21" t="s">
        <v>120</v>
      </c>
      <c r="N1256" s="13" t="s">
        <v>106</v>
      </c>
      <c r="O1256" s="23" t="n">
        <v>8.23</v>
      </c>
      <c r="P1256" s="13" t="n">
        <v>1</v>
      </c>
      <c r="Q1256" s="24" t="n">
        <v>46311.0375462963</v>
      </c>
      <c r="R1256" s="22"/>
      <c r="S1256" s="13" t="s">
        <v>164</v>
      </c>
      <c r="T1256" s="13" t="str">
        <f aca="false">IF(S1256="Oui",IF(R1256=L1256,"Identique","Changé"),"")</f>
        <v/>
      </c>
    </row>
    <row r="1257" customFormat="false" ht="46.25" hidden="false" customHeight="false" outlineLevel="0" collapsed="false">
      <c r="A1257" s="13" t="s">
        <v>4526</v>
      </c>
      <c r="B1257" s="13" t="s">
        <v>4527</v>
      </c>
      <c r="C1257" s="13" t="n">
        <v>1</v>
      </c>
      <c r="D1257" s="13" t="s">
        <v>135</v>
      </c>
      <c r="E1257" s="13" t="s">
        <v>122</v>
      </c>
      <c r="F1257" s="13" t="s">
        <v>4528</v>
      </c>
      <c r="G1257" s="13" t="s">
        <v>123</v>
      </c>
      <c r="H1257" s="13" t="s">
        <v>101</v>
      </c>
      <c r="I1257" s="21" t="s">
        <v>4529</v>
      </c>
      <c r="J1257" s="21" t="s">
        <v>277</v>
      </c>
      <c r="K1257" s="21" t="s">
        <v>4530</v>
      </c>
      <c r="L1257" s="22" t="s">
        <v>36</v>
      </c>
      <c r="M1257" s="21" t="s">
        <v>120</v>
      </c>
      <c r="N1257" s="13" t="s">
        <v>106</v>
      </c>
      <c r="O1257" s="23" t="n">
        <v>24.56</v>
      </c>
      <c r="P1257" s="13" t="n">
        <v>1</v>
      </c>
      <c r="Q1257" s="24" t="n">
        <v>46311.0379976852</v>
      </c>
      <c r="R1257" s="22"/>
      <c r="S1257" s="13" t="s">
        <v>164</v>
      </c>
      <c r="T1257" s="13" t="str">
        <f aca="false">IF(S1257="Oui",IF(R1257=L1257,"Identique","Changé"),"")</f>
        <v/>
      </c>
    </row>
    <row r="1258" customFormat="false" ht="46.25" hidden="false" customHeight="false" outlineLevel="0" collapsed="false">
      <c r="A1258" s="13" t="s">
        <v>4531</v>
      </c>
      <c r="B1258" s="13" t="s">
        <v>4527</v>
      </c>
      <c r="C1258" s="13" t="n">
        <v>2</v>
      </c>
      <c r="D1258" s="13" t="s">
        <v>135</v>
      </c>
      <c r="E1258" s="13" t="s">
        <v>114</v>
      </c>
      <c r="F1258" s="13" t="s">
        <v>4528</v>
      </c>
      <c r="G1258" s="13" t="s">
        <v>2220</v>
      </c>
      <c r="H1258" s="13" t="s">
        <v>101</v>
      </c>
      <c r="I1258" s="21" t="s">
        <v>4532</v>
      </c>
      <c r="J1258" s="21" t="s">
        <v>2222</v>
      </c>
      <c r="K1258" s="21" t="s">
        <v>4533</v>
      </c>
      <c r="L1258" s="22" t="s">
        <v>36</v>
      </c>
      <c r="M1258" s="21" t="s">
        <v>120</v>
      </c>
      <c r="N1258" s="13" t="s">
        <v>106</v>
      </c>
      <c r="O1258" s="23" t="n">
        <v>10.18</v>
      </c>
      <c r="P1258" s="13" t="n">
        <v>1</v>
      </c>
      <c r="Q1258" s="24" t="n">
        <v>46311.0382060185</v>
      </c>
      <c r="R1258" s="22"/>
      <c r="S1258" s="13" t="s">
        <v>164</v>
      </c>
      <c r="T1258" s="13" t="str">
        <f aca="false">IF(S1258="Oui",IF(R1258=L1258,"Identique","Changé"),"")</f>
        <v/>
      </c>
    </row>
    <row r="1259" customFormat="false" ht="46.25" hidden="false" customHeight="false" outlineLevel="0" collapsed="false">
      <c r="A1259" s="13" t="s">
        <v>4534</v>
      </c>
      <c r="B1259" s="13" t="s">
        <v>4527</v>
      </c>
      <c r="C1259" s="13" t="n">
        <v>3</v>
      </c>
      <c r="D1259" s="13" t="s">
        <v>135</v>
      </c>
      <c r="E1259" s="13" t="s">
        <v>570</v>
      </c>
      <c r="F1259" s="13" t="s">
        <v>2269</v>
      </c>
      <c r="G1259" s="13" t="s">
        <v>1980</v>
      </c>
      <c r="H1259" s="13" t="s">
        <v>152</v>
      </c>
      <c r="I1259" s="21" t="s">
        <v>4535</v>
      </c>
      <c r="J1259" s="21" t="s">
        <v>154</v>
      </c>
      <c r="K1259" s="21" t="s">
        <v>4536</v>
      </c>
      <c r="L1259" s="22" t="s">
        <v>40</v>
      </c>
      <c r="M1259" s="21" t="s">
        <v>156</v>
      </c>
      <c r="N1259" s="13" t="s">
        <v>106</v>
      </c>
      <c r="O1259" s="23" t="n">
        <v>10.01</v>
      </c>
      <c r="P1259" s="13" t="n">
        <v>1</v>
      </c>
      <c r="Q1259" s="24" t="n">
        <v>46311.0384259259</v>
      </c>
      <c r="R1259" s="22"/>
      <c r="S1259" s="13" t="s">
        <v>164</v>
      </c>
      <c r="T1259" s="13" t="str">
        <f aca="false">IF(S1259="Oui",IF(R1259=L1259,"Identique","Changé"),"")</f>
        <v/>
      </c>
    </row>
    <row r="1260" customFormat="false" ht="46.25" hidden="false" customHeight="false" outlineLevel="0" collapsed="false">
      <c r="A1260" s="13" t="s">
        <v>4537</v>
      </c>
      <c r="B1260" s="13" t="s">
        <v>4527</v>
      </c>
      <c r="C1260" s="13" t="n">
        <v>4</v>
      </c>
      <c r="D1260" s="13" t="s">
        <v>135</v>
      </c>
      <c r="E1260" s="13" t="s">
        <v>570</v>
      </c>
      <c r="F1260" s="13" t="s">
        <v>2269</v>
      </c>
      <c r="G1260" s="13" t="s">
        <v>1785</v>
      </c>
      <c r="H1260" s="13" t="s">
        <v>101</v>
      </c>
      <c r="I1260" s="21" t="s">
        <v>4538</v>
      </c>
      <c r="J1260" s="21" t="s">
        <v>1856</v>
      </c>
      <c r="K1260" s="21" t="s">
        <v>4539</v>
      </c>
      <c r="L1260" s="22" t="s">
        <v>36</v>
      </c>
      <c r="M1260" s="21" t="s">
        <v>235</v>
      </c>
      <c r="N1260" s="13" t="s">
        <v>106</v>
      </c>
      <c r="O1260" s="23" t="n">
        <v>9.91</v>
      </c>
      <c r="P1260" s="13" t="n">
        <v>1</v>
      </c>
      <c r="Q1260" s="24" t="n">
        <v>46311.0386458333</v>
      </c>
      <c r="R1260" s="22"/>
      <c r="S1260" s="13" t="s">
        <v>164</v>
      </c>
      <c r="T1260" s="13" t="str">
        <f aca="false">IF(S1260="Oui",IF(R1260=L1260,"Identique","Changé"),"")</f>
        <v/>
      </c>
    </row>
    <row r="1261" customFormat="false" ht="35.05" hidden="false" customHeight="false" outlineLevel="0" collapsed="false">
      <c r="A1261" s="13" t="s">
        <v>4540</v>
      </c>
      <c r="B1261" s="13" t="s">
        <v>4527</v>
      </c>
      <c r="C1261" s="13" t="n">
        <v>5</v>
      </c>
      <c r="D1261" s="13" t="s">
        <v>135</v>
      </c>
      <c r="E1261" s="13" t="s">
        <v>570</v>
      </c>
      <c r="F1261" s="13" t="s">
        <v>4528</v>
      </c>
      <c r="G1261" s="13" t="s">
        <v>1790</v>
      </c>
      <c r="H1261" s="13" t="s">
        <v>101</v>
      </c>
      <c r="I1261" s="21" t="s">
        <v>4541</v>
      </c>
      <c r="J1261" s="21" t="s">
        <v>512</v>
      </c>
      <c r="K1261" s="21" t="s">
        <v>4542</v>
      </c>
      <c r="L1261" s="22" t="s">
        <v>36</v>
      </c>
      <c r="M1261" s="21" t="s">
        <v>120</v>
      </c>
      <c r="N1261" s="13" t="s">
        <v>106</v>
      </c>
      <c r="O1261" s="23" t="n">
        <v>9.4</v>
      </c>
      <c r="P1261" s="13" t="n">
        <v>1</v>
      </c>
      <c r="Q1261" s="24" t="n">
        <v>46311.0388657407</v>
      </c>
      <c r="R1261" s="22"/>
      <c r="S1261" s="13" t="s">
        <v>164</v>
      </c>
      <c r="T1261" s="13" t="str">
        <f aca="false">IF(S1261="Oui",IF(R1261=L1261,"Identique","Changé"),"")</f>
        <v/>
      </c>
    </row>
    <row r="1262" customFormat="false" ht="68.65" hidden="false" customHeight="false" outlineLevel="0" collapsed="false">
      <c r="A1262" s="13" t="s">
        <v>4543</v>
      </c>
      <c r="B1262" s="13" t="s">
        <v>4544</v>
      </c>
      <c r="C1262" s="13" t="n">
        <v>1</v>
      </c>
      <c r="D1262" s="13" t="s">
        <v>97</v>
      </c>
      <c r="E1262" s="13" t="s">
        <v>158</v>
      </c>
      <c r="F1262" s="13" t="s">
        <v>816</v>
      </c>
      <c r="G1262" s="13" t="s">
        <v>1918</v>
      </c>
      <c r="H1262" s="13" t="s">
        <v>101</v>
      </c>
      <c r="I1262" s="21" t="s">
        <v>4545</v>
      </c>
      <c r="J1262" s="21" t="s">
        <v>284</v>
      </c>
      <c r="K1262" s="21" t="s">
        <v>4546</v>
      </c>
      <c r="L1262" s="22" t="s">
        <v>36</v>
      </c>
      <c r="M1262" s="21" t="s">
        <v>120</v>
      </c>
      <c r="N1262" s="13" t="s">
        <v>106</v>
      </c>
      <c r="O1262" s="23" t="n">
        <v>37.24</v>
      </c>
      <c r="P1262" s="13" t="n">
        <v>2</v>
      </c>
      <c r="Q1262" s="24" t="n">
        <v>46311.0441435185</v>
      </c>
      <c r="R1262" s="22"/>
      <c r="S1262" s="13" t="s">
        <v>164</v>
      </c>
      <c r="T1262" s="13" t="str">
        <f aca="false">IF(S1262="Oui",IF(R1262=L1262,"Identique","Changé"),"")</f>
        <v/>
      </c>
    </row>
    <row r="1263" customFormat="false" ht="35.05" hidden="false" customHeight="false" outlineLevel="0" collapsed="false">
      <c r="A1263" s="13" t="s">
        <v>4547</v>
      </c>
      <c r="B1263" s="13" t="s">
        <v>4544</v>
      </c>
      <c r="C1263" s="13" t="n">
        <v>2</v>
      </c>
      <c r="D1263" s="13" t="s">
        <v>97</v>
      </c>
      <c r="E1263" s="13" t="s">
        <v>570</v>
      </c>
      <c r="F1263" s="13" t="s">
        <v>816</v>
      </c>
      <c r="G1263" s="13" t="s">
        <v>1758</v>
      </c>
      <c r="H1263" s="13" t="s">
        <v>101</v>
      </c>
      <c r="I1263" s="21" t="s">
        <v>4548</v>
      </c>
      <c r="J1263" s="21" t="s">
        <v>4549</v>
      </c>
      <c r="K1263" s="21" t="s">
        <v>4550</v>
      </c>
      <c r="L1263" s="22" t="s">
        <v>38</v>
      </c>
      <c r="M1263" s="21" t="s">
        <v>4551</v>
      </c>
      <c r="N1263" s="13" t="s">
        <v>1085</v>
      </c>
      <c r="O1263" s="23" t="n">
        <v>11.92</v>
      </c>
      <c r="P1263" s="13" t="n">
        <v>2</v>
      </c>
      <c r="Q1263" s="24" t="n">
        <v>46311.0443865741</v>
      </c>
      <c r="R1263" s="22"/>
      <c r="S1263" s="13" t="s">
        <v>164</v>
      </c>
      <c r="T1263" s="13" t="str">
        <f aca="false">IF(S1263="Oui",IF(R1263=L1263,"Identique","Changé"),"")</f>
        <v/>
      </c>
    </row>
    <row r="1264" customFormat="false" ht="68.65" hidden="false" customHeight="false" outlineLevel="0" collapsed="false">
      <c r="A1264" s="13" t="s">
        <v>4552</v>
      </c>
      <c r="B1264" s="13" t="s">
        <v>4544</v>
      </c>
      <c r="C1264" s="13" t="n">
        <v>3</v>
      </c>
      <c r="D1264" s="13" t="s">
        <v>97</v>
      </c>
      <c r="E1264" s="13" t="s">
        <v>114</v>
      </c>
      <c r="F1264" s="13" t="s">
        <v>816</v>
      </c>
      <c r="G1264" s="13" t="s">
        <v>2195</v>
      </c>
      <c r="H1264" s="13" t="s">
        <v>101</v>
      </c>
      <c r="I1264" s="21" t="s">
        <v>4553</v>
      </c>
      <c r="J1264" s="21" t="s">
        <v>2197</v>
      </c>
      <c r="K1264" s="21" t="s">
        <v>4554</v>
      </c>
      <c r="L1264" s="22" t="s">
        <v>36</v>
      </c>
      <c r="M1264" s="21" t="s">
        <v>120</v>
      </c>
      <c r="N1264" s="13" t="s">
        <v>106</v>
      </c>
      <c r="O1264" s="23" t="n">
        <v>9.17</v>
      </c>
      <c r="P1264" s="13" t="n">
        <v>2</v>
      </c>
      <c r="Q1264" s="24" t="n">
        <v>46311.0445949074</v>
      </c>
      <c r="R1264" s="22"/>
      <c r="S1264" s="13" t="s">
        <v>164</v>
      </c>
      <c r="T1264" s="13" t="str">
        <f aca="false">IF(S1264="Oui",IF(R1264=L1264,"Identique","Changé"),"")</f>
        <v/>
      </c>
    </row>
    <row r="1265" customFormat="false" ht="35.05" hidden="false" customHeight="false" outlineLevel="0" collapsed="false">
      <c r="A1265" s="13" t="s">
        <v>4555</v>
      </c>
      <c r="B1265" s="13" t="s">
        <v>4544</v>
      </c>
      <c r="C1265" s="13" t="n">
        <v>4</v>
      </c>
      <c r="D1265" s="13" t="s">
        <v>97</v>
      </c>
      <c r="E1265" s="13" t="s">
        <v>114</v>
      </c>
      <c r="F1265" s="13" t="s">
        <v>816</v>
      </c>
      <c r="G1265" s="13" t="s">
        <v>2085</v>
      </c>
      <c r="H1265" s="13" t="s">
        <v>101</v>
      </c>
      <c r="I1265" s="21" t="s">
        <v>4556</v>
      </c>
      <c r="J1265" s="21" t="s">
        <v>512</v>
      </c>
      <c r="K1265" s="21" t="s">
        <v>4557</v>
      </c>
      <c r="L1265" s="22" t="s">
        <v>38</v>
      </c>
      <c r="M1265" s="21" t="s">
        <v>4551</v>
      </c>
      <c r="N1265" s="13" t="s">
        <v>1085</v>
      </c>
      <c r="O1265" s="23" t="n">
        <v>9.44</v>
      </c>
      <c r="P1265" s="13" t="n">
        <v>2</v>
      </c>
      <c r="Q1265" s="24" t="n">
        <v>46311.0448148148</v>
      </c>
      <c r="R1265" s="22"/>
      <c r="S1265" s="13" t="s">
        <v>164</v>
      </c>
      <c r="T1265" s="13" t="str">
        <f aca="false">IF(S1265="Oui",IF(R1265=L1265,"Identique","Changé"),"")</f>
        <v/>
      </c>
    </row>
    <row r="1266" customFormat="false" ht="79.85" hidden="false" customHeight="false" outlineLevel="0" collapsed="false">
      <c r="A1266" s="13" t="s">
        <v>4558</v>
      </c>
      <c r="B1266" s="13" t="s">
        <v>4544</v>
      </c>
      <c r="C1266" s="13" t="n">
        <v>5</v>
      </c>
      <c r="D1266" s="13" t="s">
        <v>97</v>
      </c>
      <c r="E1266" s="13" t="s">
        <v>1730</v>
      </c>
      <c r="F1266" s="13" t="s">
        <v>816</v>
      </c>
      <c r="G1266" s="13" t="s">
        <v>1732</v>
      </c>
      <c r="H1266" s="13" t="s">
        <v>101</v>
      </c>
      <c r="I1266" s="21" t="s">
        <v>4559</v>
      </c>
      <c r="J1266" s="21" t="s">
        <v>4560</v>
      </c>
      <c r="K1266" s="21" t="s">
        <v>4561</v>
      </c>
      <c r="L1266" s="22" t="s">
        <v>38</v>
      </c>
      <c r="M1266" s="21" t="s">
        <v>4551</v>
      </c>
      <c r="N1266" s="13" t="s">
        <v>1085</v>
      </c>
      <c r="O1266" s="23" t="n">
        <v>10.74</v>
      </c>
      <c r="P1266" s="13" t="n">
        <v>2</v>
      </c>
      <c r="Q1266" s="24" t="n">
        <v>46311.0450347222</v>
      </c>
      <c r="R1266" s="22"/>
      <c r="S1266" s="13" t="s">
        <v>164</v>
      </c>
      <c r="T1266" s="13" t="str">
        <f aca="false">IF(S1266="Oui",IF(R1266=L1266,"Identique","Changé"),"")</f>
        <v/>
      </c>
    </row>
    <row r="1267" customFormat="false" ht="46.25" hidden="false" customHeight="false" outlineLevel="0" collapsed="false">
      <c r="A1267" s="13" t="s">
        <v>4562</v>
      </c>
      <c r="B1267" s="13" t="s">
        <v>4563</v>
      </c>
      <c r="C1267" s="13" t="n">
        <v>1</v>
      </c>
      <c r="D1267" s="13" t="s">
        <v>135</v>
      </c>
      <c r="E1267" s="13" t="s">
        <v>570</v>
      </c>
      <c r="F1267" s="13" t="s">
        <v>3260</v>
      </c>
      <c r="G1267" s="13" t="s">
        <v>1739</v>
      </c>
      <c r="H1267" s="13" t="s">
        <v>101</v>
      </c>
      <c r="I1267" s="21" t="s">
        <v>4564</v>
      </c>
      <c r="J1267" s="21" t="s">
        <v>233</v>
      </c>
      <c r="K1267" s="21" t="s">
        <v>4565</v>
      </c>
      <c r="L1267" s="22" t="s">
        <v>36</v>
      </c>
      <c r="M1267" s="21" t="s">
        <v>235</v>
      </c>
      <c r="N1267" s="13" t="s">
        <v>106</v>
      </c>
      <c r="O1267" s="23" t="n">
        <v>35.71</v>
      </c>
      <c r="P1267" s="13" t="n">
        <v>3</v>
      </c>
      <c r="Q1267" s="24" t="n">
        <v>46311.0551736111</v>
      </c>
      <c r="R1267" s="22"/>
      <c r="S1267" s="13" t="s">
        <v>164</v>
      </c>
      <c r="T1267" s="13" t="str">
        <f aca="false">IF(S1267="Oui",IF(R1267=L1267,"Identique","Changé"),"")</f>
        <v/>
      </c>
    </row>
    <row r="1268" customFormat="false" ht="35.05" hidden="false" customHeight="false" outlineLevel="0" collapsed="false">
      <c r="A1268" s="13" t="s">
        <v>4566</v>
      </c>
      <c r="B1268" s="13" t="s">
        <v>4563</v>
      </c>
      <c r="C1268" s="13" t="n">
        <v>2</v>
      </c>
      <c r="D1268" s="13" t="s">
        <v>135</v>
      </c>
      <c r="E1268" s="13" t="s">
        <v>158</v>
      </c>
      <c r="F1268" s="13" t="s">
        <v>3260</v>
      </c>
      <c r="G1268" s="13" t="s">
        <v>1951</v>
      </c>
      <c r="H1268" s="13" t="s">
        <v>101</v>
      </c>
      <c r="I1268" s="21" t="s">
        <v>4567</v>
      </c>
      <c r="J1268" s="21" t="s">
        <v>284</v>
      </c>
      <c r="K1268" s="21" t="s">
        <v>4568</v>
      </c>
      <c r="L1268" s="22" t="s">
        <v>36</v>
      </c>
      <c r="M1268" s="21" t="s">
        <v>120</v>
      </c>
      <c r="N1268" s="13" t="s">
        <v>106</v>
      </c>
      <c r="O1268" s="23" t="n">
        <v>12.11</v>
      </c>
      <c r="P1268" s="13" t="n">
        <v>3</v>
      </c>
      <c r="Q1268" s="24" t="n">
        <v>46311.0554050926</v>
      </c>
      <c r="R1268" s="22"/>
      <c r="S1268" s="13" t="s">
        <v>164</v>
      </c>
      <c r="T1268" s="13" t="str">
        <f aca="false">IF(S1268="Oui",IF(R1268=L1268,"Identique","Changé"),"")</f>
        <v/>
      </c>
    </row>
    <row r="1269" customFormat="false" ht="46.25" hidden="false" customHeight="false" outlineLevel="0" collapsed="false">
      <c r="A1269" s="13" t="s">
        <v>4569</v>
      </c>
      <c r="B1269" s="13" t="s">
        <v>4563</v>
      </c>
      <c r="C1269" s="13" t="n">
        <v>3</v>
      </c>
      <c r="D1269" s="13" t="s">
        <v>135</v>
      </c>
      <c r="E1269" s="13" t="s">
        <v>570</v>
      </c>
      <c r="F1269" s="13" t="s">
        <v>2306</v>
      </c>
      <c r="G1269" s="13" t="s">
        <v>1794</v>
      </c>
      <c r="H1269" s="13" t="s">
        <v>101</v>
      </c>
      <c r="I1269" s="21" t="s">
        <v>4570</v>
      </c>
      <c r="J1269" s="21" t="s">
        <v>1741</v>
      </c>
      <c r="K1269" s="21" t="s">
        <v>4571</v>
      </c>
      <c r="L1269" s="22" t="s">
        <v>36</v>
      </c>
      <c r="M1269" s="21" t="s">
        <v>235</v>
      </c>
      <c r="N1269" s="13" t="s">
        <v>106</v>
      </c>
      <c r="O1269" s="23" t="n">
        <v>14.7</v>
      </c>
      <c r="P1269" s="13" t="n">
        <v>3</v>
      </c>
      <c r="Q1269" s="24" t="n">
        <v>46311.0556828704</v>
      </c>
      <c r="R1269" s="22"/>
      <c r="S1269" s="13" t="s">
        <v>164</v>
      </c>
      <c r="T1269" s="13" t="str">
        <f aca="false">IF(S1269="Oui",IF(R1269=L1269,"Identique","Changé"),"")</f>
        <v/>
      </c>
    </row>
    <row r="1270" customFormat="false" ht="46.25" hidden="false" customHeight="false" outlineLevel="0" collapsed="false">
      <c r="A1270" s="13" t="s">
        <v>4572</v>
      </c>
      <c r="B1270" s="13" t="s">
        <v>4563</v>
      </c>
      <c r="C1270" s="13" t="n">
        <v>4</v>
      </c>
      <c r="D1270" s="13" t="s">
        <v>135</v>
      </c>
      <c r="E1270" s="13" t="s">
        <v>122</v>
      </c>
      <c r="F1270" s="13" t="s">
        <v>2306</v>
      </c>
      <c r="G1270" s="13" t="s">
        <v>2036</v>
      </c>
      <c r="H1270" s="13" t="s">
        <v>152</v>
      </c>
      <c r="I1270" s="21" t="s">
        <v>4573</v>
      </c>
      <c r="J1270" s="21" t="s">
        <v>154</v>
      </c>
      <c r="K1270" s="21" t="s">
        <v>4574</v>
      </c>
      <c r="L1270" s="22" t="s">
        <v>40</v>
      </c>
      <c r="M1270" s="21" t="s">
        <v>156</v>
      </c>
      <c r="N1270" s="13" t="s">
        <v>106</v>
      </c>
      <c r="O1270" s="23" t="n">
        <v>12.77</v>
      </c>
      <c r="P1270" s="13" t="n">
        <v>3</v>
      </c>
      <c r="Q1270" s="24" t="n">
        <v>46311.0559375</v>
      </c>
      <c r="R1270" s="22"/>
      <c r="S1270" s="13" t="s">
        <v>164</v>
      </c>
      <c r="T1270" s="13" t="str">
        <f aca="false">IF(S1270="Oui",IF(R1270=L1270,"Identique","Changé"),"")</f>
        <v/>
      </c>
    </row>
    <row r="1271" customFormat="false" ht="57.45" hidden="false" customHeight="false" outlineLevel="0" collapsed="false">
      <c r="A1271" s="13" t="s">
        <v>4575</v>
      </c>
      <c r="B1271" s="13" t="s">
        <v>4563</v>
      </c>
      <c r="C1271" s="13" t="n">
        <v>5</v>
      </c>
      <c r="D1271" s="13" t="s">
        <v>135</v>
      </c>
      <c r="E1271" s="13" t="s">
        <v>122</v>
      </c>
      <c r="F1271" s="13" t="s">
        <v>3260</v>
      </c>
      <c r="G1271" s="13" t="s">
        <v>1905</v>
      </c>
      <c r="H1271" s="13" t="s">
        <v>101</v>
      </c>
      <c r="I1271" s="21" t="s">
        <v>4576</v>
      </c>
      <c r="J1271" s="21" t="s">
        <v>284</v>
      </c>
      <c r="K1271" s="21" t="s">
        <v>4577</v>
      </c>
      <c r="L1271" s="22" t="s">
        <v>36</v>
      </c>
      <c r="M1271" s="21" t="s">
        <v>2731</v>
      </c>
      <c r="N1271" s="13" t="s">
        <v>1085</v>
      </c>
      <c r="O1271" s="23" t="n">
        <v>11.39</v>
      </c>
      <c r="P1271" s="13" t="n">
        <v>3</v>
      </c>
      <c r="Q1271" s="24" t="n">
        <v>46311.0561689815</v>
      </c>
      <c r="R1271" s="22"/>
      <c r="S1271" s="13" t="s">
        <v>164</v>
      </c>
      <c r="T1271" s="13" t="str">
        <f aca="false">IF(S1271="Oui",IF(R1271=L1271,"Identique","Changé"),"")</f>
        <v/>
      </c>
    </row>
    <row r="1272" customFormat="false" ht="35.05" hidden="false" customHeight="false" outlineLevel="0" collapsed="false">
      <c r="A1272" s="13" t="s">
        <v>4578</v>
      </c>
      <c r="B1272" s="13" t="s">
        <v>4579</v>
      </c>
      <c r="C1272" s="13" t="n">
        <v>1</v>
      </c>
      <c r="D1272" s="13" t="s">
        <v>97</v>
      </c>
      <c r="E1272" s="13" t="s">
        <v>570</v>
      </c>
      <c r="F1272" s="13" t="s">
        <v>215</v>
      </c>
      <c r="G1272" s="13" t="s">
        <v>1780</v>
      </c>
      <c r="H1272" s="13" t="s">
        <v>101</v>
      </c>
      <c r="I1272" s="21" t="s">
        <v>4580</v>
      </c>
      <c r="J1272" s="21" t="s">
        <v>284</v>
      </c>
      <c r="K1272" s="21" t="s">
        <v>4581</v>
      </c>
      <c r="L1272" s="22" t="s">
        <v>36</v>
      </c>
      <c r="M1272" s="21" t="s">
        <v>120</v>
      </c>
      <c r="N1272" s="13" t="s">
        <v>106</v>
      </c>
      <c r="O1272" s="23" t="n">
        <v>29.11</v>
      </c>
      <c r="P1272" s="13" t="n">
        <v>1</v>
      </c>
      <c r="Q1272" s="24" t="n">
        <v>46311.0566550926</v>
      </c>
      <c r="R1272" s="22"/>
      <c r="S1272" s="13" t="s">
        <v>164</v>
      </c>
      <c r="T1272" s="13" t="str">
        <f aca="false">IF(S1272="Oui",IF(R1272=L1272,"Identique","Changé"),"")</f>
        <v/>
      </c>
    </row>
    <row r="1273" customFormat="false" ht="35.05" hidden="false" customHeight="false" outlineLevel="0" collapsed="false">
      <c r="A1273" s="13" t="s">
        <v>4582</v>
      </c>
      <c r="B1273" s="13" t="s">
        <v>4579</v>
      </c>
      <c r="C1273" s="13" t="n">
        <v>2</v>
      </c>
      <c r="D1273" s="13" t="s">
        <v>97</v>
      </c>
      <c r="E1273" s="13" t="s">
        <v>114</v>
      </c>
      <c r="F1273" s="13" t="s">
        <v>215</v>
      </c>
      <c r="G1273" s="13" t="s">
        <v>2118</v>
      </c>
      <c r="H1273" s="13" t="s">
        <v>101</v>
      </c>
      <c r="I1273" s="21" t="s">
        <v>4583</v>
      </c>
      <c r="J1273" s="21" t="s">
        <v>4584</v>
      </c>
      <c r="K1273" s="21" t="s">
        <v>4585</v>
      </c>
      <c r="L1273" s="22" t="s">
        <v>36</v>
      </c>
      <c r="M1273" s="21" t="s">
        <v>120</v>
      </c>
      <c r="N1273" s="13" t="s">
        <v>106</v>
      </c>
      <c r="O1273" s="23" t="n">
        <v>9.91</v>
      </c>
      <c r="P1273" s="13" t="n">
        <v>1</v>
      </c>
      <c r="Q1273" s="24" t="n">
        <v>46311.056875</v>
      </c>
      <c r="R1273" s="22"/>
      <c r="S1273" s="13" t="s">
        <v>164</v>
      </c>
      <c r="T1273" s="13" t="str">
        <f aca="false">IF(S1273="Oui",IF(R1273=L1273,"Identique","Changé"),"")</f>
        <v/>
      </c>
    </row>
    <row r="1274" customFormat="false" ht="35.05" hidden="false" customHeight="false" outlineLevel="0" collapsed="false">
      <c r="A1274" s="13" t="s">
        <v>4586</v>
      </c>
      <c r="B1274" s="13" t="s">
        <v>4579</v>
      </c>
      <c r="C1274" s="13" t="n">
        <v>3</v>
      </c>
      <c r="D1274" s="13" t="s">
        <v>97</v>
      </c>
      <c r="E1274" s="13" t="s">
        <v>122</v>
      </c>
      <c r="F1274" s="13" t="s">
        <v>296</v>
      </c>
      <c r="G1274" s="13" t="s">
        <v>2216</v>
      </c>
      <c r="H1274" s="13" t="s">
        <v>101</v>
      </c>
      <c r="I1274" s="21" t="s">
        <v>4587</v>
      </c>
      <c r="J1274" s="21" t="s">
        <v>284</v>
      </c>
      <c r="K1274" s="21" t="s">
        <v>4588</v>
      </c>
      <c r="L1274" s="22" t="s">
        <v>36</v>
      </c>
      <c r="M1274" s="21" t="s">
        <v>120</v>
      </c>
      <c r="N1274" s="13" t="s">
        <v>106</v>
      </c>
      <c r="O1274" s="23" t="n">
        <v>9.21</v>
      </c>
      <c r="P1274" s="13" t="n">
        <v>1</v>
      </c>
      <c r="Q1274" s="24" t="n">
        <v>46311.0570833333</v>
      </c>
      <c r="R1274" s="22"/>
      <c r="S1274" s="13" t="s">
        <v>164</v>
      </c>
      <c r="T1274" s="13" t="str">
        <f aca="false">IF(S1274="Oui",IF(R1274=L1274,"Identique","Changé"),"")</f>
        <v/>
      </c>
    </row>
    <row r="1275" customFormat="false" ht="35.05" hidden="false" customHeight="false" outlineLevel="0" collapsed="false">
      <c r="A1275" s="13" t="s">
        <v>4589</v>
      </c>
      <c r="B1275" s="13" t="s">
        <v>4579</v>
      </c>
      <c r="C1275" s="13" t="n">
        <v>4</v>
      </c>
      <c r="D1275" s="13" t="s">
        <v>97</v>
      </c>
      <c r="E1275" s="13" t="s">
        <v>260</v>
      </c>
      <c r="F1275" s="13" t="s">
        <v>296</v>
      </c>
      <c r="G1275" s="13" t="s">
        <v>2057</v>
      </c>
      <c r="H1275" s="13" t="s">
        <v>101</v>
      </c>
      <c r="I1275" s="21" t="s">
        <v>4590</v>
      </c>
      <c r="J1275" s="21" t="s">
        <v>512</v>
      </c>
      <c r="K1275" s="21" t="s">
        <v>4591</v>
      </c>
      <c r="L1275" s="22" t="s">
        <v>36</v>
      </c>
      <c r="M1275" s="21" t="s">
        <v>120</v>
      </c>
      <c r="N1275" s="13" t="s">
        <v>106</v>
      </c>
      <c r="O1275" s="23" t="n">
        <v>9.58</v>
      </c>
      <c r="P1275" s="13" t="n">
        <v>1</v>
      </c>
      <c r="Q1275" s="24" t="n">
        <v>46311.0573032407</v>
      </c>
      <c r="R1275" s="22"/>
      <c r="S1275" s="13" t="s">
        <v>164</v>
      </c>
      <c r="T1275" s="13" t="str">
        <f aca="false">IF(S1275="Oui",IF(R1275=L1275,"Identique","Changé"),"")</f>
        <v/>
      </c>
    </row>
    <row r="1276" customFormat="false" ht="35.05" hidden="false" customHeight="false" outlineLevel="0" collapsed="false">
      <c r="A1276" s="13" t="s">
        <v>4592</v>
      </c>
      <c r="B1276" s="13" t="s">
        <v>4579</v>
      </c>
      <c r="C1276" s="13" t="n">
        <v>5</v>
      </c>
      <c r="D1276" s="13" t="s">
        <v>97</v>
      </c>
      <c r="E1276" s="13" t="s">
        <v>185</v>
      </c>
      <c r="F1276" s="13" t="s">
        <v>215</v>
      </c>
      <c r="G1276" s="13" t="s">
        <v>2113</v>
      </c>
      <c r="H1276" s="13" t="s">
        <v>101</v>
      </c>
      <c r="I1276" s="21" t="s">
        <v>4593</v>
      </c>
      <c r="J1276" s="21" t="s">
        <v>4594</v>
      </c>
      <c r="K1276" s="21" t="s">
        <v>4595</v>
      </c>
      <c r="L1276" s="22" t="s">
        <v>36</v>
      </c>
      <c r="M1276" s="21" t="s">
        <v>2135</v>
      </c>
      <c r="N1276" s="13" t="s">
        <v>106</v>
      </c>
      <c r="O1276" s="23" t="n">
        <v>10.11</v>
      </c>
      <c r="P1276" s="13" t="n">
        <v>1</v>
      </c>
      <c r="Q1276" s="24" t="n">
        <v>46311.0575347222</v>
      </c>
      <c r="R1276" s="22"/>
      <c r="S1276" s="13" t="s">
        <v>164</v>
      </c>
      <c r="T1276" s="13" t="str">
        <f aca="false">IF(S1276="Oui",IF(R1276=L1276,"Identique","Changé"),"")</f>
        <v/>
      </c>
    </row>
    <row r="1277" customFormat="false" ht="46.25" hidden="false" customHeight="false" outlineLevel="0" collapsed="false">
      <c r="A1277" s="13" t="s">
        <v>4596</v>
      </c>
      <c r="B1277" s="13" t="s">
        <v>4597</v>
      </c>
      <c r="C1277" s="13" t="n">
        <v>1</v>
      </c>
      <c r="D1277" s="13" t="s">
        <v>135</v>
      </c>
      <c r="E1277" s="13" t="s">
        <v>570</v>
      </c>
      <c r="F1277" s="13" t="s">
        <v>3298</v>
      </c>
      <c r="G1277" s="13" t="s">
        <v>1805</v>
      </c>
      <c r="H1277" s="13" t="s">
        <v>101</v>
      </c>
      <c r="I1277" s="21" t="s">
        <v>4598</v>
      </c>
      <c r="J1277" s="21" t="s">
        <v>284</v>
      </c>
      <c r="K1277" s="21" t="s">
        <v>4599</v>
      </c>
      <c r="L1277" s="22" t="s">
        <v>36</v>
      </c>
      <c r="M1277" s="21" t="s">
        <v>120</v>
      </c>
      <c r="N1277" s="13" t="s">
        <v>106</v>
      </c>
      <c r="O1277" s="23" t="n">
        <v>34.07</v>
      </c>
      <c r="P1277" s="13" t="n">
        <v>2</v>
      </c>
      <c r="Q1277" s="24" t="n">
        <v>46311.0626851852</v>
      </c>
      <c r="R1277" s="22"/>
      <c r="S1277" s="13" t="s">
        <v>164</v>
      </c>
      <c r="T1277" s="13" t="str">
        <f aca="false">IF(S1277="Oui",IF(R1277=L1277,"Identique","Changé"),"")</f>
        <v/>
      </c>
    </row>
    <row r="1278" customFormat="false" ht="35.05" hidden="false" customHeight="false" outlineLevel="0" collapsed="false">
      <c r="A1278" s="13" t="s">
        <v>4600</v>
      </c>
      <c r="B1278" s="13" t="s">
        <v>4597</v>
      </c>
      <c r="C1278" s="13" t="n">
        <v>2</v>
      </c>
      <c r="D1278" s="13" t="s">
        <v>135</v>
      </c>
      <c r="E1278" s="13" t="s">
        <v>570</v>
      </c>
      <c r="F1278" s="13" t="s">
        <v>3298</v>
      </c>
      <c r="G1278" s="13" t="s">
        <v>1775</v>
      </c>
      <c r="H1278" s="13" t="s">
        <v>101</v>
      </c>
      <c r="I1278" s="21" t="s">
        <v>4601</v>
      </c>
      <c r="J1278" s="21" t="s">
        <v>1777</v>
      </c>
      <c r="K1278" s="21" t="s">
        <v>4602</v>
      </c>
      <c r="L1278" s="22" t="s">
        <v>36</v>
      </c>
      <c r="M1278" s="21" t="s">
        <v>120</v>
      </c>
      <c r="N1278" s="13" t="s">
        <v>106</v>
      </c>
      <c r="O1278" s="23" t="n">
        <v>9.54</v>
      </c>
      <c r="P1278" s="13" t="n">
        <v>2</v>
      </c>
      <c r="Q1278" s="24" t="n">
        <v>46311.0628935185</v>
      </c>
      <c r="R1278" s="22"/>
      <c r="S1278" s="13" t="s">
        <v>164</v>
      </c>
      <c r="T1278" s="13" t="str">
        <f aca="false">IF(S1278="Oui",IF(R1278=L1278,"Identique","Changé"),"")</f>
        <v/>
      </c>
    </row>
    <row r="1279" customFormat="false" ht="35.05" hidden="false" customHeight="false" outlineLevel="0" collapsed="false">
      <c r="A1279" s="13" t="s">
        <v>4603</v>
      </c>
      <c r="B1279" s="13" t="s">
        <v>4597</v>
      </c>
      <c r="C1279" s="13" t="n">
        <v>3</v>
      </c>
      <c r="D1279" s="13" t="s">
        <v>135</v>
      </c>
      <c r="E1279" s="13" t="s">
        <v>185</v>
      </c>
      <c r="F1279" s="13" t="s">
        <v>3298</v>
      </c>
      <c r="G1279" s="13" t="s">
        <v>2173</v>
      </c>
      <c r="H1279" s="13" t="s">
        <v>101</v>
      </c>
      <c r="I1279" s="21" t="s">
        <v>4604</v>
      </c>
      <c r="J1279" s="21" t="s">
        <v>4605</v>
      </c>
      <c r="K1279" s="21" t="s">
        <v>4606</v>
      </c>
      <c r="L1279" s="22" t="s">
        <v>36</v>
      </c>
      <c r="M1279" s="21" t="s">
        <v>2135</v>
      </c>
      <c r="N1279" s="13" t="s">
        <v>106</v>
      </c>
      <c r="O1279" s="23" t="n">
        <v>9.85</v>
      </c>
      <c r="P1279" s="13" t="n">
        <v>2</v>
      </c>
      <c r="Q1279" s="24" t="n">
        <v>46311.0631134259</v>
      </c>
      <c r="R1279" s="22"/>
      <c r="S1279" s="13" t="s">
        <v>164</v>
      </c>
      <c r="T1279" s="13" t="str">
        <f aca="false">IF(S1279="Oui",IF(R1279=L1279,"Identique","Changé"),"")</f>
        <v/>
      </c>
    </row>
    <row r="1280" customFormat="false" ht="35.05" hidden="false" customHeight="false" outlineLevel="0" collapsed="false">
      <c r="A1280" s="13" t="s">
        <v>4607</v>
      </c>
      <c r="B1280" s="13" t="s">
        <v>4597</v>
      </c>
      <c r="C1280" s="13" t="n">
        <v>4</v>
      </c>
      <c r="D1280" s="13" t="s">
        <v>135</v>
      </c>
      <c r="E1280" s="13" t="s">
        <v>122</v>
      </c>
      <c r="F1280" s="13" t="s">
        <v>3298</v>
      </c>
      <c r="G1280" s="13" t="s">
        <v>2166</v>
      </c>
      <c r="H1280" s="13" t="s">
        <v>101</v>
      </c>
      <c r="I1280" s="21" t="s">
        <v>4608</v>
      </c>
      <c r="J1280" s="21" t="s">
        <v>284</v>
      </c>
      <c r="K1280" s="21" t="s">
        <v>4609</v>
      </c>
      <c r="L1280" s="22" t="s">
        <v>36</v>
      </c>
      <c r="M1280" s="21" t="s">
        <v>120</v>
      </c>
      <c r="N1280" s="13" t="s">
        <v>106</v>
      </c>
      <c r="O1280" s="23" t="n">
        <v>9.63</v>
      </c>
      <c r="P1280" s="13" t="n">
        <v>2</v>
      </c>
      <c r="Q1280" s="24" t="n">
        <v>46311.0633217593</v>
      </c>
      <c r="R1280" s="22"/>
      <c r="S1280" s="13" t="s">
        <v>164</v>
      </c>
      <c r="T1280" s="13" t="str">
        <f aca="false">IF(S1280="Oui",IF(R1280=L1280,"Identique","Changé"),"")</f>
        <v/>
      </c>
    </row>
    <row r="1281" customFormat="false" ht="583.55" hidden="false" customHeight="false" outlineLevel="0" collapsed="false">
      <c r="A1281" s="13" t="s">
        <v>4610</v>
      </c>
      <c r="B1281" s="13" t="s">
        <v>4597</v>
      </c>
      <c r="C1281" s="13" t="n">
        <v>5</v>
      </c>
      <c r="D1281" s="13" t="s">
        <v>135</v>
      </c>
      <c r="E1281" s="13" t="s">
        <v>1730</v>
      </c>
      <c r="F1281" s="13" t="s">
        <v>3298</v>
      </c>
      <c r="G1281" s="13" t="s">
        <v>2003</v>
      </c>
      <c r="H1281" s="13" t="s">
        <v>101</v>
      </c>
      <c r="I1281" s="21" t="s">
        <v>4611</v>
      </c>
      <c r="J1281" s="21" t="s">
        <v>4612</v>
      </c>
      <c r="K1281" s="21" t="s">
        <v>4613</v>
      </c>
      <c r="L1281" s="22" t="s">
        <v>36</v>
      </c>
      <c r="M1281" s="21" t="s">
        <v>2007</v>
      </c>
      <c r="N1281" s="13" t="s">
        <v>1085</v>
      </c>
      <c r="O1281" s="23" t="n">
        <v>11.09</v>
      </c>
      <c r="P1281" s="13" t="n">
        <v>2</v>
      </c>
      <c r="Q1281" s="24" t="n">
        <v>46311.0635648148</v>
      </c>
      <c r="R1281" s="22"/>
      <c r="S1281" s="13" t="s">
        <v>164</v>
      </c>
      <c r="T1281" s="13" t="str">
        <f aca="false">IF(S1281="Oui",IF(R1281=L1281,"Identique","Changé"),"")</f>
        <v/>
      </c>
    </row>
    <row r="1282" customFormat="false" ht="35.05" hidden="false" customHeight="false" outlineLevel="0" collapsed="false">
      <c r="A1282" s="13" t="s">
        <v>4614</v>
      </c>
      <c r="B1282" s="13" t="s">
        <v>4615</v>
      </c>
      <c r="C1282" s="13" t="n">
        <v>1</v>
      </c>
      <c r="D1282" s="13" t="s">
        <v>97</v>
      </c>
      <c r="E1282" s="13" t="s">
        <v>122</v>
      </c>
      <c r="F1282" s="13" t="s">
        <v>256</v>
      </c>
      <c r="G1282" s="13" t="s">
        <v>1744</v>
      </c>
      <c r="H1282" s="13" t="s">
        <v>101</v>
      </c>
      <c r="I1282" s="21" t="s">
        <v>4616</v>
      </c>
      <c r="J1282" s="21" t="s">
        <v>1746</v>
      </c>
      <c r="K1282" s="21" t="s">
        <v>4617</v>
      </c>
      <c r="L1282" s="22" t="s">
        <v>39</v>
      </c>
      <c r="M1282" s="21" t="s">
        <v>565</v>
      </c>
      <c r="N1282" s="13" t="s">
        <v>106</v>
      </c>
      <c r="O1282" s="23" t="n">
        <v>9.98</v>
      </c>
      <c r="P1282" s="13" t="n">
        <v>2</v>
      </c>
      <c r="Q1282" s="24" t="n">
        <v>46311.0684259259</v>
      </c>
      <c r="R1282" s="22"/>
      <c r="S1282" s="13" t="s">
        <v>164</v>
      </c>
      <c r="T1282" s="13" t="str">
        <f aca="false">IF(S1282="Oui",IF(R1282=L1282,"Identique","Changé"),"")</f>
        <v/>
      </c>
    </row>
    <row r="1283" customFormat="false" ht="68.65" hidden="false" customHeight="false" outlineLevel="0" collapsed="false">
      <c r="A1283" s="13" t="s">
        <v>4618</v>
      </c>
      <c r="B1283" s="13" t="s">
        <v>4615</v>
      </c>
      <c r="C1283" s="13" t="n">
        <v>2</v>
      </c>
      <c r="D1283" s="13" t="s">
        <v>97</v>
      </c>
      <c r="E1283" s="13" t="s">
        <v>1730</v>
      </c>
      <c r="F1283" s="13" t="s">
        <v>256</v>
      </c>
      <c r="G1283" s="13" t="s">
        <v>2098</v>
      </c>
      <c r="H1283" s="13" t="s">
        <v>101</v>
      </c>
      <c r="I1283" s="21" t="s">
        <v>4619</v>
      </c>
      <c r="J1283" s="21" t="s">
        <v>4620</v>
      </c>
      <c r="K1283" s="21" t="s">
        <v>4621</v>
      </c>
      <c r="L1283" s="22" t="s">
        <v>39</v>
      </c>
      <c r="M1283" s="21" t="s">
        <v>565</v>
      </c>
      <c r="N1283" s="13" t="s">
        <v>106</v>
      </c>
      <c r="O1283" s="23" t="n">
        <v>7.32</v>
      </c>
      <c r="P1283" s="13" t="n">
        <v>2</v>
      </c>
      <c r="Q1283" s="24" t="n">
        <v>46311.0686111111</v>
      </c>
      <c r="R1283" s="22"/>
      <c r="S1283" s="13" t="s">
        <v>164</v>
      </c>
      <c r="T1283" s="13" t="str">
        <f aca="false">IF(S1283="Oui",IF(R1283=L1283,"Identique","Changé"),"")</f>
        <v/>
      </c>
    </row>
    <row r="1284" customFormat="false" ht="91" hidden="false" customHeight="false" outlineLevel="0" collapsed="false">
      <c r="A1284" s="13" t="s">
        <v>4622</v>
      </c>
      <c r="B1284" s="13" t="s">
        <v>4615</v>
      </c>
      <c r="C1284" s="13" t="n">
        <v>3</v>
      </c>
      <c r="D1284" s="13" t="s">
        <v>97</v>
      </c>
      <c r="E1284" s="13" t="s">
        <v>570</v>
      </c>
      <c r="F1284" s="13" t="s">
        <v>946</v>
      </c>
      <c r="G1284" s="13" t="s">
        <v>1824</v>
      </c>
      <c r="H1284" s="13" t="s">
        <v>152</v>
      </c>
      <c r="I1284" s="21" t="s">
        <v>4623</v>
      </c>
      <c r="J1284" s="21" t="s">
        <v>154</v>
      </c>
      <c r="K1284" s="21" t="s">
        <v>4624</v>
      </c>
      <c r="L1284" s="22" t="s">
        <v>40</v>
      </c>
      <c r="M1284" s="21" t="s">
        <v>156</v>
      </c>
      <c r="N1284" s="13" t="s">
        <v>106</v>
      </c>
      <c r="O1284" s="23" t="n">
        <v>33.5</v>
      </c>
      <c r="P1284" s="13" t="n">
        <v>2</v>
      </c>
      <c r="Q1284" s="24" t="n">
        <v>46311.0691087963</v>
      </c>
      <c r="R1284" s="22"/>
      <c r="S1284" s="13" t="s">
        <v>164</v>
      </c>
      <c r="T1284" s="13" t="str">
        <f aca="false">IF(S1284="Oui",IF(R1284=L1284,"Identique","Changé"),"")</f>
        <v/>
      </c>
    </row>
    <row r="1285" customFormat="false" ht="35.05" hidden="false" customHeight="false" outlineLevel="0" collapsed="false">
      <c r="A1285" s="13" t="s">
        <v>4625</v>
      </c>
      <c r="B1285" s="13" t="s">
        <v>4615</v>
      </c>
      <c r="C1285" s="13" t="n">
        <v>4</v>
      </c>
      <c r="D1285" s="13" t="s">
        <v>97</v>
      </c>
      <c r="E1285" s="13" t="s">
        <v>128</v>
      </c>
      <c r="F1285" s="13" t="s">
        <v>946</v>
      </c>
      <c r="G1285" s="13" t="s">
        <v>348</v>
      </c>
      <c r="H1285" s="13" t="s">
        <v>101</v>
      </c>
      <c r="I1285" s="21" t="s">
        <v>4626</v>
      </c>
      <c r="J1285" s="21" t="s">
        <v>131</v>
      </c>
      <c r="K1285" s="21" t="s">
        <v>4627</v>
      </c>
      <c r="L1285" s="22" t="s">
        <v>36</v>
      </c>
      <c r="M1285" s="21" t="s">
        <v>120</v>
      </c>
      <c r="N1285" s="13" t="s">
        <v>106</v>
      </c>
      <c r="O1285" s="23" t="n">
        <v>13.91</v>
      </c>
      <c r="P1285" s="13" t="n">
        <v>2</v>
      </c>
      <c r="Q1285" s="24" t="n">
        <v>46311.069375</v>
      </c>
      <c r="R1285" s="22"/>
      <c r="S1285" s="13" t="s">
        <v>164</v>
      </c>
      <c r="T1285" s="13" t="str">
        <f aca="false">IF(S1285="Oui",IF(R1285=L1285,"Identique","Changé"),"")</f>
        <v/>
      </c>
    </row>
    <row r="1286" customFormat="false" ht="46.25" hidden="false" customHeight="false" outlineLevel="0" collapsed="false">
      <c r="A1286" s="13" t="s">
        <v>4628</v>
      </c>
      <c r="B1286" s="13" t="s">
        <v>4615</v>
      </c>
      <c r="C1286" s="13" t="n">
        <v>5</v>
      </c>
      <c r="D1286" s="13" t="s">
        <v>97</v>
      </c>
      <c r="E1286" s="13" t="s">
        <v>122</v>
      </c>
      <c r="F1286" s="13" t="s">
        <v>256</v>
      </c>
      <c r="G1286" s="13" t="s">
        <v>1819</v>
      </c>
      <c r="H1286" s="13" t="s">
        <v>101</v>
      </c>
      <c r="I1286" s="21" t="s">
        <v>4629</v>
      </c>
      <c r="J1286" s="21" t="s">
        <v>1741</v>
      </c>
      <c r="K1286" s="21" t="s">
        <v>4630</v>
      </c>
      <c r="L1286" s="22" t="s">
        <v>38</v>
      </c>
      <c r="M1286" s="21" t="s">
        <v>1822</v>
      </c>
      <c r="N1286" s="13" t="s">
        <v>106</v>
      </c>
      <c r="O1286" s="23" t="n">
        <v>11.64</v>
      </c>
      <c r="P1286" s="13" t="n">
        <v>2</v>
      </c>
      <c r="Q1286" s="24" t="n">
        <v>46311.0696180556</v>
      </c>
      <c r="R1286" s="22"/>
      <c r="S1286" s="13" t="s">
        <v>164</v>
      </c>
      <c r="T1286" s="13" t="str">
        <f aca="false">IF(S1286="Oui",IF(R1286=L1286,"Identique","Changé"),"")</f>
        <v/>
      </c>
    </row>
    <row r="1287" customFormat="false" ht="35.05" hidden="false" customHeight="false" outlineLevel="0" collapsed="false">
      <c r="A1287" s="13" t="s">
        <v>4631</v>
      </c>
      <c r="B1287" s="13" t="s">
        <v>4632</v>
      </c>
      <c r="C1287" s="13" t="n">
        <v>1</v>
      </c>
      <c r="D1287" s="13" t="s">
        <v>135</v>
      </c>
      <c r="E1287" s="13" t="s">
        <v>128</v>
      </c>
      <c r="F1287" s="13" t="s">
        <v>3335</v>
      </c>
      <c r="G1287" s="13" t="s">
        <v>2071</v>
      </c>
      <c r="H1287" s="13" t="s">
        <v>101</v>
      </c>
      <c r="I1287" s="21" t="s">
        <v>4633</v>
      </c>
      <c r="J1287" s="21" t="s">
        <v>195</v>
      </c>
      <c r="K1287" s="21" t="s">
        <v>4634</v>
      </c>
      <c r="L1287" s="22" t="s">
        <v>36</v>
      </c>
      <c r="M1287" s="21" t="s">
        <v>120</v>
      </c>
      <c r="N1287" s="13" t="s">
        <v>106</v>
      </c>
      <c r="O1287" s="23" t="n">
        <v>43.58</v>
      </c>
      <c r="P1287" s="13" t="n">
        <v>3</v>
      </c>
      <c r="Q1287" s="24" t="n">
        <v>46311.0798842593</v>
      </c>
      <c r="R1287" s="22"/>
      <c r="S1287" s="13" t="s">
        <v>164</v>
      </c>
      <c r="T1287" s="13" t="str">
        <f aca="false">IF(S1287="Oui",IF(R1287=L1287,"Identique","Changé"),"")</f>
        <v/>
      </c>
    </row>
    <row r="1288" customFormat="false" ht="35.05" hidden="false" customHeight="false" outlineLevel="0" collapsed="false">
      <c r="A1288" s="13" t="s">
        <v>4635</v>
      </c>
      <c r="B1288" s="13" t="s">
        <v>4632</v>
      </c>
      <c r="C1288" s="13" t="n">
        <v>2</v>
      </c>
      <c r="D1288" s="13" t="s">
        <v>135</v>
      </c>
      <c r="E1288" s="13" t="s">
        <v>122</v>
      </c>
      <c r="F1288" s="13" t="s">
        <v>3335</v>
      </c>
      <c r="G1288" s="13" t="s">
        <v>1840</v>
      </c>
      <c r="H1288" s="13" t="s">
        <v>101</v>
      </c>
      <c r="I1288" s="21" t="s">
        <v>4636</v>
      </c>
      <c r="J1288" s="21" t="s">
        <v>284</v>
      </c>
      <c r="K1288" s="21" t="s">
        <v>4637</v>
      </c>
      <c r="L1288" s="22" t="s">
        <v>36</v>
      </c>
      <c r="M1288" s="21" t="s">
        <v>120</v>
      </c>
      <c r="N1288" s="13" t="s">
        <v>106</v>
      </c>
      <c r="O1288" s="23" t="n">
        <v>18.81</v>
      </c>
      <c r="P1288" s="13" t="n">
        <v>3</v>
      </c>
      <c r="Q1288" s="24" t="n">
        <v>46311.0801967593</v>
      </c>
      <c r="R1288" s="22"/>
      <c r="S1288" s="13" t="s">
        <v>164</v>
      </c>
      <c r="T1288" s="13" t="str">
        <f aca="false">IF(S1288="Oui",IF(R1288=L1288,"Identique","Changé"),"")</f>
        <v/>
      </c>
    </row>
    <row r="1289" customFormat="false" ht="35.05" hidden="false" customHeight="false" outlineLevel="0" collapsed="false">
      <c r="A1289" s="13" t="s">
        <v>4638</v>
      </c>
      <c r="B1289" s="13" t="s">
        <v>4632</v>
      </c>
      <c r="C1289" s="13" t="n">
        <v>3</v>
      </c>
      <c r="D1289" s="13" t="s">
        <v>135</v>
      </c>
      <c r="E1289" s="13" t="s">
        <v>122</v>
      </c>
      <c r="F1289" s="13" t="s">
        <v>3335</v>
      </c>
      <c r="G1289" s="13" t="s">
        <v>1874</v>
      </c>
      <c r="H1289" s="13" t="s">
        <v>101</v>
      </c>
      <c r="I1289" s="21" t="s">
        <v>4639</v>
      </c>
      <c r="J1289" s="21" t="s">
        <v>2683</v>
      </c>
      <c r="K1289" s="21" t="s">
        <v>4640</v>
      </c>
      <c r="L1289" s="22" t="s">
        <v>36</v>
      </c>
      <c r="M1289" s="21" t="s">
        <v>120</v>
      </c>
      <c r="N1289" s="13" t="s">
        <v>106</v>
      </c>
      <c r="O1289" s="23" t="n">
        <v>10.2</v>
      </c>
      <c r="P1289" s="13" t="n">
        <v>3</v>
      </c>
      <c r="Q1289" s="24" t="n">
        <v>46311.0804166667</v>
      </c>
      <c r="R1289" s="22"/>
      <c r="S1289" s="13" t="s">
        <v>164</v>
      </c>
      <c r="T1289" s="13" t="str">
        <f aca="false">IF(S1289="Oui",IF(R1289=L1289,"Identique","Changé"),"")</f>
        <v/>
      </c>
    </row>
    <row r="1290" customFormat="false" ht="35.05" hidden="false" customHeight="false" outlineLevel="0" collapsed="false">
      <c r="A1290" s="13" t="s">
        <v>4641</v>
      </c>
      <c r="B1290" s="13" t="s">
        <v>4632</v>
      </c>
      <c r="C1290" s="13" t="n">
        <v>4</v>
      </c>
      <c r="D1290" s="13" t="s">
        <v>135</v>
      </c>
      <c r="E1290" s="13" t="s">
        <v>128</v>
      </c>
      <c r="F1290" s="13" t="s">
        <v>3335</v>
      </c>
      <c r="G1290" s="13" t="s">
        <v>290</v>
      </c>
      <c r="H1290" s="13" t="s">
        <v>101</v>
      </c>
      <c r="I1290" s="21" t="s">
        <v>4642</v>
      </c>
      <c r="J1290" s="21" t="s">
        <v>131</v>
      </c>
      <c r="K1290" s="21" t="s">
        <v>4643</v>
      </c>
      <c r="L1290" s="22" t="s">
        <v>36</v>
      </c>
      <c r="M1290" s="21" t="s">
        <v>120</v>
      </c>
      <c r="N1290" s="13" t="s">
        <v>106</v>
      </c>
      <c r="O1290" s="23" t="n">
        <v>12.96</v>
      </c>
      <c r="P1290" s="13" t="n">
        <v>3</v>
      </c>
      <c r="Q1290" s="24" t="n">
        <v>46311.0806828704</v>
      </c>
      <c r="R1290" s="22"/>
      <c r="S1290" s="13" t="s">
        <v>164</v>
      </c>
      <c r="T1290" s="13" t="str">
        <f aca="false">IF(S1290="Oui",IF(R1290=L1290,"Identique","Changé"),"")</f>
        <v/>
      </c>
    </row>
    <row r="1291" customFormat="false" ht="35.05" hidden="false" customHeight="false" outlineLevel="0" collapsed="false">
      <c r="A1291" s="13" t="s">
        <v>4644</v>
      </c>
      <c r="B1291" s="13" t="s">
        <v>4632</v>
      </c>
      <c r="C1291" s="13" t="n">
        <v>5</v>
      </c>
      <c r="D1291" s="13" t="s">
        <v>135</v>
      </c>
      <c r="E1291" s="13" t="s">
        <v>185</v>
      </c>
      <c r="F1291" s="13" t="s">
        <v>3335</v>
      </c>
      <c r="G1291" s="13" t="s">
        <v>2153</v>
      </c>
      <c r="H1291" s="13" t="s">
        <v>101</v>
      </c>
      <c r="I1291" s="21" t="s">
        <v>4645</v>
      </c>
      <c r="J1291" s="21" t="s">
        <v>2155</v>
      </c>
      <c r="K1291" s="21" t="s">
        <v>4646</v>
      </c>
      <c r="L1291" s="22" t="s">
        <v>36</v>
      </c>
      <c r="M1291" s="21" t="s">
        <v>120</v>
      </c>
      <c r="N1291" s="13" t="s">
        <v>106</v>
      </c>
      <c r="O1291" s="23" t="n">
        <v>10.21</v>
      </c>
      <c r="P1291" s="13" t="n">
        <v>3</v>
      </c>
      <c r="Q1291" s="24" t="n">
        <v>46311.0809027778</v>
      </c>
      <c r="R1291" s="22"/>
      <c r="S1291" s="13" t="s">
        <v>164</v>
      </c>
      <c r="T1291" s="13" t="str">
        <f aca="false">IF(S1291="Oui",IF(R1291=L1291,"Identique","Changé"),"")</f>
        <v/>
      </c>
    </row>
    <row r="1292" customFormat="false" ht="35.05" hidden="false" customHeight="false" outlineLevel="0" collapsed="false">
      <c r="A1292" s="13" t="s">
        <v>4647</v>
      </c>
      <c r="B1292" s="13" t="s">
        <v>4648</v>
      </c>
      <c r="C1292" s="13" t="n">
        <v>1</v>
      </c>
      <c r="D1292" s="13" t="s">
        <v>97</v>
      </c>
      <c r="E1292" s="13" t="s">
        <v>158</v>
      </c>
      <c r="F1292" s="13" t="s">
        <v>488</v>
      </c>
      <c r="G1292" s="13" t="s">
        <v>1909</v>
      </c>
      <c r="H1292" s="13" t="s">
        <v>101</v>
      </c>
      <c r="I1292" s="21" t="s">
        <v>4649</v>
      </c>
      <c r="J1292" s="21" t="s">
        <v>512</v>
      </c>
      <c r="K1292" s="21" t="s">
        <v>4650</v>
      </c>
      <c r="L1292" s="22" t="s">
        <v>39</v>
      </c>
      <c r="M1292" s="21" t="s">
        <v>565</v>
      </c>
      <c r="N1292" s="13" t="s">
        <v>106</v>
      </c>
      <c r="O1292" s="23" t="n">
        <v>21.45</v>
      </c>
      <c r="P1292" s="13" t="n">
        <v>1</v>
      </c>
      <c r="Q1292" s="24" t="n">
        <v>46311.0813194444</v>
      </c>
      <c r="R1292" s="22"/>
      <c r="S1292" s="13" t="s">
        <v>164</v>
      </c>
      <c r="T1292" s="13" t="str">
        <f aca="false">IF(S1292="Oui",IF(R1292=L1292,"Identique","Changé"),"")</f>
        <v/>
      </c>
    </row>
    <row r="1293" customFormat="false" ht="23.85" hidden="false" customHeight="false" outlineLevel="0" collapsed="false">
      <c r="A1293" s="13" t="s">
        <v>4651</v>
      </c>
      <c r="B1293" s="13" t="s">
        <v>4648</v>
      </c>
      <c r="C1293" s="13" t="n">
        <v>2</v>
      </c>
      <c r="D1293" s="13" t="s">
        <v>97</v>
      </c>
      <c r="E1293" s="13" t="s">
        <v>114</v>
      </c>
      <c r="F1293" s="13" t="s">
        <v>488</v>
      </c>
      <c r="G1293" s="13" t="s">
        <v>1887</v>
      </c>
      <c r="H1293" s="13" t="s">
        <v>101</v>
      </c>
      <c r="I1293" s="21" t="s">
        <v>4652</v>
      </c>
      <c r="J1293" s="21" t="s">
        <v>512</v>
      </c>
      <c r="K1293" s="21" t="s">
        <v>4653</v>
      </c>
      <c r="L1293" s="22" t="s">
        <v>39</v>
      </c>
      <c r="M1293" s="21" t="s">
        <v>565</v>
      </c>
      <c r="N1293" s="13" t="s">
        <v>106</v>
      </c>
      <c r="O1293" s="23" t="n">
        <v>7.77</v>
      </c>
      <c r="P1293" s="13" t="n">
        <v>1</v>
      </c>
      <c r="Q1293" s="24" t="n">
        <v>46311.0815162037</v>
      </c>
      <c r="R1293" s="22"/>
      <c r="S1293" s="13" t="s">
        <v>164</v>
      </c>
      <c r="T1293" s="13" t="str">
        <f aca="false">IF(S1293="Oui",IF(R1293=L1293,"Identique","Changé"),"")</f>
        <v/>
      </c>
    </row>
    <row r="1294" customFormat="false" ht="23.85" hidden="false" customHeight="false" outlineLevel="0" collapsed="false">
      <c r="A1294" s="13" t="s">
        <v>4654</v>
      </c>
      <c r="B1294" s="13" t="s">
        <v>4648</v>
      </c>
      <c r="C1294" s="13" t="n">
        <v>3</v>
      </c>
      <c r="D1294" s="13" t="s">
        <v>97</v>
      </c>
      <c r="E1294" s="13" t="s">
        <v>128</v>
      </c>
      <c r="F1294" s="13" t="s">
        <v>559</v>
      </c>
      <c r="G1294" s="13" t="s">
        <v>290</v>
      </c>
      <c r="H1294" s="13" t="s">
        <v>101</v>
      </c>
      <c r="I1294" s="21" t="s">
        <v>4655</v>
      </c>
      <c r="J1294" s="21" t="s">
        <v>131</v>
      </c>
      <c r="K1294" s="21" t="s">
        <v>1105</v>
      </c>
      <c r="L1294" s="22" t="s">
        <v>37</v>
      </c>
      <c r="M1294" s="21" t="s">
        <v>163</v>
      </c>
      <c r="N1294" s="13" t="s">
        <v>106</v>
      </c>
      <c r="O1294" s="23" t="n">
        <v>75.25</v>
      </c>
      <c r="P1294" s="13" t="n">
        <v>1</v>
      </c>
      <c r="Q1294" s="24" t="n">
        <v>46311.0824884259</v>
      </c>
      <c r="R1294" s="22"/>
      <c r="S1294" s="13" t="s">
        <v>164</v>
      </c>
      <c r="T1294" s="13" t="str">
        <f aca="false">IF(S1294="Oui",IF(R1294=L1294,"Identique","Changé"),"")</f>
        <v/>
      </c>
    </row>
    <row r="1295" customFormat="false" ht="57.45" hidden="false" customHeight="false" outlineLevel="0" collapsed="false">
      <c r="A1295" s="13" t="s">
        <v>4656</v>
      </c>
      <c r="B1295" s="13" t="s">
        <v>4648</v>
      </c>
      <c r="C1295" s="13" t="n">
        <v>4</v>
      </c>
      <c r="D1295" s="13" t="s">
        <v>97</v>
      </c>
      <c r="E1295" s="13" t="s">
        <v>122</v>
      </c>
      <c r="F1295" s="13" t="s">
        <v>559</v>
      </c>
      <c r="G1295" s="13" t="s">
        <v>2036</v>
      </c>
      <c r="H1295" s="13" t="s">
        <v>152</v>
      </c>
      <c r="I1295" s="21" t="s">
        <v>4657</v>
      </c>
      <c r="J1295" s="21" t="s">
        <v>154</v>
      </c>
      <c r="K1295" s="21" t="s">
        <v>4658</v>
      </c>
      <c r="L1295" s="22" t="s">
        <v>40</v>
      </c>
      <c r="M1295" s="21" t="s">
        <v>156</v>
      </c>
      <c r="N1295" s="13" t="s">
        <v>106</v>
      </c>
      <c r="O1295" s="23" t="n">
        <v>10.9</v>
      </c>
      <c r="P1295" s="13" t="n">
        <v>1</v>
      </c>
      <c r="Q1295" s="24" t="n">
        <v>46311.0827199074</v>
      </c>
      <c r="R1295" s="22"/>
      <c r="S1295" s="13" t="s">
        <v>164</v>
      </c>
      <c r="T1295" s="13" t="str">
        <f aca="false">IF(S1295="Oui",IF(R1295=L1295,"Identique","Changé"),"")</f>
        <v/>
      </c>
    </row>
    <row r="1296" customFormat="false" ht="23.85" hidden="false" customHeight="false" outlineLevel="0" collapsed="false">
      <c r="A1296" s="13" t="s">
        <v>4659</v>
      </c>
      <c r="B1296" s="13" t="s">
        <v>4648</v>
      </c>
      <c r="C1296" s="13" t="n">
        <v>5</v>
      </c>
      <c r="D1296" s="13" t="s">
        <v>97</v>
      </c>
      <c r="E1296" s="13" t="s">
        <v>114</v>
      </c>
      <c r="F1296" s="13" t="s">
        <v>488</v>
      </c>
      <c r="G1296" s="13" t="s">
        <v>2123</v>
      </c>
      <c r="H1296" s="13" t="s">
        <v>101</v>
      </c>
      <c r="I1296" s="21" t="s">
        <v>4660</v>
      </c>
      <c r="J1296" s="21" t="s">
        <v>2125</v>
      </c>
      <c r="K1296" s="21" t="s">
        <v>1105</v>
      </c>
      <c r="L1296" s="22" t="s">
        <v>37</v>
      </c>
      <c r="M1296" s="21" t="s">
        <v>163</v>
      </c>
      <c r="N1296" s="13" t="s">
        <v>106</v>
      </c>
      <c r="O1296" s="23" t="n">
        <v>9.01</v>
      </c>
      <c r="P1296" s="13" t="n">
        <v>1</v>
      </c>
      <c r="Q1296" s="24" t="n">
        <v>46311.0829282407</v>
      </c>
      <c r="R1296" s="22"/>
      <c r="S1296" s="13" t="s">
        <v>164</v>
      </c>
      <c r="T1296" s="13" t="str">
        <f aca="false">IF(S1296="Oui",IF(R1296=L1296,"Identique","Changé"),"")</f>
        <v/>
      </c>
    </row>
    <row r="1297" customFormat="false" ht="46.25" hidden="false" customHeight="false" outlineLevel="0" collapsed="false">
      <c r="A1297" s="13" t="s">
        <v>4661</v>
      </c>
      <c r="B1297" s="13" t="s">
        <v>4662</v>
      </c>
      <c r="C1297" s="13" t="n">
        <v>1</v>
      </c>
      <c r="D1297" s="13" t="s">
        <v>135</v>
      </c>
      <c r="E1297" s="13" t="s">
        <v>158</v>
      </c>
      <c r="F1297" s="13" t="s">
        <v>4663</v>
      </c>
      <c r="G1297" s="13" t="s">
        <v>1909</v>
      </c>
      <c r="H1297" s="13" t="s">
        <v>101</v>
      </c>
      <c r="I1297" s="21" t="s">
        <v>4664</v>
      </c>
      <c r="J1297" s="21" t="s">
        <v>284</v>
      </c>
      <c r="K1297" s="21" t="s">
        <v>4665</v>
      </c>
      <c r="L1297" s="22" t="s">
        <v>37</v>
      </c>
      <c r="M1297" s="21" t="s">
        <v>163</v>
      </c>
      <c r="N1297" s="13" t="s">
        <v>106</v>
      </c>
      <c r="O1297" s="23" t="n">
        <v>35.2</v>
      </c>
      <c r="P1297" s="13" t="n">
        <v>1</v>
      </c>
      <c r="Q1297" s="24" t="n">
        <v>46311.0835069444</v>
      </c>
      <c r="R1297" s="22"/>
      <c r="S1297" s="13" t="s">
        <v>164</v>
      </c>
      <c r="T1297" s="13" t="str">
        <f aca="false">IF(S1297="Oui",IF(R1297=L1297,"Identique","Changé"),"")</f>
        <v/>
      </c>
    </row>
    <row r="1298" customFormat="false" ht="46.25" hidden="false" customHeight="false" outlineLevel="0" collapsed="false">
      <c r="A1298" s="13" t="s">
        <v>4666</v>
      </c>
      <c r="B1298" s="13" t="s">
        <v>4662</v>
      </c>
      <c r="C1298" s="13" t="n">
        <v>2</v>
      </c>
      <c r="D1298" s="13" t="s">
        <v>135</v>
      </c>
      <c r="E1298" s="13" t="s">
        <v>114</v>
      </c>
      <c r="F1298" s="13" t="s">
        <v>4663</v>
      </c>
      <c r="G1298" s="13" t="s">
        <v>2118</v>
      </c>
      <c r="H1298" s="13" t="s">
        <v>101</v>
      </c>
      <c r="I1298" s="21" t="s">
        <v>4667</v>
      </c>
      <c r="J1298" s="21" t="s">
        <v>2188</v>
      </c>
      <c r="K1298" s="21" t="s">
        <v>4668</v>
      </c>
      <c r="L1298" s="22" t="s">
        <v>36</v>
      </c>
      <c r="M1298" s="21" t="s">
        <v>120</v>
      </c>
      <c r="N1298" s="13" t="s">
        <v>106</v>
      </c>
      <c r="O1298" s="23" t="n">
        <v>10.27</v>
      </c>
      <c r="P1298" s="13" t="n">
        <v>1</v>
      </c>
      <c r="Q1298" s="24" t="n">
        <v>46311.0837152778</v>
      </c>
      <c r="R1298" s="22"/>
      <c r="S1298" s="13" t="s">
        <v>164</v>
      </c>
      <c r="T1298" s="13" t="str">
        <f aca="false">IF(S1298="Oui",IF(R1298=L1298,"Identique","Changé"),"")</f>
        <v/>
      </c>
    </row>
    <row r="1299" customFormat="false" ht="46.25" hidden="false" customHeight="false" outlineLevel="0" collapsed="false">
      <c r="A1299" s="13" t="s">
        <v>4669</v>
      </c>
      <c r="B1299" s="13" t="s">
        <v>4662</v>
      </c>
      <c r="C1299" s="13" t="n">
        <v>3</v>
      </c>
      <c r="D1299" s="13" t="s">
        <v>135</v>
      </c>
      <c r="E1299" s="13" t="s">
        <v>570</v>
      </c>
      <c r="F1299" s="13" t="s">
        <v>2420</v>
      </c>
      <c r="G1299" s="13" t="s">
        <v>1800</v>
      </c>
      <c r="H1299" s="13" t="s">
        <v>101</v>
      </c>
      <c r="I1299" s="21" t="s">
        <v>4670</v>
      </c>
      <c r="J1299" s="21" t="s">
        <v>4671</v>
      </c>
      <c r="K1299" s="21" t="s">
        <v>4672</v>
      </c>
      <c r="L1299" s="22" t="s">
        <v>36</v>
      </c>
      <c r="M1299" s="21" t="s">
        <v>235</v>
      </c>
      <c r="N1299" s="13" t="s">
        <v>106</v>
      </c>
      <c r="O1299" s="23" t="n">
        <v>9.74</v>
      </c>
      <c r="P1299" s="13" t="n">
        <v>1</v>
      </c>
      <c r="Q1299" s="24" t="n">
        <v>46311.0839351852</v>
      </c>
      <c r="R1299" s="22"/>
      <c r="S1299" s="13" t="s">
        <v>164</v>
      </c>
      <c r="T1299" s="13" t="str">
        <f aca="false">IF(S1299="Oui",IF(R1299=L1299,"Identique","Changé"),"")</f>
        <v/>
      </c>
    </row>
    <row r="1300" customFormat="false" ht="46.25" hidden="false" customHeight="false" outlineLevel="0" collapsed="false">
      <c r="A1300" s="13" t="s">
        <v>4673</v>
      </c>
      <c r="B1300" s="13" t="s">
        <v>4662</v>
      </c>
      <c r="C1300" s="13" t="n">
        <v>4</v>
      </c>
      <c r="D1300" s="13" t="s">
        <v>135</v>
      </c>
      <c r="E1300" s="13" t="s">
        <v>260</v>
      </c>
      <c r="F1300" s="13" t="s">
        <v>2420</v>
      </c>
      <c r="G1300" s="13" t="s">
        <v>2057</v>
      </c>
      <c r="H1300" s="13" t="s">
        <v>101</v>
      </c>
      <c r="I1300" s="21" t="s">
        <v>4674</v>
      </c>
      <c r="J1300" s="21" t="s">
        <v>512</v>
      </c>
      <c r="K1300" s="21" t="s">
        <v>4675</v>
      </c>
      <c r="L1300" s="22" t="s">
        <v>36</v>
      </c>
      <c r="M1300" s="21" t="s">
        <v>120</v>
      </c>
      <c r="N1300" s="13" t="s">
        <v>106</v>
      </c>
      <c r="O1300" s="23" t="n">
        <v>9.91</v>
      </c>
      <c r="P1300" s="13" t="n">
        <v>1</v>
      </c>
      <c r="Q1300" s="24" t="n">
        <v>46311.0841435185</v>
      </c>
      <c r="R1300" s="22"/>
      <c r="S1300" s="13" t="s">
        <v>164</v>
      </c>
      <c r="T1300" s="13" t="str">
        <f aca="false">IF(S1300="Oui",IF(R1300=L1300,"Identique","Changé"),"")</f>
        <v/>
      </c>
    </row>
    <row r="1301" customFormat="false" ht="35.05" hidden="false" customHeight="false" outlineLevel="0" collapsed="false">
      <c r="A1301" s="13" t="s">
        <v>4676</v>
      </c>
      <c r="B1301" s="13" t="s">
        <v>4662</v>
      </c>
      <c r="C1301" s="13" t="n">
        <v>5</v>
      </c>
      <c r="D1301" s="13" t="s">
        <v>135</v>
      </c>
      <c r="E1301" s="13" t="s">
        <v>114</v>
      </c>
      <c r="F1301" s="13" t="s">
        <v>4663</v>
      </c>
      <c r="G1301" s="13" t="s">
        <v>2085</v>
      </c>
      <c r="H1301" s="13" t="s">
        <v>101</v>
      </c>
      <c r="I1301" s="21" t="s">
        <v>4677</v>
      </c>
      <c r="J1301" s="21" t="s">
        <v>284</v>
      </c>
      <c r="K1301" s="21" t="s">
        <v>4678</v>
      </c>
      <c r="L1301" s="22" t="s">
        <v>36</v>
      </c>
      <c r="M1301" s="21" t="s">
        <v>120</v>
      </c>
      <c r="N1301" s="13" t="s">
        <v>106</v>
      </c>
      <c r="O1301" s="23" t="n">
        <v>11.66</v>
      </c>
      <c r="P1301" s="13" t="n">
        <v>1</v>
      </c>
      <c r="Q1301" s="24" t="n">
        <v>46311.0843865741</v>
      </c>
      <c r="R1301" s="22"/>
      <c r="S1301" s="13" t="s">
        <v>164</v>
      </c>
      <c r="T1301" s="13" t="str">
        <f aca="false">IF(S1301="Oui",IF(R1301=L1301,"Identique","Changé"),"")</f>
        <v/>
      </c>
    </row>
    <row r="1302" customFormat="false" ht="46.25" hidden="false" customHeight="false" outlineLevel="0" collapsed="false">
      <c r="A1302" s="13" t="s">
        <v>4679</v>
      </c>
      <c r="B1302" s="13" t="s">
        <v>4680</v>
      </c>
      <c r="C1302" s="13" t="n">
        <v>1</v>
      </c>
      <c r="D1302" s="13" t="s">
        <v>97</v>
      </c>
      <c r="E1302" s="13" t="s">
        <v>122</v>
      </c>
      <c r="F1302" s="13" t="s">
        <v>1615</v>
      </c>
      <c r="G1302" s="13" t="s">
        <v>1833</v>
      </c>
      <c r="H1302" s="13" t="s">
        <v>101</v>
      </c>
      <c r="I1302" s="21" t="s">
        <v>4681</v>
      </c>
      <c r="J1302" s="21" t="s">
        <v>1741</v>
      </c>
      <c r="K1302" s="21" t="s">
        <v>4682</v>
      </c>
      <c r="L1302" s="22" t="s">
        <v>36</v>
      </c>
      <c r="M1302" s="21" t="s">
        <v>235</v>
      </c>
      <c r="N1302" s="13" t="s">
        <v>106</v>
      </c>
      <c r="O1302" s="23" t="n">
        <v>33.52</v>
      </c>
      <c r="P1302" s="13" t="n">
        <v>1</v>
      </c>
      <c r="Q1302" s="24" t="n">
        <v>46311.0849421296</v>
      </c>
      <c r="R1302" s="22"/>
      <c r="S1302" s="13" t="s">
        <v>164</v>
      </c>
      <c r="T1302" s="13" t="str">
        <f aca="false">IF(S1302="Oui",IF(R1302=L1302,"Identique","Changé"),"")</f>
        <v/>
      </c>
    </row>
    <row r="1303" customFormat="false" ht="35.05" hidden="false" customHeight="false" outlineLevel="0" collapsed="false">
      <c r="A1303" s="13" t="s">
        <v>4683</v>
      </c>
      <c r="B1303" s="13" t="s">
        <v>4680</v>
      </c>
      <c r="C1303" s="13" t="n">
        <v>2</v>
      </c>
      <c r="D1303" s="13" t="s">
        <v>97</v>
      </c>
      <c r="E1303" s="13" t="s">
        <v>122</v>
      </c>
      <c r="F1303" s="13" t="s">
        <v>1615</v>
      </c>
      <c r="G1303" s="13" t="s">
        <v>1848</v>
      </c>
      <c r="H1303" s="13" t="s">
        <v>101</v>
      </c>
      <c r="I1303" s="21" t="s">
        <v>4684</v>
      </c>
      <c r="J1303" s="21" t="s">
        <v>1850</v>
      </c>
      <c r="K1303" s="21" t="s">
        <v>4685</v>
      </c>
      <c r="L1303" s="22" t="s">
        <v>36</v>
      </c>
      <c r="M1303" s="21" t="s">
        <v>235</v>
      </c>
      <c r="N1303" s="13" t="s">
        <v>106</v>
      </c>
      <c r="O1303" s="23" t="n">
        <v>9.88</v>
      </c>
      <c r="P1303" s="13" t="n">
        <v>1</v>
      </c>
      <c r="Q1303" s="24" t="n">
        <v>46311.085162037</v>
      </c>
      <c r="R1303" s="22"/>
      <c r="S1303" s="13" t="s">
        <v>164</v>
      </c>
      <c r="T1303" s="13" t="str">
        <f aca="false">IF(S1303="Oui",IF(R1303=L1303,"Identique","Changé"),"")</f>
        <v/>
      </c>
    </row>
    <row r="1304" customFormat="false" ht="46.25" hidden="false" customHeight="false" outlineLevel="0" collapsed="false">
      <c r="A1304" s="13" t="s">
        <v>4686</v>
      </c>
      <c r="B1304" s="13" t="s">
        <v>4680</v>
      </c>
      <c r="C1304" s="13" t="n">
        <v>3</v>
      </c>
      <c r="D1304" s="13" t="s">
        <v>97</v>
      </c>
      <c r="E1304" s="13" t="s">
        <v>114</v>
      </c>
      <c r="F1304" s="13" t="s">
        <v>1615</v>
      </c>
      <c r="G1304" s="13" t="s">
        <v>2200</v>
      </c>
      <c r="H1304" s="13" t="s">
        <v>101</v>
      </c>
      <c r="I1304" s="21" t="s">
        <v>4687</v>
      </c>
      <c r="J1304" s="21" t="s">
        <v>3310</v>
      </c>
      <c r="K1304" s="21" t="s">
        <v>4688</v>
      </c>
      <c r="L1304" s="22" t="s">
        <v>36</v>
      </c>
      <c r="M1304" s="21" t="s">
        <v>120</v>
      </c>
      <c r="N1304" s="13" t="s">
        <v>106</v>
      </c>
      <c r="O1304" s="23" t="n">
        <v>19.8</v>
      </c>
      <c r="P1304" s="13" t="n">
        <v>1</v>
      </c>
      <c r="Q1304" s="24" t="n">
        <v>46311.0854861111</v>
      </c>
      <c r="R1304" s="22"/>
      <c r="S1304" s="13" t="s">
        <v>164</v>
      </c>
      <c r="T1304" s="13" t="str">
        <f aca="false">IF(S1304="Oui",IF(R1304=L1304,"Identique","Changé"),"")</f>
        <v/>
      </c>
    </row>
    <row r="1305" customFormat="false" ht="135.8" hidden="false" customHeight="false" outlineLevel="0" collapsed="false">
      <c r="A1305" s="13" t="s">
        <v>4689</v>
      </c>
      <c r="B1305" s="13" t="s">
        <v>4680</v>
      </c>
      <c r="C1305" s="13" t="n">
        <v>4</v>
      </c>
      <c r="D1305" s="13" t="s">
        <v>97</v>
      </c>
      <c r="E1305" s="13" t="s">
        <v>1730</v>
      </c>
      <c r="F1305" s="13" t="s">
        <v>1615</v>
      </c>
      <c r="G1305" s="13" t="s">
        <v>2009</v>
      </c>
      <c r="H1305" s="13" t="s">
        <v>101</v>
      </c>
      <c r="I1305" s="21" t="s">
        <v>4690</v>
      </c>
      <c r="J1305" s="21" t="s">
        <v>4691</v>
      </c>
      <c r="K1305" s="21" t="s">
        <v>4692</v>
      </c>
      <c r="L1305" s="22" t="s">
        <v>36</v>
      </c>
      <c r="M1305" s="21" t="s">
        <v>3581</v>
      </c>
      <c r="N1305" s="13" t="s">
        <v>106</v>
      </c>
      <c r="O1305" s="23" t="n">
        <v>11.61</v>
      </c>
      <c r="P1305" s="13" t="n">
        <v>1</v>
      </c>
      <c r="Q1305" s="24" t="n">
        <v>46311.0857291667</v>
      </c>
      <c r="R1305" s="22"/>
      <c r="S1305" s="13" t="s">
        <v>164</v>
      </c>
      <c r="T1305" s="13" t="str">
        <f aca="false">IF(S1305="Oui",IF(R1305=L1305,"Identique","Changé"),"")</f>
        <v/>
      </c>
    </row>
    <row r="1306" customFormat="false" ht="35.05" hidden="false" customHeight="false" outlineLevel="0" collapsed="false">
      <c r="A1306" s="13" t="s">
        <v>4693</v>
      </c>
      <c r="B1306" s="13" t="s">
        <v>4680</v>
      </c>
      <c r="C1306" s="13" t="n">
        <v>5</v>
      </c>
      <c r="D1306" s="13" t="s">
        <v>97</v>
      </c>
      <c r="E1306" s="13" t="s">
        <v>570</v>
      </c>
      <c r="F1306" s="13" t="s">
        <v>1615</v>
      </c>
      <c r="G1306" s="13" t="s">
        <v>1794</v>
      </c>
      <c r="H1306" s="13" t="s">
        <v>101</v>
      </c>
      <c r="I1306" s="21" t="s">
        <v>4694</v>
      </c>
      <c r="J1306" s="21" t="s">
        <v>4695</v>
      </c>
      <c r="K1306" s="21" t="s">
        <v>4696</v>
      </c>
      <c r="L1306" s="22" t="s">
        <v>38</v>
      </c>
      <c r="M1306" s="21" t="s">
        <v>1822</v>
      </c>
      <c r="N1306" s="13" t="s">
        <v>106</v>
      </c>
      <c r="O1306" s="23" t="n">
        <v>10.71</v>
      </c>
      <c r="P1306" s="13" t="n">
        <v>1</v>
      </c>
      <c r="Q1306" s="24" t="n">
        <v>46311.0859606482</v>
      </c>
      <c r="R1306" s="22"/>
      <c r="S1306" s="13" t="s">
        <v>164</v>
      </c>
      <c r="T1306" s="13" t="str">
        <f aca="false">IF(S1306="Oui",IF(R1306=L1306,"Identique","Changé"),"")</f>
        <v/>
      </c>
    </row>
    <row r="1307" customFormat="false" ht="46.25" hidden="false" customHeight="false" outlineLevel="0" collapsed="false">
      <c r="A1307" s="13" t="s">
        <v>4697</v>
      </c>
      <c r="B1307" s="13" t="s">
        <v>4698</v>
      </c>
      <c r="C1307" s="13" t="n">
        <v>1</v>
      </c>
      <c r="D1307" s="13" t="s">
        <v>135</v>
      </c>
      <c r="E1307" s="13" t="s">
        <v>570</v>
      </c>
      <c r="F1307" s="13" t="s">
        <v>4699</v>
      </c>
      <c r="G1307" s="13" t="s">
        <v>1739</v>
      </c>
      <c r="H1307" s="13" t="s">
        <v>101</v>
      </c>
      <c r="I1307" s="21" t="s">
        <v>4700</v>
      </c>
      <c r="J1307" s="21" t="s">
        <v>161</v>
      </c>
      <c r="K1307" s="21" t="s">
        <v>4701</v>
      </c>
      <c r="L1307" s="22" t="s">
        <v>36</v>
      </c>
      <c r="M1307" s="21" t="s">
        <v>235</v>
      </c>
      <c r="N1307" s="13" t="s">
        <v>106</v>
      </c>
      <c r="O1307" s="23" t="n">
        <v>36.07</v>
      </c>
      <c r="P1307" s="13" t="n">
        <v>1</v>
      </c>
      <c r="Q1307" s="24" t="n">
        <v>46311.0865393519</v>
      </c>
      <c r="R1307" s="22"/>
      <c r="S1307" s="13" t="s">
        <v>164</v>
      </c>
      <c r="T1307" s="13" t="str">
        <f aca="false">IF(S1307="Oui",IF(R1307=L1307,"Identique","Changé"),"")</f>
        <v/>
      </c>
    </row>
    <row r="1308" customFormat="false" ht="35.05" hidden="false" customHeight="false" outlineLevel="0" collapsed="false">
      <c r="A1308" s="13" t="s">
        <v>4702</v>
      </c>
      <c r="B1308" s="13" t="s">
        <v>4698</v>
      </c>
      <c r="C1308" s="13" t="n">
        <v>2</v>
      </c>
      <c r="D1308" s="13" t="s">
        <v>135</v>
      </c>
      <c r="E1308" s="13" t="s">
        <v>158</v>
      </c>
      <c r="F1308" s="13" t="s">
        <v>4699</v>
      </c>
      <c r="G1308" s="13" t="s">
        <v>1918</v>
      </c>
      <c r="H1308" s="13" t="s">
        <v>101</v>
      </c>
      <c r="I1308" s="21" t="s">
        <v>4703</v>
      </c>
      <c r="J1308" s="21" t="s">
        <v>284</v>
      </c>
      <c r="K1308" s="21" t="s">
        <v>4704</v>
      </c>
      <c r="L1308" s="22" t="s">
        <v>36</v>
      </c>
      <c r="M1308" s="21" t="s">
        <v>120</v>
      </c>
      <c r="N1308" s="13" t="s">
        <v>106</v>
      </c>
      <c r="O1308" s="23" t="n">
        <v>9.59</v>
      </c>
      <c r="P1308" s="13" t="n">
        <v>1</v>
      </c>
      <c r="Q1308" s="24" t="n">
        <v>46311.0867476852</v>
      </c>
      <c r="R1308" s="22"/>
      <c r="S1308" s="13" t="s">
        <v>164</v>
      </c>
      <c r="T1308" s="13" t="str">
        <f aca="false">IF(S1308="Oui",IF(R1308=L1308,"Identique","Changé"),"")</f>
        <v/>
      </c>
    </row>
    <row r="1309" customFormat="false" ht="35.05" hidden="false" customHeight="false" outlineLevel="0" collapsed="false">
      <c r="A1309" s="13" t="s">
        <v>4705</v>
      </c>
      <c r="B1309" s="13" t="s">
        <v>4698</v>
      </c>
      <c r="C1309" s="13" t="n">
        <v>3</v>
      </c>
      <c r="D1309" s="13" t="s">
        <v>135</v>
      </c>
      <c r="E1309" s="13" t="s">
        <v>185</v>
      </c>
      <c r="F1309" s="13" t="s">
        <v>2456</v>
      </c>
      <c r="G1309" s="13" t="s">
        <v>363</v>
      </c>
      <c r="H1309" s="13" t="s">
        <v>152</v>
      </c>
      <c r="I1309" s="21" t="s">
        <v>4706</v>
      </c>
      <c r="J1309" s="21" t="s">
        <v>154</v>
      </c>
      <c r="K1309" s="21" t="s">
        <v>4707</v>
      </c>
      <c r="L1309" s="22" t="s">
        <v>40</v>
      </c>
      <c r="M1309" s="21" t="s">
        <v>4708</v>
      </c>
      <c r="N1309" s="13" t="s">
        <v>1085</v>
      </c>
      <c r="O1309" s="23" t="n">
        <v>9.54</v>
      </c>
      <c r="P1309" s="13" t="n">
        <v>1</v>
      </c>
      <c r="Q1309" s="24" t="n">
        <v>46311.0869560185</v>
      </c>
      <c r="R1309" s="22"/>
      <c r="S1309" s="13" t="s">
        <v>164</v>
      </c>
      <c r="T1309" s="13" t="str">
        <f aca="false">IF(S1309="Oui",IF(R1309=L1309,"Identique","Changé"),"")</f>
        <v/>
      </c>
    </row>
    <row r="1310" customFormat="false" ht="57.45" hidden="false" customHeight="false" outlineLevel="0" collapsed="false">
      <c r="A1310" s="13" t="s">
        <v>4709</v>
      </c>
      <c r="B1310" s="13" t="s">
        <v>4698</v>
      </c>
      <c r="C1310" s="13" t="n">
        <v>4</v>
      </c>
      <c r="D1310" s="13" t="s">
        <v>135</v>
      </c>
      <c r="E1310" s="13" t="s">
        <v>122</v>
      </c>
      <c r="F1310" s="13" t="s">
        <v>2456</v>
      </c>
      <c r="G1310" s="13" t="s">
        <v>1395</v>
      </c>
      <c r="H1310" s="13" t="s">
        <v>101</v>
      </c>
      <c r="I1310" s="21" t="s">
        <v>4710</v>
      </c>
      <c r="J1310" s="21" t="s">
        <v>512</v>
      </c>
      <c r="K1310" s="21" t="s">
        <v>4711</v>
      </c>
      <c r="L1310" s="22" t="s">
        <v>36</v>
      </c>
      <c r="M1310" s="21" t="s">
        <v>1398</v>
      </c>
      <c r="N1310" s="13" t="s">
        <v>1085</v>
      </c>
      <c r="O1310" s="23" t="n">
        <v>10.61</v>
      </c>
      <c r="P1310" s="13" t="n">
        <v>1</v>
      </c>
      <c r="Q1310" s="24" t="n">
        <v>46311.0871875</v>
      </c>
      <c r="R1310" s="22"/>
      <c r="S1310" s="13" t="s">
        <v>164</v>
      </c>
      <c r="T1310" s="13" t="str">
        <f aca="false">IF(S1310="Oui",IF(R1310=L1310,"Identique","Changé"),"")</f>
        <v/>
      </c>
    </row>
    <row r="1311" customFormat="false" ht="46.25" hidden="false" customHeight="false" outlineLevel="0" collapsed="false">
      <c r="A1311" s="13" t="s">
        <v>4712</v>
      </c>
      <c r="B1311" s="13" t="s">
        <v>4698</v>
      </c>
      <c r="C1311" s="13" t="n">
        <v>5</v>
      </c>
      <c r="D1311" s="13" t="s">
        <v>135</v>
      </c>
      <c r="E1311" s="13" t="s">
        <v>128</v>
      </c>
      <c r="F1311" s="13" t="s">
        <v>4699</v>
      </c>
      <c r="G1311" s="13" t="s">
        <v>1975</v>
      </c>
      <c r="H1311" s="13" t="s">
        <v>101</v>
      </c>
      <c r="I1311" s="21" t="s">
        <v>4713</v>
      </c>
      <c r="J1311" s="21" t="s">
        <v>284</v>
      </c>
      <c r="K1311" s="21" t="s">
        <v>4714</v>
      </c>
      <c r="L1311" s="22" t="s">
        <v>36</v>
      </c>
      <c r="M1311" s="21" t="s">
        <v>120</v>
      </c>
      <c r="N1311" s="13" t="s">
        <v>106</v>
      </c>
      <c r="O1311" s="23" t="n">
        <v>10.31</v>
      </c>
      <c r="P1311" s="13" t="n">
        <v>1</v>
      </c>
      <c r="Q1311" s="24" t="n">
        <v>46311.0874074074</v>
      </c>
      <c r="R1311" s="22"/>
      <c r="S1311" s="13" t="s">
        <v>164</v>
      </c>
      <c r="T1311" s="13" t="str">
        <f aca="false">IF(S1311="Oui",IF(R1311=L1311,"Identique","Changé"),"")</f>
        <v/>
      </c>
    </row>
    <row r="1312" customFormat="false" ht="46.25" hidden="false" customHeight="false" outlineLevel="0" collapsed="false">
      <c r="A1312" s="13" t="s">
        <v>4715</v>
      </c>
      <c r="B1312" s="13" t="s">
        <v>4716</v>
      </c>
      <c r="C1312" s="13" t="n">
        <v>1</v>
      </c>
      <c r="D1312" s="13" t="s">
        <v>97</v>
      </c>
      <c r="E1312" s="13" t="s">
        <v>570</v>
      </c>
      <c r="F1312" s="13" t="s">
        <v>728</v>
      </c>
      <c r="G1312" s="13" t="s">
        <v>1758</v>
      </c>
      <c r="H1312" s="13" t="s">
        <v>101</v>
      </c>
      <c r="I1312" s="21" t="s">
        <v>4717</v>
      </c>
      <c r="J1312" s="21" t="s">
        <v>4718</v>
      </c>
      <c r="K1312" s="21" t="s">
        <v>4719</v>
      </c>
      <c r="L1312" s="22" t="s">
        <v>36</v>
      </c>
      <c r="M1312" s="21" t="s">
        <v>235</v>
      </c>
      <c r="N1312" s="13" t="s">
        <v>106</v>
      </c>
      <c r="O1312" s="23" t="n">
        <v>32.38</v>
      </c>
      <c r="P1312" s="13" t="n">
        <v>3</v>
      </c>
      <c r="Q1312" s="24" t="n">
        <v>46311.0975810185</v>
      </c>
      <c r="R1312" s="22"/>
      <c r="S1312" s="13" t="s">
        <v>164</v>
      </c>
      <c r="T1312" s="13" t="str">
        <f aca="false">IF(S1312="Oui",IF(R1312=L1312,"Identique","Changé"),"")</f>
        <v/>
      </c>
    </row>
    <row r="1313" customFormat="false" ht="35.05" hidden="false" customHeight="false" outlineLevel="0" collapsed="false">
      <c r="A1313" s="13" t="s">
        <v>4720</v>
      </c>
      <c r="B1313" s="13" t="s">
        <v>4716</v>
      </c>
      <c r="C1313" s="13" t="n">
        <v>2</v>
      </c>
      <c r="D1313" s="13" t="s">
        <v>97</v>
      </c>
      <c r="E1313" s="13" t="s">
        <v>260</v>
      </c>
      <c r="F1313" s="13" t="s">
        <v>728</v>
      </c>
      <c r="G1313" s="13" t="s">
        <v>2019</v>
      </c>
      <c r="H1313" s="13" t="s">
        <v>101</v>
      </c>
      <c r="I1313" s="21" t="s">
        <v>4721</v>
      </c>
      <c r="J1313" s="21" t="s">
        <v>512</v>
      </c>
      <c r="K1313" s="21" t="s">
        <v>4722</v>
      </c>
      <c r="L1313" s="22" t="s">
        <v>36</v>
      </c>
      <c r="M1313" s="21" t="s">
        <v>120</v>
      </c>
      <c r="N1313" s="13" t="s">
        <v>106</v>
      </c>
      <c r="O1313" s="23" t="n">
        <v>10.1</v>
      </c>
      <c r="P1313" s="13" t="n">
        <v>3</v>
      </c>
      <c r="Q1313" s="24" t="n">
        <v>46311.0978009259</v>
      </c>
      <c r="R1313" s="22"/>
      <c r="S1313" s="13" t="s">
        <v>164</v>
      </c>
      <c r="T1313" s="13" t="str">
        <f aca="false">IF(S1313="Oui",IF(R1313=L1313,"Identique","Changé"),"")</f>
        <v/>
      </c>
    </row>
    <row r="1314" customFormat="false" ht="68.65" hidden="false" customHeight="false" outlineLevel="0" collapsed="false">
      <c r="A1314" s="13" t="s">
        <v>4723</v>
      </c>
      <c r="B1314" s="13" t="s">
        <v>4716</v>
      </c>
      <c r="C1314" s="13" t="n">
        <v>3</v>
      </c>
      <c r="D1314" s="13" t="s">
        <v>97</v>
      </c>
      <c r="E1314" s="13" t="s">
        <v>122</v>
      </c>
      <c r="F1314" s="13" t="s">
        <v>728</v>
      </c>
      <c r="G1314" s="13" t="s">
        <v>282</v>
      </c>
      <c r="H1314" s="13" t="s">
        <v>101</v>
      </c>
      <c r="I1314" s="21" t="s">
        <v>4724</v>
      </c>
      <c r="J1314" s="21" t="s">
        <v>512</v>
      </c>
      <c r="K1314" s="21" t="s">
        <v>4725</v>
      </c>
      <c r="L1314" s="22" t="s">
        <v>36</v>
      </c>
      <c r="M1314" s="21" t="s">
        <v>120</v>
      </c>
      <c r="N1314" s="13" t="s">
        <v>106</v>
      </c>
      <c r="O1314" s="23" t="n">
        <v>15.59</v>
      </c>
      <c r="P1314" s="13" t="n">
        <v>3</v>
      </c>
      <c r="Q1314" s="24" t="n">
        <v>46311.0980787037</v>
      </c>
      <c r="R1314" s="22"/>
      <c r="S1314" s="13" t="s">
        <v>164</v>
      </c>
      <c r="T1314" s="13" t="str">
        <f aca="false">IF(S1314="Oui",IF(R1314=L1314,"Identique","Changé"),"")</f>
        <v/>
      </c>
    </row>
    <row r="1315" customFormat="false" ht="35.05" hidden="false" customHeight="false" outlineLevel="0" collapsed="false">
      <c r="A1315" s="13" t="s">
        <v>4726</v>
      </c>
      <c r="B1315" s="13" t="s">
        <v>4716</v>
      </c>
      <c r="C1315" s="13" t="n">
        <v>4</v>
      </c>
      <c r="D1315" s="13" t="s">
        <v>97</v>
      </c>
      <c r="E1315" s="13" t="s">
        <v>158</v>
      </c>
      <c r="F1315" s="13" t="s">
        <v>728</v>
      </c>
      <c r="G1315" s="13" t="s">
        <v>1951</v>
      </c>
      <c r="H1315" s="13" t="s">
        <v>101</v>
      </c>
      <c r="I1315" s="21" t="s">
        <v>4727</v>
      </c>
      <c r="J1315" s="21" t="s">
        <v>512</v>
      </c>
      <c r="K1315" s="21" t="s">
        <v>4728</v>
      </c>
      <c r="L1315" s="22" t="s">
        <v>36</v>
      </c>
      <c r="M1315" s="21" t="s">
        <v>120</v>
      </c>
      <c r="N1315" s="13" t="s">
        <v>106</v>
      </c>
      <c r="O1315" s="23" t="n">
        <v>10.27</v>
      </c>
      <c r="P1315" s="13" t="n">
        <v>3</v>
      </c>
      <c r="Q1315" s="24" t="n">
        <v>46311.0983101852</v>
      </c>
      <c r="R1315" s="22"/>
      <c r="S1315" s="13" t="s">
        <v>164</v>
      </c>
      <c r="T1315" s="13" t="str">
        <f aca="false">IF(S1315="Oui",IF(R1315=L1315,"Identique","Changé"),"")</f>
        <v/>
      </c>
    </row>
    <row r="1316" customFormat="false" ht="46.25" hidden="false" customHeight="false" outlineLevel="0" collapsed="false">
      <c r="A1316" s="13" t="s">
        <v>4729</v>
      </c>
      <c r="B1316" s="13" t="s">
        <v>4716</v>
      </c>
      <c r="C1316" s="13" t="n">
        <v>5</v>
      </c>
      <c r="D1316" s="13" t="s">
        <v>97</v>
      </c>
      <c r="E1316" s="13" t="s">
        <v>185</v>
      </c>
      <c r="F1316" s="13" t="s">
        <v>728</v>
      </c>
      <c r="G1316" s="13" t="s">
        <v>2153</v>
      </c>
      <c r="H1316" s="13" t="s">
        <v>101</v>
      </c>
      <c r="I1316" s="21" t="s">
        <v>4730</v>
      </c>
      <c r="J1316" s="21" t="s">
        <v>2155</v>
      </c>
      <c r="K1316" s="21" t="s">
        <v>4731</v>
      </c>
      <c r="L1316" s="22" t="s">
        <v>36</v>
      </c>
      <c r="M1316" s="21" t="s">
        <v>120</v>
      </c>
      <c r="N1316" s="13" t="s">
        <v>106</v>
      </c>
      <c r="O1316" s="23" t="n">
        <v>10.34</v>
      </c>
      <c r="P1316" s="13" t="n">
        <v>3</v>
      </c>
      <c r="Q1316" s="24" t="n">
        <v>46311.0985300926</v>
      </c>
      <c r="R1316" s="22"/>
      <c r="S1316" s="13" t="s">
        <v>164</v>
      </c>
      <c r="T1316" s="13" t="str">
        <f aca="false">IF(S1316="Oui",IF(R1316=L1316,"Identique","Changé"),"")</f>
        <v/>
      </c>
    </row>
    <row r="1317" customFormat="false" ht="57.45" hidden="false" customHeight="false" outlineLevel="0" collapsed="false">
      <c r="A1317" s="13" t="s">
        <v>4732</v>
      </c>
      <c r="B1317" s="13" t="s">
        <v>4733</v>
      </c>
      <c r="C1317" s="13" t="n">
        <v>1</v>
      </c>
      <c r="D1317" s="13" t="s">
        <v>135</v>
      </c>
      <c r="E1317" s="13" t="s">
        <v>122</v>
      </c>
      <c r="F1317" s="13" t="s">
        <v>3446</v>
      </c>
      <c r="G1317" s="13" t="s">
        <v>123</v>
      </c>
      <c r="H1317" s="13" t="s">
        <v>101</v>
      </c>
      <c r="I1317" s="21" t="s">
        <v>4734</v>
      </c>
      <c r="J1317" s="21" t="s">
        <v>277</v>
      </c>
      <c r="K1317" s="21" t="s">
        <v>4735</v>
      </c>
      <c r="L1317" s="22" t="s">
        <v>37</v>
      </c>
      <c r="M1317" s="21" t="s">
        <v>163</v>
      </c>
      <c r="N1317" s="13" t="s">
        <v>106</v>
      </c>
      <c r="O1317" s="23" t="n">
        <v>17.52</v>
      </c>
      <c r="P1317" s="13" t="n">
        <v>1</v>
      </c>
      <c r="Q1317" s="24" t="n">
        <v>46311.0989236111</v>
      </c>
      <c r="R1317" s="22"/>
      <c r="S1317" s="13" t="s">
        <v>164</v>
      </c>
      <c r="T1317" s="13" t="str">
        <f aca="false">IF(S1317="Oui",IF(R1317=L1317,"Identique","Changé"),"")</f>
        <v/>
      </c>
    </row>
    <row r="1318" customFormat="false" ht="46.25" hidden="false" customHeight="false" outlineLevel="0" collapsed="false">
      <c r="A1318" s="13" t="s">
        <v>4736</v>
      </c>
      <c r="B1318" s="13" t="s">
        <v>4733</v>
      </c>
      <c r="C1318" s="13" t="n">
        <v>2</v>
      </c>
      <c r="D1318" s="13" t="s">
        <v>135</v>
      </c>
      <c r="E1318" s="13" t="s">
        <v>158</v>
      </c>
      <c r="F1318" s="13" t="s">
        <v>3446</v>
      </c>
      <c r="G1318" s="13" t="s">
        <v>343</v>
      </c>
      <c r="H1318" s="13" t="s">
        <v>101</v>
      </c>
      <c r="I1318" s="21" t="s">
        <v>4737</v>
      </c>
      <c r="J1318" s="21" t="s">
        <v>178</v>
      </c>
      <c r="K1318" s="21" t="s">
        <v>4738</v>
      </c>
      <c r="L1318" s="22" t="s">
        <v>37</v>
      </c>
      <c r="M1318" s="21" t="s">
        <v>163</v>
      </c>
      <c r="N1318" s="13" t="s">
        <v>106</v>
      </c>
      <c r="O1318" s="23" t="n">
        <v>8.32</v>
      </c>
      <c r="P1318" s="13" t="n">
        <v>1</v>
      </c>
      <c r="Q1318" s="24" t="n">
        <v>46311.0991319444</v>
      </c>
      <c r="R1318" s="22"/>
      <c r="S1318" s="13" t="s">
        <v>164</v>
      </c>
      <c r="T1318" s="13" t="str">
        <f aca="false">IF(S1318="Oui",IF(R1318=L1318,"Identique","Changé"),"")</f>
        <v/>
      </c>
    </row>
    <row r="1319" customFormat="false" ht="35.05" hidden="false" customHeight="false" outlineLevel="0" collapsed="false">
      <c r="A1319" s="13" t="s">
        <v>4739</v>
      </c>
      <c r="B1319" s="13" t="s">
        <v>4733</v>
      </c>
      <c r="C1319" s="13" t="n">
        <v>3</v>
      </c>
      <c r="D1319" s="13" t="s">
        <v>135</v>
      </c>
      <c r="E1319" s="13" t="s">
        <v>260</v>
      </c>
      <c r="F1319" s="13" t="s">
        <v>2496</v>
      </c>
      <c r="G1319" s="13" t="s">
        <v>2047</v>
      </c>
      <c r="H1319" s="13" t="s">
        <v>101</v>
      </c>
      <c r="I1319" s="21" t="s">
        <v>4740</v>
      </c>
      <c r="J1319" s="21" t="s">
        <v>512</v>
      </c>
      <c r="K1319" s="21" t="s">
        <v>4741</v>
      </c>
      <c r="L1319" s="22" t="s">
        <v>37</v>
      </c>
      <c r="M1319" s="21" t="s">
        <v>163</v>
      </c>
      <c r="N1319" s="13" t="s">
        <v>106</v>
      </c>
      <c r="O1319" s="23" t="n">
        <v>8.5</v>
      </c>
      <c r="P1319" s="13" t="n">
        <v>1</v>
      </c>
      <c r="Q1319" s="24" t="n">
        <v>46311.0993287037</v>
      </c>
      <c r="R1319" s="22"/>
      <c r="S1319" s="13" t="s">
        <v>164</v>
      </c>
      <c r="T1319" s="13" t="str">
        <f aca="false">IF(S1319="Oui",IF(R1319=L1319,"Identique","Changé"),"")</f>
        <v/>
      </c>
    </row>
    <row r="1320" customFormat="false" ht="46.25" hidden="false" customHeight="false" outlineLevel="0" collapsed="false">
      <c r="A1320" s="13" t="s">
        <v>4742</v>
      </c>
      <c r="B1320" s="13" t="s">
        <v>4733</v>
      </c>
      <c r="C1320" s="13" t="n">
        <v>4</v>
      </c>
      <c r="D1320" s="13" t="s">
        <v>135</v>
      </c>
      <c r="E1320" s="13" t="s">
        <v>570</v>
      </c>
      <c r="F1320" s="13" t="s">
        <v>2496</v>
      </c>
      <c r="G1320" s="13" t="s">
        <v>1930</v>
      </c>
      <c r="H1320" s="13" t="s">
        <v>152</v>
      </c>
      <c r="I1320" s="21" t="s">
        <v>4743</v>
      </c>
      <c r="J1320" s="21" t="s">
        <v>154</v>
      </c>
      <c r="K1320" s="21" t="s">
        <v>4744</v>
      </c>
      <c r="L1320" s="22" t="s">
        <v>40</v>
      </c>
      <c r="M1320" s="21" t="s">
        <v>156</v>
      </c>
      <c r="N1320" s="13" t="s">
        <v>106</v>
      </c>
      <c r="O1320" s="23" t="n">
        <v>12.09</v>
      </c>
      <c r="P1320" s="13" t="n">
        <v>1</v>
      </c>
      <c r="Q1320" s="24" t="n">
        <v>46311.0995717593</v>
      </c>
      <c r="R1320" s="22"/>
      <c r="S1320" s="13" t="s">
        <v>164</v>
      </c>
      <c r="T1320" s="13" t="str">
        <f aca="false">IF(S1320="Oui",IF(R1320=L1320,"Identique","Changé"),"")</f>
        <v/>
      </c>
    </row>
    <row r="1321" customFormat="false" ht="46.25" hidden="false" customHeight="false" outlineLevel="0" collapsed="false">
      <c r="A1321" s="13" t="s">
        <v>4745</v>
      </c>
      <c r="B1321" s="13" t="s">
        <v>4733</v>
      </c>
      <c r="C1321" s="13" t="n">
        <v>5</v>
      </c>
      <c r="D1321" s="13" t="s">
        <v>135</v>
      </c>
      <c r="E1321" s="13" t="s">
        <v>122</v>
      </c>
      <c r="F1321" s="13" t="s">
        <v>3446</v>
      </c>
      <c r="G1321" s="13" t="s">
        <v>231</v>
      </c>
      <c r="H1321" s="13" t="s">
        <v>101</v>
      </c>
      <c r="I1321" s="21" t="s">
        <v>4746</v>
      </c>
      <c r="J1321" s="21" t="s">
        <v>161</v>
      </c>
      <c r="K1321" s="21" t="s">
        <v>4747</v>
      </c>
      <c r="L1321" s="22" t="s">
        <v>37</v>
      </c>
      <c r="M1321" s="21" t="s">
        <v>163</v>
      </c>
      <c r="N1321" s="13" t="s">
        <v>106</v>
      </c>
      <c r="O1321" s="23" t="n">
        <v>10.09</v>
      </c>
      <c r="P1321" s="13" t="n">
        <v>1</v>
      </c>
      <c r="Q1321" s="24" t="n">
        <v>46311.0998032407</v>
      </c>
      <c r="R1321" s="22"/>
      <c r="S1321" s="13" t="s">
        <v>164</v>
      </c>
      <c r="T1321" s="13" t="str">
        <f aca="false">IF(S1321="Oui",IF(R1321=L1321,"Identique","Changé"),"")</f>
        <v/>
      </c>
    </row>
    <row r="1322" customFormat="false" ht="158.2" hidden="false" customHeight="false" outlineLevel="0" collapsed="false">
      <c r="A1322" s="13" t="s">
        <v>4748</v>
      </c>
      <c r="B1322" s="13" t="s">
        <v>4749</v>
      </c>
      <c r="C1322" s="13" t="n">
        <v>1</v>
      </c>
      <c r="D1322" s="13" t="s">
        <v>97</v>
      </c>
      <c r="E1322" s="13" t="s">
        <v>1730</v>
      </c>
      <c r="F1322" s="13" t="s">
        <v>524</v>
      </c>
      <c r="G1322" s="13" t="s">
        <v>1753</v>
      </c>
      <c r="H1322" s="13" t="s">
        <v>101</v>
      </c>
      <c r="I1322" s="21" t="s">
        <v>4750</v>
      </c>
      <c r="J1322" s="21" t="s">
        <v>4751</v>
      </c>
      <c r="K1322" s="21" t="s">
        <v>4752</v>
      </c>
      <c r="L1322" s="22" t="s">
        <v>36</v>
      </c>
      <c r="M1322" s="21" t="s">
        <v>120</v>
      </c>
      <c r="N1322" s="13" t="s">
        <v>106</v>
      </c>
      <c r="O1322" s="23" t="n">
        <v>78.51</v>
      </c>
      <c r="P1322" s="13" t="n">
        <v>1</v>
      </c>
      <c r="Q1322" s="24" t="n">
        <v>46311.1008912037</v>
      </c>
      <c r="R1322" s="22"/>
      <c r="S1322" s="13" t="s">
        <v>164</v>
      </c>
      <c r="T1322" s="13" t="str">
        <f aca="false">IF(S1322="Oui",IF(R1322=L1322,"Identique","Changé"),"")</f>
        <v/>
      </c>
    </row>
    <row r="1323" customFormat="false" ht="79.85" hidden="false" customHeight="false" outlineLevel="0" collapsed="false">
      <c r="A1323" s="13" t="s">
        <v>4753</v>
      </c>
      <c r="B1323" s="13" t="s">
        <v>4749</v>
      </c>
      <c r="C1323" s="13" t="n">
        <v>2</v>
      </c>
      <c r="D1323" s="13" t="s">
        <v>97</v>
      </c>
      <c r="E1323" s="13" t="s">
        <v>1730</v>
      </c>
      <c r="F1323" s="13" t="s">
        <v>524</v>
      </c>
      <c r="G1323" s="13" t="s">
        <v>2142</v>
      </c>
      <c r="H1323" s="13" t="s">
        <v>101</v>
      </c>
      <c r="I1323" s="21" t="s">
        <v>4754</v>
      </c>
      <c r="J1323" s="21" t="s">
        <v>4755</v>
      </c>
      <c r="K1323" s="21" t="s">
        <v>4756</v>
      </c>
      <c r="L1323" s="22" t="s">
        <v>36</v>
      </c>
      <c r="M1323" s="21" t="s">
        <v>120</v>
      </c>
      <c r="N1323" s="13" t="s">
        <v>106</v>
      </c>
      <c r="O1323" s="23" t="n">
        <v>10.08</v>
      </c>
      <c r="P1323" s="13" t="n">
        <v>1</v>
      </c>
      <c r="Q1323" s="24" t="n">
        <v>46311.101099537</v>
      </c>
      <c r="R1323" s="22"/>
      <c r="S1323" s="13" t="s">
        <v>164</v>
      </c>
      <c r="T1323" s="13" t="str">
        <f aca="false">IF(S1323="Oui",IF(R1323=L1323,"Identique","Changé"),"")</f>
        <v/>
      </c>
    </row>
    <row r="1324" customFormat="false" ht="35.05" hidden="false" customHeight="false" outlineLevel="0" collapsed="false">
      <c r="A1324" s="13" t="s">
        <v>4757</v>
      </c>
      <c r="B1324" s="13" t="s">
        <v>4749</v>
      </c>
      <c r="C1324" s="13" t="n">
        <v>3</v>
      </c>
      <c r="D1324" s="13" t="s">
        <v>97</v>
      </c>
      <c r="E1324" s="13" t="s">
        <v>122</v>
      </c>
      <c r="F1324" s="13" t="s">
        <v>1416</v>
      </c>
      <c r="G1324" s="13" t="s">
        <v>2166</v>
      </c>
      <c r="H1324" s="13" t="s">
        <v>101</v>
      </c>
      <c r="I1324" s="21" t="s">
        <v>4758</v>
      </c>
      <c r="J1324" s="21" t="s">
        <v>284</v>
      </c>
      <c r="K1324" s="21" t="s">
        <v>4759</v>
      </c>
      <c r="L1324" s="22" t="s">
        <v>36</v>
      </c>
      <c r="M1324" s="21" t="s">
        <v>120</v>
      </c>
      <c r="N1324" s="13" t="s">
        <v>106</v>
      </c>
      <c r="O1324" s="23" t="n">
        <v>10.17</v>
      </c>
      <c r="P1324" s="13" t="n">
        <v>1</v>
      </c>
      <c r="Q1324" s="24" t="n">
        <v>46311.1013194445</v>
      </c>
      <c r="R1324" s="22"/>
      <c r="S1324" s="13" t="s">
        <v>164</v>
      </c>
      <c r="T1324" s="13" t="str">
        <f aca="false">IF(S1324="Oui",IF(R1324=L1324,"Identique","Changé"),"")</f>
        <v/>
      </c>
    </row>
    <row r="1325" customFormat="false" ht="35.05" hidden="false" customHeight="false" outlineLevel="0" collapsed="false">
      <c r="A1325" s="13" t="s">
        <v>4760</v>
      </c>
      <c r="B1325" s="13" t="s">
        <v>4749</v>
      </c>
      <c r="C1325" s="13" t="n">
        <v>4</v>
      </c>
      <c r="D1325" s="13" t="s">
        <v>97</v>
      </c>
      <c r="E1325" s="13" t="s">
        <v>570</v>
      </c>
      <c r="F1325" s="13" t="s">
        <v>1416</v>
      </c>
      <c r="G1325" s="13" t="s">
        <v>1775</v>
      </c>
      <c r="H1325" s="13" t="s">
        <v>101</v>
      </c>
      <c r="I1325" s="21" t="s">
        <v>4761</v>
      </c>
      <c r="J1325" s="21" t="s">
        <v>1777</v>
      </c>
      <c r="K1325" s="21" t="s">
        <v>4762</v>
      </c>
      <c r="L1325" s="22" t="s">
        <v>36</v>
      </c>
      <c r="M1325" s="21" t="s">
        <v>120</v>
      </c>
      <c r="N1325" s="13" t="s">
        <v>106</v>
      </c>
      <c r="O1325" s="23" t="n">
        <v>10.07</v>
      </c>
      <c r="P1325" s="13" t="n">
        <v>1</v>
      </c>
      <c r="Q1325" s="24" t="n">
        <v>46311.1015509259</v>
      </c>
      <c r="R1325" s="22"/>
      <c r="S1325" s="13" t="s">
        <v>164</v>
      </c>
      <c r="T1325" s="13" t="str">
        <f aca="false">IF(S1325="Oui",IF(R1325=L1325,"Identique","Changé"),"")</f>
        <v/>
      </c>
    </row>
    <row r="1326" customFormat="false" ht="57.45" hidden="false" customHeight="false" outlineLevel="0" collapsed="false">
      <c r="A1326" s="13" t="s">
        <v>4763</v>
      </c>
      <c r="B1326" s="13" t="s">
        <v>4749</v>
      </c>
      <c r="C1326" s="13" t="n">
        <v>5</v>
      </c>
      <c r="D1326" s="13" t="s">
        <v>97</v>
      </c>
      <c r="E1326" s="13" t="s">
        <v>171</v>
      </c>
      <c r="F1326" s="13" t="s">
        <v>524</v>
      </c>
      <c r="G1326" s="13" t="s">
        <v>2263</v>
      </c>
      <c r="H1326" s="13" t="s">
        <v>101</v>
      </c>
      <c r="I1326" s="21" t="s">
        <v>4764</v>
      </c>
      <c r="J1326" s="21" t="s">
        <v>4765</v>
      </c>
      <c r="K1326" s="21" t="s">
        <v>4766</v>
      </c>
      <c r="L1326" s="22" t="s">
        <v>36</v>
      </c>
      <c r="M1326" s="21" t="s">
        <v>120</v>
      </c>
      <c r="N1326" s="13" t="s">
        <v>106</v>
      </c>
      <c r="O1326" s="23" t="n">
        <v>11.25</v>
      </c>
      <c r="P1326" s="13" t="n">
        <v>1</v>
      </c>
      <c r="Q1326" s="24" t="n">
        <v>46311.1017824074</v>
      </c>
      <c r="R1326" s="22"/>
      <c r="S1326" s="13" t="s">
        <v>164</v>
      </c>
      <c r="T1326" s="13" t="str">
        <f aca="false">IF(S1326="Oui",IF(R1326=L1326,"Identique","Changé"),"")</f>
        <v/>
      </c>
    </row>
    <row r="1327" customFormat="false" ht="46.25" hidden="false" customHeight="false" outlineLevel="0" collapsed="false">
      <c r="A1327" s="13" t="s">
        <v>4767</v>
      </c>
      <c r="B1327" s="13" t="s">
        <v>4768</v>
      </c>
      <c r="C1327" s="13" t="n">
        <v>1</v>
      </c>
      <c r="D1327" s="13" t="s">
        <v>135</v>
      </c>
      <c r="E1327" s="13" t="s">
        <v>260</v>
      </c>
      <c r="F1327" s="13" t="s">
        <v>3483</v>
      </c>
      <c r="G1327" s="13" t="s">
        <v>1897</v>
      </c>
      <c r="H1327" s="13" t="s">
        <v>101</v>
      </c>
      <c r="I1327" s="21" t="s">
        <v>4769</v>
      </c>
      <c r="J1327" s="21" t="s">
        <v>1899</v>
      </c>
      <c r="K1327" s="21" t="s">
        <v>4770</v>
      </c>
      <c r="L1327" s="22" t="s">
        <v>36</v>
      </c>
      <c r="M1327" s="21" t="s">
        <v>120</v>
      </c>
      <c r="N1327" s="13" t="s">
        <v>106</v>
      </c>
      <c r="O1327" s="23" t="n">
        <v>24.4</v>
      </c>
      <c r="P1327" s="13" t="n">
        <v>1</v>
      </c>
      <c r="Q1327" s="24" t="n">
        <v>46311.1022453704</v>
      </c>
      <c r="R1327" s="22"/>
      <c r="S1327" s="13" t="s">
        <v>164</v>
      </c>
      <c r="T1327" s="13" t="str">
        <f aca="false">IF(S1327="Oui",IF(R1327=L1327,"Identique","Changé"),"")</f>
        <v/>
      </c>
    </row>
    <row r="1328" customFormat="false" ht="57.45" hidden="false" customHeight="false" outlineLevel="0" collapsed="false">
      <c r="A1328" s="13" t="s">
        <v>4771</v>
      </c>
      <c r="B1328" s="13" t="s">
        <v>4768</v>
      </c>
      <c r="C1328" s="13" t="n">
        <v>2</v>
      </c>
      <c r="D1328" s="13" t="s">
        <v>135</v>
      </c>
      <c r="E1328" s="13" t="s">
        <v>171</v>
      </c>
      <c r="F1328" s="13" t="s">
        <v>3483</v>
      </c>
      <c r="G1328" s="13" t="s">
        <v>2258</v>
      </c>
      <c r="H1328" s="13" t="s">
        <v>101</v>
      </c>
      <c r="I1328" s="21" t="s">
        <v>4772</v>
      </c>
      <c r="J1328" s="21" t="s">
        <v>2260</v>
      </c>
      <c r="K1328" s="21" t="s">
        <v>4773</v>
      </c>
      <c r="L1328" s="22" t="s">
        <v>36</v>
      </c>
      <c r="M1328" s="21" t="s">
        <v>120</v>
      </c>
      <c r="N1328" s="13" t="s">
        <v>106</v>
      </c>
      <c r="O1328" s="23" t="n">
        <v>15.89</v>
      </c>
      <c r="P1328" s="13" t="n">
        <v>1</v>
      </c>
      <c r="Q1328" s="24" t="n">
        <v>46311.1025231482</v>
      </c>
      <c r="R1328" s="22"/>
      <c r="S1328" s="13" t="s">
        <v>164</v>
      </c>
      <c r="T1328" s="13" t="str">
        <f aca="false">IF(S1328="Oui",IF(R1328=L1328,"Identique","Changé"),"")</f>
        <v/>
      </c>
    </row>
    <row r="1329" customFormat="false" ht="46.25" hidden="false" customHeight="false" outlineLevel="0" collapsed="false">
      <c r="A1329" s="13" t="s">
        <v>4774</v>
      </c>
      <c r="B1329" s="13" t="s">
        <v>4768</v>
      </c>
      <c r="C1329" s="13" t="n">
        <v>3</v>
      </c>
      <c r="D1329" s="13" t="s">
        <v>135</v>
      </c>
      <c r="E1329" s="13" t="s">
        <v>128</v>
      </c>
      <c r="F1329" s="13" t="s">
        <v>3483</v>
      </c>
      <c r="G1329" s="13" t="s">
        <v>2024</v>
      </c>
      <c r="H1329" s="13" t="s">
        <v>101</v>
      </c>
      <c r="I1329" s="21" t="s">
        <v>4775</v>
      </c>
      <c r="J1329" s="21" t="s">
        <v>4492</v>
      </c>
      <c r="K1329" s="21" t="s">
        <v>4776</v>
      </c>
      <c r="L1329" s="22" t="s">
        <v>36</v>
      </c>
      <c r="M1329" s="21" t="s">
        <v>120</v>
      </c>
      <c r="N1329" s="13" t="s">
        <v>106</v>
      </c>
      <c r="O1329" s="23" t="n">
        <v>14.47</v>
      </c>
      <c r="P1329" s="13" t="n">
        <v>1</v>
      </c>
      <c r="Q1329" s="24" t="n">
        <v>46311.1028009259</v>
      </c>
      <c r="R1329" s="22"/>
      <c r="S1329" s="13" t="s">
        <v>164</v>
      </c>
      <c r="T1329" s="13" t="str">
        <f aca="false">IF(S1329="Oui",IF(R1329=L1329,"Identique","Changé"),"")</f>
        <v/>
      </c>
    </row>
    <row r="1330" customFormat="false" ht="124.6" hidden="false" customHeight="false" outlineLevel="0" collapsed="false">
      <c r="A1330" s="13" t="s">
        <v>4777</v>
      </c>
      <c r="B1330" s="13" t="s">
        <v>4768</v>
      </c>
      <c r="C1330" s="13" t="n">
        <v>4</v>
      </c>
      <c r="D1330" s="13" t="s">
        <v>135</v>
      </c>
      <c r="E1330" s="13" t="s">
        <v>1730</v>
      </c>
      <c r="F1330" s="13" t="s">
        <v>3483</v>
      </c>
      <c r="G1330" s="13" t="s">
        <v>1732</v>
      </c>
      <c r="H1330" s="13" t="s">
        <v>101</v>
      </c>
      <c r="I1330" s="21" t="s">
        <v>4778</v>
      </c>
      <c r="J1330" s="21" t="s">
        <v>4779</v>
      </c>
      <c r="K1330" s="21" t="s">
        <v>4780</v>
      </c>
      <c r="L1330" s="22" t="s">
        <v>36</v>
      </c>
      <c r="M1330" s="21" t="s">
        <v>120</v>
      </c>
      <c r="N1330" s="13" t="s">
        <v>106</v>
      </c>
      <c r="O1330" s="23" t="n">
        <v>11.45</v>
      </c>
      <c r="P1330" s="13" t="n">
        <v>1</v>
      </c>
      <c r="Q1330" s="24" t="n">
        <v>46311.1030324074</v>
      </c>
      <c r="R1330" s="22"/>
      <c r="S1330" s="13" t="s">
        <v>164</v>
      </c>
      <c r="T1330" s="13" t="str">
        <f aca="false">IF(S1330="Oui",IF(R1330=L1330,"Identique","Changé"),"")</f>
        <v/>
      </c>
    </row>
    <row r="1331" customFormat="false" ht="35.05" hidden="false" customHeight="false" outlineLevel="0" collapsed="false">
      <c r="A1331" s="13" t="s">
        <v>4781</v>
      </c>
      <c r="B1331" s="13" t="s">
        <v>4768</v>
      </c>
      <c r="C1331" s="13" t="n">
        <v>5</v>
      </c>
      <c r="D1331" s="13" t="s">
        <v>135</v>
      </c>
      <c r="E1331" s="13" t="s">
        <v>570</v>
      </c>
      <c r="F1331" s="13" t="s">
        <v>3483</v>
      </c>
      <c r="G1331" s="13" t="s">
        <v>1780</v>
      </c>
      <c r="H1331" s="13" t="s">
        <v>101</v>
      </c>
      <c r="I1331" s="21" t="s">
        <v>4782</v>
      </c>
      <c r="J1331" s="21" t="s">
        <v>284</v>
      </c>
      <c r="K1331" s="21" t="s">
        <v>4783</v>
      </c>
      <c r="L1331" s="22" t="s">
        <v>36</v>
      </c>
      <c r="M1331" s="21" t="s">
        <v>120</v>
      </c>
      <c r="N1331" s="13" t="s">
        <v>106</v>
      </c>
      <c r="O1331" s="23" t="n">
        <v>10.01</v>
      </c>
      <c r="P1331" s="13" t="n">
        <v>1</v>
      </c>
      <c r="Q1331" s="24" t="n">
        <v>46311.1032523148</v>
      </c>
      <c r="R1331" s="22"/>
      <c r="S1331" s="13" t="s">
        <v>164</v>
      </c>
      <c r="T1331" s="13" t="str">
        <f aca="false">IF(S1331="Oui",IF(R1331=L1331,"Identique","Changé"),"")</f>
        <v/>
      </c>
    </row>
    <row r="1332" customFormat="false" ht="35.05" hidden="false" customHeight="false" outlineLevel="0" collapsed="false">
      <c r="A1332" s="13" t="s">
        <v>4784</v>
      </c>
      <c r="B1332" s="13" t="s">
        <v>4785</v>
      </c>
      <c r="C1332" s="13" t="n">
        <v>1</v>
      </c>
      <c r="D1332" s="13" t="s">
        <v>97</v>
      </c>
      <c r="E1332" s="13" t="s">
        <v>122</v>
      </c>
      <c r="F1332" s="13" t="s">
        <v>115</v>
      </c>
      <c r="G1332" s="13" t="s">
        <v>231</v>
      </c>
      <c r="H1332" s="13" t="s">
        <v>101</v>
      </c>
      <c r="I1332" s="21" t="s">
        <v>4786</v>
      </c>
      <c r="J1332" s="21" t="s">
        <v>161</v>
      </c>
      <c r="K1332" s="21" t="s">
        <v>4787</v>
      </c>
      <c r="L1332" s="22" t="s">
        <v>36</v>
      </c>
      <c r="M1332" s="21" t="s">
        <v>235</v>
      </c>
      <c r="N1332" s="13" t="s">
        <v>106</v>
      </c>
      <c r="O1332" s="23" t="n">
        <v>28.41</v>
      </c>
      <c r="P1332" s="13" t="n">
        <v>2</v>
      </c>
      <c r="Q1332" s="24" t="n">
        <v>46311.1083796296</v>
      </c>
      <c r="R1332" s="22"/>
      <c r="S1332" s="13" t="s">
        <v>164</v>
      </c>
      <c r="T1332" s="13" t="str">
        <f aca="false">IF(S1332="Oui",IF(R1332=L1332,"Identique","Changé"),"")</f>
        <v/>
      </c>
    </row>
    <row r="1333" customFormat="false" ht="35.05" hidden="false" customHeight="false" outlineLevel="0" collapsed="false">
      <c r="A1333" s="13" t="s">
        <v>4788</v>
      </c>
      <c r="B1333" s="13" t="s">
        <v>4785</v>
      </c>
      <c r="C1333" s="13" t="n">
        <v>2</v>
      </c>
      <c r="D1333" s="13" t="s">
        <v>97</v>
      </c>
      <c r="E1333" s="13" t="s">
        <v>122</v>
      </c>
      <c r="F1333" s="13" t="s">
        <v>115</v>
      </c>
      <c r="G1333" s="13" t="s">
        <v>1744</v>
      </c>
      <c r="H1333" s="13" t="s">
        <v>101</v>
      </c>
      <c r="I1333" s="21" t="s">
        <v>4789</v>
      </c>
      <c r="J1333" s="21" t="s">
        <v>1741</v>
      </c>
      <c r="K1333" s="21" t="s">
        <v>4790</v>
      </c>
      <c r="L1333" s="22" t="s">
        <v>36</v>
      </c>
      <c r="M1333" s="21" t="s">
        <v>235</v>
      </c>
      <c r="N1333" s="13" t="s">
        <v>106</v>
      </c>
      <c r="O1333" s="23" t="n">
        <v>9.9</v>
      </c>
      <c r="P1333" s="13" t="n">
        <v>2</v>
      </c>
      <c r="Q1333" s="24" t="n">
        <v>46311.108587963</v>
      </c>
      <c r="R1333" s="22"/>
      <c r="S1333" s="13" t="s">
        <v>164</v>
      </c>
      <c r="T1333" s="13" t="str">
        <f aca="false">IF(S1333="Oui",IF(R1333=L1333,"Identique","Changé"),"")</f>
        <v/>
      </c>
    </row>
    <row r="1334" customFormat="false" ht="46.25" hidden="false" customHeight="false" outlineLevel="0" collapsed="false">
      <c r="A1334" s="13" t="s">
        <v>4791</v>
      </c>
      <c r="B1334" s="13" t="s">
        <v>4785</v>
      </c>
      <c r="C1334" s="13" t="n">
        <v>3</v>
      </c>
      <c r="D1334" s="13" t="s">
        <v>97</v>
      </c>
      <c r="E1334" s="13" t="s">
        <v>185</v>
      </c>
      <c r="F1334" s="13" t="s">
        <v>664</v>
      </c>
      <c r="G1334" s="13" t="s">
        <v>363</v>
      </c>
      <c r="H1334" s="13" t="s">
        <v>152</v>
      </c>
      <c r="I1334" s="21" t="s">
        <v>4792</v>
      </c>
      <c r="J1334" s="21" t="s">
        <v>154</v>
      </c>
      <c r="K1334" s="21" t="s">
        <v>4793</v>
      </c>
      <c r="L1334" s="22" t="s">
        <v>40</v>
      </c>
      <c r="M1334" s="21" t="s">
        <v>156</v>
      </c>
      <c r="N1334" s="13" t="s">
        <v>106</v>
      </c>
      <c r="O1334" s="23" t="n">
        <v>9.2</v>
      </c>
      <c r="P1334" s="13" t="n">
        <v>2</v>
      </c>
      <c r="Q1334" s="24" t="n">
        <v>46311.1088078704</v>
      </c>
      <c r="R1334" s="22"/>
      <c r="S1334" s="13" t="s">
        <v>164</v>
      </c>
      <c r="T1334" s="13" t="str">
        <f aca="false">IF(S1334="Oui",IF(R1334=L1334,"Identique","Changé"),"")</f>
        <v/>
      </c>
    </row>
    <row r="1335" customFormat="false" ht="35.05" hidden="false" customHeight="false" outlineLevel="0" collapsed="false">
      <c r="A1335" s="13" t="s">
        <v>4794</v>
      </c>
      <c r="B1335" s="13" t="s">
        <v>4785</v>
      </c>
      <c r="C1335" s="13" t="n">
        <v>4</v>
      </c>
      <c r="D1335" s="13" t="s">
        <v>97</v>
      </c>
      <c r="E1335" s="13" t="s">
        <v>128</v>
      </c>
      <c r="F1335" s="13" t="s">
        <v>664</v>
      </c>
      <c r="G1335" s="13" t="s">
        <v>1975</v>
      </c>
      <c r="H1335" s="13" t="s">
        <v>101</v>
      </c>
      <c r="I1335" s="21" t="s">
        <v>4795</v>
      </c>
      <c r="J1335" s="21" t="s">
        <v>284</v>
      </c>
      <c r="K1335" s="21" t="s">
        <v>4796</v>
      </c>
      <c r="L1335" s="22" t="s">
        <v>36</v>
      </c>
      <c r="M1335" s="21" t="s">
        <v>4797</v>
      </c>
      <c r="N1335" s="13" t="s">
        <v>1085</v>
      </c>
      <c r="O1335" s="23" t="n">
        <v>9.78</v>
      </c>
      <c r="P1335" s="13" t="n">
        <v>2</v>
      </c>
      <c r="Q1335" s="24" t="n">
        <v>46311.1090162037</v>
      </c>
      <c r="R1335" s="22"/>
      <c r="S1335" s="13" t="s">
        <v>164</v>
      </c>
      <c r="T1335" s="13" t="str">
        <f aca="false">IF(S1335="Oui",IF(R1335=L1335,"Identique","Changé"),"")</f>
        <v/>
      </c>
    </row>
    <row r="1336" customFormat="false" ht="57.45" hidden="false" customHeight="false" outlineLevel="0" collapsed="false">
      <c r="A1336" s="13" t="s">
        <v>4798</v>
      </c>
      <c r="B1336" s="13" t="s">
        <v>4785</v>
      </c>
      <c r="C1336" s="13" t="n">
        <v>5</v>
      </c>
      <c r="D1336" s="13" t="s">
        <v>97</v>
      </c>
      <c r="E1336" s="13" t="s">
        <v>158</v>
      </c>
      <c r="F1336" s="13" t="s">
        <v>115</v>
      </c>
      <c r="G1336" s="13" t="s">
        <v>343</v>
      </c>
      <c r="H1336" s="13" t="s">
        <v>101</v>
      </c>
      <c r="I1336" s="21" t="s">
        <v>4799</v>
      </c>
      <c r="J1336" s="21" t="s">
        <v>311</v>
      </c>
      <c r="K1336" s="21" t="s">
        <v>4800</v>
      </c>
      <c r="L1336" s="22" t="s">
        <v>37</v>
      </c>
      <c r="M1336" s="21" t="s">
        <v>163</v>
      </c>
      <c r="N1336" s="13" t="s">
        <v>106</v>
      </c>
      <c r="O1336" s="23" t="n">
        <v>11.39</v>
      </c>
      <c r="P1336" s="13" t="n">
        <v>2</v>
      </c>
      <c r="Q1336" s="24" t="n">
        <v>46311.1092592593</v>
      </c>
      <c r="R1336" s="22"/>
      <c r="S1336" s="13" t="s">
        <v>164</v>
      </c>
      <c r="T1336" s="13" t="str">
        <f aca="false">IF(S1336="Oui",IF(R1336=L1336,"Identique","Changé"),"")</f>
        <v/>
      </c>
    </row>
    <row r="1337" customFormat="false" ht="46.25" hidden="false" customHeight="false" outlineLevel="0" collapsed="false">
      <c r="A1337" s="13" t="s">
        <v>4801</v>
      </c>
      <c r="B1337" s="13" t="s">
        <v>4802</v>
      </c>
      <c r="C1337" s="13" t="n">
        <v>1</v>
      </c>
      <c r="D1337" s="13" t="s">
        <v>135</v>
      </c>
      <c r="E1337" s="13" t="s">
        <v>185</v>
      </c>
      <c r="F1337" s="13" t="s">
        <v>3518</v>
      </c>
      <c r="G1337" s="13" t="s">
        <v>2113</v>
      </c>
      <c r="H1337" s="13" t="s">
        <v>101</v>
      </c>
      <c r="I1337" s="21" t="s">
        <v>4803</v>
      </c>
      <c r="J1337" s="21" t="s">
        <v>4804</v>
      </c>
      <c r="K1337" s="21" t="s">
        <v>4805</v>
      </c>
      <c r="L1337" s="22" t="s">
        <v>36</v>
      </c>
      <c r="M1337" s="21" t="s">
        <v>2135</v>
      </c>
      <c r="N1337" s="13" t="s">
        <v>106</v>
      </c>
      <c r="O1337" s="23" t="n">
        <v>24.64</v>
      </c>
      <c r="P1337" s="13" t="n">
        <v>1</v>
      </c>
      <c r="Q1337" s="24" t="n">
        <v>46311.1097222222</v>
      </c>
      <c r="R1337" s="22"/>
      <c r="S1337" s="13" t="s">
        <v>164</v>
      </c>
      <c r="T1337" s="13" t="str">
        <f aca="false">IF(S1337="Oui",IF(R1337=L1337,"Identique","Changé"),"")</f>
        <v/>
      </c>
    </row>
    <row r="1338" customFormat="false" ht="57.45" hidden="false" customHeight="false" outlineLevel="0" collapsed="false">
      <c r="A1338" s="13" t="s">
        <v>4806</v>
      </c>
      <c r="B1338" s="13" t="s">
        <v>4802</v>
      </c>
      <c r="C1338" s="13" t="n">
        <v>2</v>
      </c>
      <c r="D1338" s="13" t="s">
        <v>135</v>
      </c>
      <c r="E1338" s="13" t="s">
        <v>1730</v>
      </c>
      <c r="F1338" s="13" t="s">
        <v>3518</v>
      </c>
      <c r="G1338" s="13" t="s">
        <v>2098</v>
      </c>
      <c r="H1338" s="13" t="s">
        <v>101</v>
      </c>
      <c r="I1338" s="21" t="s">
        <v>4807</v>
      </c>
      <c r="J1338" s="21" t="s">
        <v>1741</v>
      </c>
      <c r="K1338" s="21" t="s">
        <v>4808</v>
      </c>
      <c r="L1338" s="22" t="s">
        <v>36</v>
      </c>
      <c r="M1338" s="21" t="s">
        <v>235</v>
      </c>
      <c r="N1338" s="13" t="s">
        <v>106</v>
      </c>
      <c r="O1338" s="23" t="n">
        <v>10.14</v>
      </c>
      <c r="P1338" s="13" t="n">
        <v>1</v>
      </c>
      <c r="Q1338" s="24" t="n">
        <v>46311.1099421296</v>
      </c>
      <c r="R1338" s="22"/>
      <c r="S1338" s="13" t="s">
        <v>164</v>
      </c>
      <c r="T1338" s="13" t="str">
        <f aca="false">IF(S1338="Oui",IF(R1338=L1338,"Identique","Changé"),"")</f>
        <v/>
      </c>
    </row>
    <row r="1339" customFormat="false" ht="57.45" hidden="false" customHeight="false" outlineLevel="0" collapsed="false">
      <c r="A1339" s="13" t="s">
        <v>4809</v>
      </c>
      <c r="B1339" s="13" t="s">
        <v>4802</v>
      </c>
      <c r="C1339" s="13" t="n">
        <v>3</v>
      </c>
      <c r="D1339" s="13" t="s">
        <v>135</v>
      </c>
      <c r="E1339" s="13" t="s">
        <v>128</v>
      </c>
      <c r="F1339" s="13" t="s">
        <v>3518</v>
      </c>
      <c r="G1339" s="13" t="s">
        <v>2071</v>
      </c>
      <c r="H1339" s="13" t="s">
        <v>101</v>
      </c>
      <c r="I1339" s="21" t="s">
        <v>4810</v>
      </c>
      <c r="J1339" s="21" t="s">
        <v>195</v>
      </c>
      <c r="K1339" s="21" t="s">
        <v>4811</v>
      </c>
      <c r="L1339" s="22" t="s">
        <v>36</v>
      </c>
      <c r="M1339" s="21" t="s">
        <v>120</v>
      </c>
      <c r="N1339" s="13" t="s">
        <v>106</v>
      </c>
      <c r="O1339" s="23" t="n">
        <v>18.69</v>
      </c>
      <c r="P1339" s="13" t="n">
        <v>1</v>
      </c>
      <c r="Q1339" s="24" t="n">
        <v>46311.1102546296</v>
      </c>
      <c r="R1339" s="22"/>
      <c r="S1339" s="13" t="s">
        <v>164</v>
      </c>
      <c r="T1339" s="13" t="str">
        <f aca="false">IF(S1339="Oui",IF(R1339=L1339,"Identique","Changé"),"")</f>
        <v/>
      </c>
    </row>
    <row r="1340" customFormat="false" ht="57.45" hidden="false" customHeight="false" outlineLevel="0" collapsed="false">
      <c r="A1340" s="13" t="s">
        <v>4812</v>
      </c>
      <c r="B1340" s="13" t="s">
        <v>4802</v>
      </c>
      <c r="C1340" s="13" t="n">
        <v>4</v>
      </c>
      <c r="D1340" s="13" t="s">
        <v>135</v>
      </c>
      <c r="E1340" s="13" t="s">
        <v>114</v>
      </c>
      <c r="F1340" s="13" t="s">
        <v>3518</v>
      </c>
      <c r="G1340" s="13" t="s">
        <v>2195</v>
      </c>
      <c r="H1340" s="13" t="s">
        <v>101</v>
      </c>
      <c r="I1340" s="21" t="s">
        <v>4813</v>
      </c>
      <c r="J1340" s="21" t="s">
        <v>2197</v>
      </c>
      <c r="K1340" s="21" t="s">
        <v>4814</v>
      </c>
      <c r="L1340" s="22" t="s">
        <v>36</v>
      </c>
      <c r="M1340" s="21" t="s">
        <v>120</v>
      </c>
      <c r="N1340" s="13" t="s">
        <v>106</v>
      </c>
      <c r="O1340" s="23" t="n">
        <v>10</v>
      </c>
      <c r="P1340" s="13" t="n">
        <v>1</v>
      </c>
      <c r="Q1340" s="24" t="n">
        <v>46311.110474537</v>
      </c>
      <c r="R1340" s="22"/>
      <c r="S1340" s="13" t="s">
        <v>164</v>
      </c>
      <c r="T1340" s="13" t="str">
        <f aca="false">IF(S1340="Oui",IF(R1340=L1340,"Identique","Changé"),"")</f>
        <v/>
      </c>
    </row>
    <row r="1341" customFormat="false" ht="46.25" hidden="false" customHeight="false" outlineLevel="0" collapsed="false">
      <c r="A1341" s="13" t="s">
        <v>4815</v>
      </c>
      <c r="B1341" s="13" t="s">
        <v>4802</v>
      </c>
      <c r="C1341" s="13" t="n">
        <v>5</v>
      </c>
      <c r="D1341" s="13" t="s">
        <v>135</v>
      </c>
      <c r="E1341" s="13" t="s">
        <v>158</v>
      </c>
      <c r="F1341" s="13" t="s">
        <v>3518</v>
      </c>
      <c r="G1341" s="13" t="s">
        <v>1913</v>
      </c>
      <c r="H1341" s="13" t="s">
        <v>101</v>
      </c>
      <c r="I1341" s="21" t="s">
        <v>4816</v>
      </c>
      <c r="J1341" s="21" t="s">
        <v>284</v>
      </c>
      <c r="K1341" s="21" t="s">
        <v>4817</v>
      </c>
      <c r="L1341" s="22" t="s">
        <v>36</v>
      </c>
      <c r="M1341" s="21" t="s">
        <v>120</v>
      </c>
      <c r="N1341" s="13" t="s">
        <v>106</v>
      </c>
      <c r="O1341" s="23" t="n">
        <v>10.22</v>
      </c>
      <c r="P1341" s="13" t="n">
        <v>1</v>
      </c>
      <c r="Q1341" s="24" t="n">
        <v>46311.1106944445</v>
      </c>
      <c r="R1341" s="22"/>
      <c r="S1341" s="13" t="s">
        <v>164</v>
      </c>
      <c r="T1341" s="13" t="str">
        <f aca="false">IF(S1341="Oui",IF(R1341=L1341,"Identique","Changé"),"")</f>
        <v/>
      </c>
    </row>
    <row r="1342" customFormat="false" ht="68.65" hidden="false" customHeight="false" outlineLevel="0" collapsed="false">
      <c r="A1342" s="13" t="s">
        <v>4818</v>
      </c>
      <c r="B1342" s="13" t="s">
        <v>4819</v>
      </c>
      <c r="C1342" s="13" t="n">
        <v>1</v>
      </c>
      <c r="D1342" s="13" t="s">
        <v>97</v>
      </c>
      <c r="E1342" s="13" t="s">
        <v>171</v>
      </c>
      <c r="F1342" s="13" t="s">
        <v>339</v>
      </c>
      <c r="G1342" s="13" t="s">
        <v>519</v>
      </c>
      <c r="H1342" s="13" t="s">
        <v>101</v>
      </c>
      <c r="I1342" s="21" t="s">
        <v>4820</v>
      </c>
      <c r="J1342" s="21" t="s">
        <v>284</v>
      </c>
      <c r="K1342" s="21" t="s">
        <v>4821</v>
      </c>
      <c r="L1342" s="22" t="s">
        <v>37</v>
      </c>
      <c r="M1342" s="21" t="s">
        <v>163</v>
      </c>
      <c r="N1342" s="13" t="s">
        <v>106</v>
      </c>
      <c r="O1342" s="23" t="n">
        <v>25.81</v>
      </c>
      <c r="P1342" s="13" t="n">
        <v>1</v>
      </c>
      <c r="Q1342" s="24" t="n">
        <v>46311.1111689815</v>
      </c>
      <c r="R1342" s="22"/>
      <c r="S1342" s="13" t="s">
        <v>164</v>
      </c>
      <c r="T1342" s="13" t="str">
        <f aca="false">IF(S1342="Oui",IF(R1342=L1342,"Identique","Changé"),"")</f>
        <v/>
      </c>
    </row>
    <row r="1343" customFormat="false" ht="35.05" hidden="false" customHeight="false" outlineLevel="0" collapsed="false">
      <c r="A1343" s="13" t="s">
        <v>4822</v>
      </c>
      <c r="B1343" s="13" t="s">
        <v>4819</v>
      </c>
      <c r="C1343" s="13" t="n">
        <v>2</v>
      </c>
      <c r="D1343" s="13" t="s">
        <v>97</v>
      </c>
      <c r="E1343" s="13" t="s">
        <v>114</v>
      </c>
      <c r="F1343" s="13" t="s">
        <v>339</v>
      </c>
      <c r="G1343" s="13" t="s">
        <v>2220</v>
      </c>
      <c r="H1343" s="13" t="s">
        <v>101</v>
      </c>
      <c r="I1343" s="21" t="s">
        <v>4823</v>
      </c>
      <c r="J1343" s="21" t="s">
        <v>2222</v>
      </c>
      <c r="K1343" s="21" t="s">
        <v>4824</v>
      </c>
      <c r="L1343" s="22" t="s">
        <v>36</v>
      </c>
      <c r="M1343" s="21" t="s">
        <v>120</v>
      </c>
      <c r="N1343" s="13" t="s">
        <v>106</v>
      </c>
      <c r="O1343" s="23" t="n">
        <v>9.41</v>
      </c>
      <c r="P1343" s="13" t="n">
        <v>1</v>
      </c>
      <c r="Q1343" s="24" t="n">
        <v>46311.1113773148</v>
      </c>
      <c r="R1343" s="22"/>
      <c r="S1343" s="13" t="s">
        <v>164</v>
      </c>
      <c r="T1343" s="13" t="str">
        <f aca="false">IF(S1343="Oui",IF(R1343=L1343,"Identique","Changé"),"")</f>
        <v/>
      </c>
    </row>
    <row r="1344" customFormat="false" ht="35.05" hidden="false" customHeight="false" outlineLevel="0" collapsed="false">
      <c r="A1344" s="13" t="s">
        <v>4825</v>
      </c>
      <c r="B1344" s="13" t="s">
        <v>4819</v>
      </c>
      <c r="C1344" s="13" t="n">
        <v>3</v>
      </c>
      <c r="D1344" s="13" t="s">
        <v>97</v>
      </c>
      <c r="E1344" s="13" t="s">
        <v>171</v>
      </c>
      <c r="F1344" s="13" t="s">
        <v>1298</v>
      </c>
      <c r="G1344" s="13" t="s">
        <v>1998</v>
      </c>
      <c r="H1344" s="13" t="s">
        <v>101</v>
      </c>
      <c r="I1344" s="21" t="s">
        <v>4826</v>
      </c>
      <c r="J1344" s="21" t="s">
        <v>4827</v>
      </c>
      <c r="K1344" s="21" t="s">
        <v>4828</v>
      </c>
      <c r="L1344" s="22" t="s">
        <v>36</v>
      </c>
      <c r="M1344" s="21" t="s">
        <v>120</v>
      </c>
      <c r="N1344" s="13" t="s">
        <v>106</v>
      </c>
      <c r="O1344" s="23" t="n">
        <v>10.15</v>
      </c>
      <c r="P1344" s="13" t="n">
        <v>1</v>
      </c>
      <c r="Q1344" s="24" t="n">
        <v>46311.1116087963</v>
      </c>
      <c r="R1344" s="22"/>
      <c r="S1344" s="13" t="s">
        <v>164</v>
      </c>
      <c r="T1344" s="13" t="str">
        <f aca="false">IF(S1344="Oui",IF(R1344=L1344,"Identique","Changé"),"")</f>
        <v/>
      </c>
    </row>
    <row r="1345" customFormat="false" ht="46.25" hidden="false" customHeight="false" outlineLevel="0" collapsed="false">
      <c r="A1345" s="13" t="s">
        <v>4829</v>
      </c>
      <c r="B1345" s="13" t="s">
        <v>4819</v>
      </c>
      <c r="C1345" s="13" t="n">
        <v>4</v>
      </c>
      <c r="D1345" s="13" t="s">
        <v>97</v>
      </c>
      <c r="E1345" s="13" t="s">
        <v>570</v>
      </c>
      <c r="F1345" s="13" t="s">
        <v>1298</v>
      </c>
      <c r="G1345" s="13" t="s">
        <v>571</v>
      </c>
      <c r="H1345" s="13" t="s">
        <v>152</v>
      </c>
      <c r="I1345" s="21" t="s">
        <v>4830</v>
      </c>
      <c r="J1345" s="21" t="s">
        <v>154</v>
      </c>
      <c r="K1345" s="21" t="s">
        <v>4831</v>
      </c>
      <c r="L1345" s="22" t="s">
        <v>40</v>
      </c>
      <c r="M1345" s="21" t="s">
        <v>156</v>
      </c>
      <c r="N1345" s="13" t="s">
        <v>106</v>
      </c>
      <c r="O1345" s="23" t="n">
        <v>12.96</v>
      </c>
      <c r="P1345" s="13" t="n">
        <v>1</v>
      </c>
      <c r="Q1345" s="24" t="n">
        <v>46311.1118634259</v>
      </c>
      <c r="R1345" s="22"/>
      <c r="S1345" s="13" t="s">
        <v>164</v>
      </c>
      <c r="T1345" s="13" t="str">
        <f aca="false">IF(S1345="Oui",IF(R1345=L1345,"Identique","Changé"),"")</f>
        <v/>
      </c>
    </row>
    <row r="1346" customFormat="false" ht="35.05" hidden="false" customHeight="false" outlineLevel="0" collapsed="false">
      <c r="A1346" s="13" t="s">
        <v>4832</v>
      </c>
      <c r="B1346" s="13" t="s">
        <v>4819</v>
      </c>
      <c r="C1346" s="13" t="n">
        <v>5</v>
      </c>
      <c r="D1346" s="13" t="s">
        <v>97</v>
      </c>
      <c r="E1346" s="13" t="s">
        <v>185</v>
      </c>
      <c r="F1346" s="13" t="s">
        <v>339</v>
      </c>
      <c r="G1346" s="13" t="s">
        <v>2173</v>
      </c>
      <c r="H1346" s="13" t="s">
        <v>101</v>
      </c>
      <c r="I1346" s="21" t="s">
        <v>4833</v>
      </c>
      <c r="J1346" s="21" t="s">
        <v>4834</v>
      </c>
      <c r="K1346" s="21" t="s">
        <v>4835</v>
      </c>
      <c r="L1346" s="22" t="s">
        <v>36</v>
      </c>
      <c r="M1346" s="21" t="s">
        <v>2135</v>
      </c>
      <c r="N1346" s="13" t="s">
        <v>106</v>
      </c>
      <c r="O1346" s="23" t="n">
        <v>10.41</v>
      </c>
      <c r="P1346" s="13" t="n">
        <v>1</v>
      </c>
      <c r="Q1346" s="24" t="n">
        <v>46311.1120833333</v>
      </c>
      <c r="R1346" s="22"/>
      <c r="S1346" s="13" t="s">
        <v>164</v>
      </c>
      <c r="T1346" s="13" t="str">
        <f aca="false">IF(S1346="Oui",IF(R1346=L1346,"Identique","Changé"),"")</f>
        <v/>
      </c>
    </row>
    <row r="1347" customFormat="false" ht="57.45" hidden="false" customHeight="false" outlineLevel="0" collapsed="false">
      <c r="A1347" s="13" t="s">
        <v>4836</v>
      </c>
      <c r="B1347" s="13" t="s">
        <v>4837</v>
      </c>
      <c r="C1347" s="13" t="n">
        <v>1</v>
      </c>
      <c r="D1347" s="13" t="s">
        <v>135</v>
      </c>
      <c r="E1347" s="13" t="s">
        <v>114</v>
      </c>
      <c r="F1347" s="13" t="s">
        <v>4838</v>
      </c>
      <c r="G1347" s="13" t="s">
        <v>2250</v>
      </c>
      <c r="H1347" s="13" t="s">
        <v>101</v>
      </c>
      <c r="I1347" s="21" t="s">
        <v>4839</v>
      </c>
      <c r="J1347" s="21" t="s">
        <v>2317</v>
      </c>
      <c r="K1347" s="21" t="s">
        <v>4840</v>
      </c>
      <c r="L1347" s="22" t="s">
        <v>36</v>
      </c>
      <c r="M1347" s="21" t="s">
        <v>120</v>
      </c>
      <c r="N1347" s="13" t="s">
        <v>106</v>
      </c>
      <c r="O1347" s="23" t="n">
        <v>30.72</v>
      </c>
      <c r="P1347" s="13" t="n">
        <v>1</v>
      </c>
      <c r="Q1347" s="24" t="n">
        <v>46311.1126157407</v>
      </c>
      <c r="R1347" s="22"/>
      <c r="S1347" s="13" t="s">
        <v>164</v>
      </c>
      <c r="T1347" s="13" t="str">
        <f aca="false">IF(S1347="Oui",IF(R1347=L1347,"Identique","Changé"),"")</f>
        <v/>
      </c>
    </row>
    <row r="1348" customFormat="false" ht="46.25" hidden="false" customHeight="false" outlineLevel="0" collapsed="false">
      <c r="A1348" s="13" t="s">
        <v>4841</v>
      </c>
      <c r="B1348" s="13" t="s">
        <v>4837</v>
      </c>
      <c r="C1348" s="13" t="n">
        <v>2</v>
      </c>
      <c r="D1348" s="13" t="s">
        <v>135</v>
      </c>
      <c r="E1348" s="13" t="s">
        <v>570</v>
      </c>
      <c r="F1348" s="13" t="s">
        <v>4838</v>
      </c>
      <c r="G1348" s="13" t="s">
        <v>1859</v>
      </c>
      <c r="H1348" s="13" t="s">
        <v>101</v>
      </c>
      <c r="I1348" s="21" t="s">
        <v>4842</v>
      </c>
      <c r="J1348" s="21" t="s">
        <v>1741</v>
      </c>
      <c r="K1348" s="21" t="s">
        <v>4843</v>
      </c>
      <c r="L1348" s="22" t="s">
        <v>36</v>
      </c>
      <c r="M1348" s="21" t="s">
        <v>235</v>
      </c>
      <c r="N1348" s="13" t="s">
        <v>106</v>
      </c>
      <c r="O1348" s="23" t="n">
        <v>10.7</v>
      </c>
      <c r="P1348" s="13" t="n">
        <v>1</v>
      </c>
      <c r="Q1348" s="24" t="n">
        <v>46311.1128356482</v>
      </c>
      <c r="R1348" s="22"/>
      <c r="S1348" s="13" t="s">
        <v>164</v>
      </c>
      <c r="T1348" s="13" t="str">
        <f aca="false">IF(S1348="Oui",IF(R1348=L1348,"Identique","Changé"),"")</f>
        <v/>
      </c>
    </row>
    <row r="1349" customFormat="false" ht="57.45" hidden="false" customHeight="false" outlineLevel="0" collapsed="false">
      <c r="A1349" s="13" t="s">
        <v>4844</v>
      </c>
      <c r="B1349" s="13" t="s">
        <v>4837</v>
      </c>
      <c r="C1349" s="13" t="n">
        <v>3</v>
      </c>
      <c r="D1349" s="13" t="s">
        <v>135</v>
      </c>
      <c r="E1349" s="13" t="s">
        <v>98</v>
      </c>
      <c r="F1349" s="13" t="s">
        <v>2609</v>
      </c>
      <c r="G1349" s="13" t="s">
        <v>151</v>
      </c>
      <c r="H1349" s="13" t="s">
        <v>101</v>
      </c>
      <c r="I1349" s="21" t="s">
        <v>4845</v>
      </c>
      <c r="J1349" s="21" t="s">
        <v>1389</v>
      </c>
      <c r="K1349" s="21" t="s">
        <v>4846</v>
      </c>
      <c r="L1349" s="22" t="s">
        <v>36</v>
      </c>
      <c r="M1349" s="21" t="s">
        <v>105</v>
      </c>
      <c r="N1349" s="13" t="s">
        <v>106</v>
      </c>
      <c r="O1349" s="23" t="n">
        <v>13.02</v>
      </c>
      <c r="P1349" s="13" t="n">
        <v>1</v>
      </c>
      <c r="Q1349" s="24" t="n">
        <v>46311.1130902778</v>
      </c>
      <c r="R1349" s="22"/>
      <c r="S1349" s="13" t="s">
        <v>164</v>
      </c>
      <c r="T1349" s="13" t="str">
        <f aca="false">IF(S1349="Oui",IF(R1349=L1349,"Identique","Changé"),"")</f>
        <v/>
      </c>
    </row>
    <row r="1350" customFormat="false" ht="46.25" hidden="false" customHeight="false" outlineLevel="0" collapsed="false">
      <c r="A1350" s="13" t="s">
        <v>4847</v>
      </c>
      <c r="B1350" s="13" t="s">
        <v>4837</v>
      </c>
      <c r="C1350" s="13" t="n">
        <v>4</v>
      </c>
      <c r="D1350" s="13" t="s">
        <v>135</v>
      </c>
      <c r="E1350" s="13" t="s">
        <v>98</v>
      </c>
      <c r="F1350" s="13" t="s">
        <v>2609</v>
      </c>
      <c r="G1350" s="13" t="s">
        <v>181</v>
      </c>
      <c r="H1350" s="13" t="s">
        <v>101</v>
      </c>
      <c r="I1350" s="21" t="s">
        <v>4848</v>
      </c>
      <c r="J1350" s="21" t="s">
        <v>604</v>
      </c>
      <c r="K1350" s="21" t="s">
        <v>4849</v>
      </c>
      <c r="L1350" s="22" t="s">
        <v>36</v>
      </c>
      <c r="M1350" s="21" t="s">
        <v>105</v>
      </c>
      <c r="N1350" s="13" t="s">
        <v>106</v>
      </c>
      <c r="O1350" s="23" t="n">
        <v>9.05</v>
      </c>
      <c r="P1350" s="13" t="n">
        <v>1</v>
      </c>
      <c r="Q1350" s="24" t="n">
        <v>46311.1132986111</v>
      </c>
      <c r="R1350" s="22"/>
      <c r="S1350" s="13" t="s">
        <v>164</v>
      </c>
      <c r="T1350" s="13" t="str">
        <f aca="false">IF(S1350="Oui",IF(R1350=L1350,"Identique","Changé"),"")</f>
        <v/>
      </c>
    </row>
    <row r="1351" customFormat="false" ht="46.25" hidden="false" customHeight="false" outlineLevel="0" collapsed="false">
      <c r="A1351" s="13" t="s">
        <v>4850</v>
      </c>
      <c r="B1351" s="13" t="s">
        <v>4837</v>
      </c>
      <c r="C1351" s="13" t="n">
        <v>5</v>
      </c>
      <c r="D1351" s="13" t="s">
        <v>135</v>
      </c>
      <c r="E1351" s="13" t="s">
        <v>570</v>
      </c>
      <c r="F1351" s="13" t="s">
        <v>4838</v>
      </c>
      <c r="G1351" s="13" t="s">
        <v>1811</v>
      </c>
      <c r="H1351" s="13" t="s">
        <v>101</v>
      </c>
      <c r="I1351" s="21" t="s">
        <v>4851</v>
      </c>
      <c r="J1351" s="21" t="s">
        <v>1741</v>
      </c>
      <c r="K1351" s="21" t="s">
        <v>4852</v>
      </c>
      <c r="L1351" s="22" t="s">
        <v>36</v>
      </c>
      <c r="M1351" s="21" t="s">
        <v>235</v>
      </c>
      <c r="N1351" s="13" t="s">
        <v>106</v>
      </c>
      <c r="O1351" s="23" t="n">
        <v>9.28</v>
      </c>
      <c r="P1351" s="13" t="n">
        <v>1</v>
      </c>
      <c r="Q1351" s="24" t="n">
        <v>46311.1135069444</v>
      </c>
      <c r="R1351" s="22"/>
      <c r="S1351" s="13" t="s">
        <v>164</v>
      </c>
      <c r="T1351" s="13" t="str">
        <f aca="false">IF(S1351="Oui",IF(R1351=L1351,"Identique","Changé"),"")</f>
        <v/>
      </c>
    </row>
    <row r="1352" customFormat="false" ht="57.45" hidden="false" customHeight="false" outlineLevel="0" collapsed="false">
      <c r="A1352" s="13" t="s">
        <v>4853</v>
      </c>
      <c r="B1352" s="13" t="s">
        <v>4854</v>
      </c>
      <c r="C1352" s="13" t="n">
        <v>1</v>
      </c>
      <c r="D1352" s="13" t="s">
        <v>97</v>
      </c>
      <c r="E1352" s="13" t="s">
        <v>128</v>
      </c>
      <c r="F1352" s="13" t="s">
        <v>1094</v>
      </c>
      <c r="G1352" s="13" t="s">
        <v>968</v>
      </c>
      <c r="H1352" s="13" t="s">
        <v>101</v>
      </c>
      <c r="I1352" s="21" t="s">
        <v>4855</v>
      </c>
      <c r="J1352" s="21" t="s">
        <v>355</v>
      </c>
      <c r="K1352" s="21" t="s">
        <v>4856</v>
      </c>
      <c r="L1352" s="22" t="s">
        <v>36</v>
      </c>
      <c r="M1352" s="21" t="s">
        <v>120</v>
      </c>
      <c r="N1352" s="13" t="s">
        <v>106</v>
      </c>
      <c r="O1352" s="23" t="n">
        <v>67.3</v>
      </c>
      <c r="P1352" s="13" t="n">
        <v>1</v>
      </c>
      <c r="Q1352" s="24" t="n">
        <v>46311.1144444444</v>
      </c>
      <c r="R1352" s="22"/>
      <c r="S1352" s="13" t="s">
        <v>164</v>
      </c>
      <c r="T1352" s="13" t="str">
        <f aca="false">IF(S1352="Oui",IF(R1352=L1352,"Identique","Changé"),"")</f>
        <v/>
      </c>
    </row>
    <row r="1353" customFormat="false" ht="35.05" hidden="false" customHeight="false" outlineLevel="0" collapsed="false">
      <c r="A1353" s="13" t="s">
        <v>4857</v>
      </c>
      <c r="B1353" s="13" t="s">
        <v>4854</v>
      </c>
      <c r="C1353" s="13" t="n">
        <v>2</v>
      </c>
      <c r="D1353" s="13" t="s">
        <v>97</v>
      </c>
      <c r="E1353" s="13" t="s">
        <v>122</v>
      </c>
      <c r="F1353" s="13" t="s">
        <v>1094</v>
      </c>
      <c r="G1353" s="13" t="s">
        <v>2216</v>
      </c>
      <c r="H1353" s="13" t="s">
        <v>101</v>
      </c>
      <c r="I1353" s="21" t="s">
        <v>4858</v>
      </c>
      <c r="J1353" s="21" t="s">
        <v>284</v>
      </c>
      <c r="K1353" s="21" t="s">
        <v>4859</v>
      </c>
      <c r="L1353" s="22" t="s">
        <v>36</v>
      </c>
      <c r="M1353" s="21" t="s">
        <v>120</v>
      </c>
      <c r="N1353" s="13" t="s">
        <v>106</v>
      </c>
      <c r="O1353" s="23" t="n">
        <v>10.46</v>
      </c>
      <c r="P1353" s="13" t="n">
        <v>1</v>
      </c>
      <c r="Q1353" s="24" t="n">
        <v>46311.1146643519</v>
      </c>
      <c r="R1353" s="22"/>
      <c r="S1353" s="13" t="s">
        <v>164</v>
      </c>
      <c r="T1353" s="13" t="str">
        <f aca="false">IF(S1353="Oui",IF(R1353=L1353,"Identique","Changé"),"")</f>
        <v/>
      </c>
    </row>
    <row r="1354" customFormat="false" ht="68.65" hidden="false" customHeight="false" outlineLevel="0" collapsed="false">
      <c r="A1354" s="13" t="s">
        <v>4860</v>
      </c>
      <c r="B1354" s="13" t="s">
        <v>4854</v>
      </c>
      <c r="C1354" s="13" t="n">
        <v>3</v>
      </c>
      <c r="D1354" s="13" t="s">
        <v>97</v>
      </c>
      <c r="E1354" s="13" t="s">
        <v>122</v>
      </c>
      <c r="F1354" s="13" t="s">
        <v>1094</v>
      </c>
      <c r="G1354" s="13" t="s">
        <v>1840</v>
      </c>
      <c r="H1354" s="13" t="s">
        <v>101</v>
      </c>
      <c r="I1354" s="21" t="s">
        <v>4861</v>
      </c>
      <c r="J1354" s="21" t="s">
        <v>284</v>
      </c>
      <c r="K1354" s="21" t="s">
        <v>4862</v>
      </c>
      <c r="L1354" s="22" t="s">
        <v>37</v>
      </c>
      <c r="M1354" s="21" t="s">
        <v>163</v>
      </c>
      <c r="N1354" s="13" t="s">
        <v>106</v>
      </c>
      <c r="O1354" s="23" t="n">
        <v>13.71</v>
      </c>
      <c r="P1354" s="13" t="n">
        <v>1</v>
      </c>
      <c r="Q1354" s="24" t="n">
        <v>46311.1149305556</v>
      </c>
      <c r="R1354" s="22"/>
      <c r="S1354" s="13" t="s">
        <v>164</v>
      </c>
      <c r="T1354" s="13" t="str">
        <f aca="false">IF(S1354="Oui",IF(R1354=L1354,"Identique","Changé"),"")</f>
        <v/>
      </c>
    </row>
    <row r="1355" customFormat="false" ht="35.05" hidden="false" customHeight="false" outlineLevel="0" collapsed="false">
      <c r="A1355" s="13" t="s">
        <v>4863</v>
      </c>
      <c r="B1355" s="13" t="s">
        <v>4854</v>
      </c>
      <c r="C1355" s="13" t="n">
        <v>4</v>
      </c>
      <c r="D1355" s="13" t="s">
        <v>97</v>
      </c>
      <c r="E1355" s="13" t="s">
        <v>570</v>
      </c>
      <c r="F1355" s="13" t="s">
        <v>1094</v>
      </c>
      <c r="G1355" s="13" t="s">
        <v>1805</v>
      </c>
      <c r="H1355" s="13" t="s">
        <v>101</v>
      </c>
      <c r="I1355" s="21" t="s">
        <v>4864</v>
      </c>
      <c r="J1355" s="21" t="s">
        <v>284</v>
      </c>
      <c r="K1355" s="21" t="s">
        <v>4865</v>
      </c>
      <c r="L1355" s="22" t="s">
        <v>36</v>
      </c>
      <c r="M1355" s="21" t="s">
        <v>120</v>
      </c>
      <c r="N1355" s="13" t="s">
        <v>106</v>
      </c>
      <c r="O1355" s="23" t="n">
        <v>9.89</v>
      </c>
      <c r="P1355" s="13" t="n">
        <v>1</v>
      </c>
      <c r="Q1355" s="24" t="n">
        <v>46311.1151388889</v>
      </c>
      <c r="R1355" s="22"/>
      <c r="S1355" s="13" t="s">
        <v>164</v>
      </c>
      <c r="T1355" s="13" t="str">
        <f aca="false">IF(S1355="Oui",IF(R1355=L1355,"Identique","Changé"),"")</f>
        <v/>
      </c>
    </row>
    <row r="1356" customFormat="false" ht="35.05" hidden="false" customHeight="false" outlineLevel="0" collapsed="false">
      <c r="A1356" s="13" t="s">
        <v>4866</v>
      </c>
      <c r="B1356" s="13" t="s">
        <v>4854</v>
      </c>
      <c r="C1356" s="13" t="n">
        <v>5</v>
      </c>
      <c r="D1356" s="13" t="s">
        <v>97</v>
      </c>
      <c r="E1356" s="13" t="s">
        <v>114</v>
      </c>
      <c r="F1356" s="13" t="s">
        <v>1094</v>
      </c>
      <c r="G1356" s="13" t="s">
        <v>1887</v>
      </c>
      <c r="H1356" s="13" t="s">
        <v>101</v>
      </c>
      <c r="I1356" s="21" t="s">
        <v>4867</v>
      </c>
      <c r="J1356" s="21" t="s">
        <v>512</v>
      </c>
      <c r="K1356" s="21" t="s">
        <v>4868</v>
      </c>
      <c r="L1356" s="22" t="s">
        <v>36</v>
      </c>
      <c r="M1356" s="21" t="s">
        <v>120</v>
      </c>
      <c r="N1356" s="13" t="s">
        <v>106</v>
      </c>
      <c r="O1356" s="23" t="n">
        <v>9.69</v>
      </c>
      <c r="P1356" s="13" t="n">
        <v>1</v>
      </c>
      <c r="Q1356" s="24" t="n">
        <v>46311.1153587963</v>
      </c>
      <c r="R1356" s="22"/>
      <c r="S1356" s="13" t="s">
        <v>164</v>
      </c>
      <c r="T1356" s="13" t="str">
        <f aca="false">IF(S1356="Oui",IF(R1356=L1356,"Identique","Changé"),"")</f>
        <v/>
      </c>
    </row>
    <row r="1357" customFormat="false" ht="57.45" hidden="false" customHeight="false" outlineLevel="0" collapsed="false">
      <c r="A1357" s="13" t="s">
        <v>4869</v>
      </c>
      <c r="B1357" s="13" t="s">
        <v>4870</v>
      </c>
      <c r="C1357" s="13" t="n">
        <v>1</v>
      </c>
      <c r="D1357" s="13" t="s">
        <v>135</v>
      </c>
      <c r="E1357" s="13" t="s">
        <v>1730</v>
      </c>
      <c r="F1357" s="13" t="s">
        <v>4871</v>
      </c>
      <c r="G1357" s="13" t="s">
        <v>2009</v>
      </c>
      <c r="H1357" s="13" t="s">
        <v>101</v>
      </c>
      <c r="I1357" s="21" t="s">
        <v>4872</v>
      </c>
      <c r="J1357" s="21" t="s">
        <v>4873</v>
      </c>
      <c r="K1357" s="21" t="s">
        <v>4874</v>
      </c>
      <c r="L1357" s="22" t="s">
        <v>37</v>
      </c>
      <c r="M1357" s="21" t="s">
        <v>163</v>
      </c>
      <c r="N1357" s="13" t="s">
        <v>106</v>
      </c>
      <c r="O1357" s="23" t="n">
        <v>24.01</v>
      </c>
      <c r="P1357" s="13" t="n">
        <v>1</v>
      </c>
      <c r="Q1357" s="24" t="n">
        <v>46311.1158101852</v>
      </c>
      <c r="R1357" s="22"/>
      <c r="S1357" s="13" t="s">
        <v>164</v>
      </c>
      <c r="T1357" s="13" t="str">
        <f aca="false">IF(S1357="Oui",IF(R1357=L1357,"Identique","Changé"),"")</f>
        <v/>
      </c>
    </row>
    <row r="1358" customFormat="false" ht="359.7" hidden="false" customHeight="false" outlineLevel="0" collapsed="false">
      <c r="A1358" s="13" t="s">
        <v>4875</v>
      </c>
      <c r="B1358" s="13" t="s">
        <v>4870</v>
      </c>
      <c r="C1358" s="13" t="n">
        <v>2</v>
      </c>
      <c r="D1358" s="13" t="s">
        <v>135</v>
      </c>
      <c r="E1358" s="13" t="s">
        <v>1730</v>
      </c>
      <c r="F1358" s="13" t="s">
        <v>4871</v>
      </c>
      <c r="G1358" s="13" t="s">
        <v>2003</v>
      </c>
      <c r="H1358" s="13" t="s">
        <v>101</v>
      </c>
      <c r="I1358" s="21" t="s">
        <v>4876</v>
      </c>
      <c r="J1358" s="21" t="s">
        <v>4877</v>
      </c>
      <c r="K1358" s="21" t="s">
        <v>4878</v>
      </c>
      <c r="L1358" s="22" t="s">
        <v>37</v>
      </c>
      <c r="M1358" s="21" t="s">
        <v>163</v>
      </c>
      <c r="N1358" s="13" t="s">
        <v>106</v>
      </c>
      <c r="O1358" s="23" t="n">
        <v>12.51</v>
      </c>
      <c r="P1358" s="13" t="n">
        <v>1</v>
      </c>
      <c r="Q1358" s="24" t="n">
        <v>46311.1160532407</v>
      </c>
      <c r="R1358" s="22"/>
      <c r="S1358" s="13" t="s">
        <v>164</v>
      </c>
      <c r="T1358" s="13" t="str">
        <f aca="false">IF(S1358="Oui",IF(R1358=L1358,"Identique","Changé"),"")</f>
        <v/>
      </c>
    </row>
    <row r="1359" customFormat="false" ht="79.85" hidden="false" customHeight="false" outlineLevel="0" collapsed="false">
      <c r="A1359" s="13" t="s">
        <v>4879</v>
      </c>
      <c r="B1359" s="13" t="s">
        <v>4870</v>
      </c>
      <c r="C1359" s="13" t="n">
        <v>3</v>
      </c>
      <c r="D1359" s="13" t="s">
        <v>135</v>
      </c>
      <c r="E1359" s="13" t="s">
        <v>570</v>
      </c>
      <c r="F1359" s="13" t="s">
        <v>2646</v>
      </c>
      <c r="G1359" s="13" t="s">
        <v>1883</v>
      </c>
      <c r="H1359" s="13" t="s">
        <v>152</v>
      </c>
      <c r="I1359" s="21" t="s">
        <v>4880</v>
      </c>
      <c r="J1359" s="21" t="s">
        <v>154</v>
      </c>
      <c r="K1359" s="21" t="s">
        <v>4881</v>
      </c>
      <c r="L1359" s="22" t="s">
        <v>40</v>
      </c>
      <c r="M1359" s="21" t="s">
        <v>156</v>
      </c>
      <c r="N1359" s="13" t="s">
        <v>106</v>
      </c>
      <c r="O1359" s="23" t="n">
        <v>27.75</v>
      </c>
      <c r="P1359" s="13" t="n">
        <v>1</v>
      </c>
      <c r="Q1359" s="24" t="n">
        <v>46311.1164814815</v>
      </c>
      <c r="R1359" s="22"/>
      <c r="S1359" s="13" t="s">
        <v>164</v>
      </c>
      <c r="T1359" s="13" t="str">
        <f aca="false">IF(S1359="Oui",IF(R1359=L1359,"Identique","Changé"),"")</f>
        <v/>
      </c>
    </row>
    <row r="1360" customFormat="false" ht="68.65" hidden="false" customHeight="false" outlineLevel="0" collapsed="false">
      <c r="A1360" s="13" t="s">
        <v>4882</v>
      </c>
      <c r="B1360" s="13" t="s">
        <v>4870</v>
      </c>
      <c r="C1360" s="13" t="n">
        <v>4</v>
      </c>
      <c r="D1360" s="13" t="s">
        <v>135</v>
      </c>
      <c r="E1360" s="13" t="s">
        <v>122</v>
      </c>
      <c r="F1360" s="13" t="s">
        <v>2646</v>
      </c>
      <c r="G1360" s="13" t="s">
        <v>1833</v>
      </c>
      <c r="H1360" s="13" t="s">
        <v>101</v>
      </c>
      <c r="I1360" s="21" t="s">
        <v>4883</v>
      </c>
      <c r="J1360" s="21" t="s">
        <v>1741</v>
      </c>
      <c r="K1360" s="21" t="s">
        <v>4884</v>
      </c>
      <c r="L1360" s="22" t="s">
        <v>36</v>
      </c>
      <c r="M1360" s="21" t="s">
        <v>235</v>
      </c>
      <c r="N1360" s="13" t="s">
        <v>106</v>
      </c>
      <c r="O1360" s="23" t="n">
        <v>13.46</v>
      </c>
      <c r="P1360" s="13" t="n">
        <v>1</v>
      </c>
      <c r="Q1360" s="24" t="n">
        <v>46311.1167476852</v>
      </c>
      <c r="R1360" s="22"/>
      <c r="S1360" s="13" t="s">
        <v>164</v>
      </c>
      <c r="T1360" s="13" t="str">
        <f aca="false">IF(S1360="Oui",IF(R1360=L1360,"Identique","Changé"),"")</f>
        <v/>
      </c>
    </row>
    <row r="1361" customFormat="false" ht="79.85" hidden="false" customHeight="false" outlineLevel="0" collapsed="false">
      <c r="A1361" s="13" t="s">
        <v>4885</v>
      </c>
      <c r="B1361" s="13" t="s">
        <v>4870</v>
      </c>
      <c r="C1361" s="13" t="n">
        <v>5</v>
      </c>
      <c r="D1361" s="13" t="s">
        <v>135</v>
      </c>
      <c r="E1361" s="13" t="s">
        <v>122</v>
      </c>
      <c r="F1361" s="13" t="s">
        <v>4871</v>
      </c>
      <c r="G1361" s="13" t="s">
        <v>1905</v>
      </c>
      <c r="H1361" s="13" t="s">
        <v>101</v>
      </c>
      <c r="I1361" s="21" t="s">
        <v>4886</v>
      </c>
      <c r="J1361" s="21" t="s">
        <v>284</v>
      </c>
      <c r="K1361" s="21" t="s">
        <v>4887</v>
      </c>
      <c r="L1361" s="22" t="s">
        <v>37</v>
      </c>
      <c r="M1361" s="21" t="s">
        <v>163</v>
      </c>
      <c r="N1361" s="13" t="s">
        <v>106</v>
      </c>
      <c r="O1361" s="23" t="n">
        <v>25.61</v>
      </c>
      <c r="P1361" s="13" t="n">
        <v>1</v>
      </c>
      <c r="Q1361" s="24" t="n">
        <v>46311.1171527778</v>
      </c>
      <c r="R1361" s="22"/>
      <c r="S1361" s="13" t="s">
        <v>164</v>
      </c>
      <c r="T1361" s="13" t="str">
        <f aca="false">IF(S1361="Oui",IF(R1361=L1361,"Identique","Changé"),"")</f>
        <v/>
      </c>
    </row>
    <row r="1362" customFormat="false" ht="147" hidden="false" customHeight="false" outlineLevel="0" collapsed="false">
      <c r="A1362" s="13" t="s">
        <v>4888</v>
      </c>
      <c r="B1362" s="13" t="s">
        <v>4889</v>
      </c>
      <c r="C1362" s="13" t="n">
        <v>1</v>
      </c>
      <c r="D1362" s="13" t="s">
        <v>97</v>
      </c>
      <c r="E1362" s="13" t="s">
        <v>1730</v>
      </c>
      <c r="F1362" s="13" t="s">
        <v>296</v>
      </c>
      <c r="G1362" s="13" t="s">
        <v>1732</v>
      </c>
      <c r="H1362" s="13" t="s">
        <v>101</v>
      </c>
      <c r="I1362" s="21" t="s">
        <v>4890</v>
      </c>
      <c r="J1362" s="21" t="s">
        <v>4891</v>
      </c>
      <c r="K1362" s="21" t="s">
        <v>4892</v>
      </c>
      <c r="L1362" s="22" t="s">
        <v>36</v>
      </c>
      <c r="M1362" s="21" t="s">
        <v>3516</v>
      </c>
      <c r="N1362" s="13" t="s">
        <v>106</v>
      </c>
      <c r="O1362" s="23" t="n">
        <v>62.61</v>
      </c>
      <c r="P1362" s="13" t="n">
        <v>2</v>
      </c>
      <c r="Q1362" s="24" t="n">
        <v>46311.122650463</v>
      </c>
      <c r="R1362" s="22"/>
      <c r="S1362" s="13" t="s">
        <v>164</v>
      </c>
      <c r="T1362" s="13" t="str">
        <f aca="false">IF(S1362="Oui",IF(R1362=L1362,"Identique","Changé"),"")</f>
        <v/>
      </c>
    </row>
    <row r="1363" customFormat="false" ht="35.05" hidden="false" customHeight="false" outlineLevel="0" collapsed="false">
      <c r="A1363" s="13" t="s">
        <v>4893</v>
      </c>
      <c r="B1363" s="13" t="s">
        <v>4889</v>
      </c>
      <c r="C1363" s="13" t="n">
        <v>2</v>
      </c>
      <c r="D1363" s="13" t="s">
        <v>97</v>
      </c>
      <c r="E1363" s="13" t="s">
        <v>570</v>
      </c>
      <c r="F1363" s="13" t="s">
        <v>296</v>
      </c>
      <c r="G1363" s="13" t="s">
        <v>1790</v>
      </c>
      <c r="H1363" s="13" t="s">
        <v>101</v>
      </c>
      <c r="I1363" s="21" t="s">
        <v>4894</v>
      </c>
      <c r="J1363" s="21" t="s">
        <v>512</v>
      </c>
      <c r="K1363" s="21" t="s">
        <v>4895</v>
      </c>
      <c r="L1363" s="22" t="s">
        <v>36</v>
      </c>
      <c r="M1363" s="21" t="s">
        <v>120</v>
      </c>
      <c r="N1363" s="13" t="s">
        <v>106</v>
      </c>
      <c r="O1363" s="23" t="n">
        <v>12.2</v>
      </c>
      <c r="P1363" s="13" t="n">
        <v>2</v>
      </c>
      <c r="Q1363" s="24" t="n">
        <v>46311.1228935185</v>
      </c>
      <c r="R1363" s="22"/>
      <c r="S1363" s="13" t="s">
        <v>164</v>
      </c>
      <c r="T1363" s="13" t="str">
        <f aca="false">IF(S1363="Oui",IF(R1363=L1363,"Identique","Changé"),"")</f>
        <v/>
      </c>
    </row>
    <row r="1364" customFormat="false" ht="35.05" hidden="false" customHeight="false" outlineLevel="0" collapsed="false">
      <c r="A1364" s="13" t="s">
        <v>4896</v>
      </c>
      <c r="B1364" s="13" t="s">
        <v>4889</v>
      </c>
      <c r="C1364" s="13" t="n">
        <v>3</v>
      </c>
      <c r="D1364" s="13" t="s">
        <v>97</v>
      </c>
      <c r="E1364" s="13" t="s">
        <v>128</v>
      </c>
      <c r="F1364" s="13" t="s">
        <v>296</v>
      </c>
      <c r="G1364" s="13" t="s">
        <v>348</v>
      </c>
      <c r="H1364" s="13" t="s">
        <v>101</v>
      </c>
      <c r="I1364" s="21" t="s">
        <v>4897</v>
      </c>
      <c r="J1364" s="21" t="s">
        <v>131</v>
      </c>
      <c r="K1364" s="21" t="s">
        <v>4898</v>
      </c>
      <c r="L1364" s="22" t="s">
        <v>36</v>
      </c>
      <c r="M1364" s="21" t="s">
        <v>120</v>
      </c>
      <c r="N1364" s="13" t="s">
        <v>106</v>
      </c>
      <c r="O1364" s="23" t="n">
        <v>17.29</v>
      </c>
      <c r="P1364" s="13" t="n">
        <v>2</v>
      </c>
      <c r="Q1364" s="24" t="n">
        <v>46311.1231944444</v>
      </c>
      <c r="R1364" s="22"/>
      <c r="S1364" s="13" t="s">
        <v>164</v>
      </c>
      <c r="T1364" s="13" t="str">
        <f aca="false">IF(S1364="Oui",IF(R1364=L1364,"Identique","Changé"),"")</f>
        <v/>
      </c>
    </row>
    <row r="1365" customFormat="false" ht="46.25" hidden="false" customHeight="false" outlineLevel="0" collapsed="false">
      <c r="A1365" s="13" t="s">
        <v>4899</v>
      </c>
      <c r="B1365" s="13" t="s">
        <v>4889</v>
      </c>
      <c r="C1365" s="13" t="n">
        <v>4</v>
      </c>
      <c r="D1365" s="13" t="s">
        <v>97</v>
      </c>
      <c r="E1365" s="13" t="s">
        <v>122</v>
      </c>
      <c r="F1365" s="13" t="s">
        <v>296</v>
      </c>
      <c r="G1365" s="13" t="s">
        <v>1874</v>
      </c>
      <c r="H1365" s="13" t="s">
        <v>101</v>
      </c>
      <c r="I1365" s="21" t="s">
        <v>4900</v>
      </c>
      <c r="J1365" s="21" t="s">
        <v>1876</v>
      </c>
      <c r="K1365" s="21" t="s">
        <v>4901</v>
      </c>
      <c r="L1365" s="22" t="s">
        <v>36</v>
      </c>
      <c r="M1365" s="21" t="s">
        <v>1878</v>
      </c>
      <c r="N1365" s="13" t="s">
        <v>1085</v>
      </c>
      <c r="O1365" s="23" t="n">
        <v>9.64</v>
      </c>
      <c r="P1365" s="13" t="n">
        <v>2</v>
      </c>
      <c r="Q1365" s="24" t="n">
        <v>46311.1234143519</v>
      </c>
      <c r="R1365" s="22"/>
      <c r="S1365" s="13" t="s">
        <v>164</v>
      </c>
      <c r="T1365" s="13" t="str">
        <f aca="false">IF(S1365="Oui",IF(R1365=L1365,"Identique","Changé"),"")</f>
        <v/>
      </c>
    </row>
    <row r="1366" customFormat="false" ht="79.85" hidden="false" customHeight="false" outlineLevel="0" collapsed="false">
      <c r="A1366" s="13" t="s">
        <v>4902</v>
      </c>
      <c r="B1366" s="13" t="s">
        <v>4889</v>
      </c>
      <c r="C1366" s="13" t="n">
        <v>5</v>
      </c>
      <c r="D1366" s="13" t="s">
        <v>97</v>
      </c>
      <c r="E1366" s="13" t="s">
        <v>114</v>
      </c>
      <c r="F1366" s="13" t="s">
        <v>296</v>
      </c>
      <c r="G1366" s="13" t="s">
        <v>2118</v>
      </c>
      <c r="H1366" s="13" t="s">
        <v>101</v>
      </c>
      <c r="I1366" s="21" t="s">
        <v>4903</v>
      </c>
      <c r="J1366" s="21" t="s">
        <v>3135</v>
      </c>
      <c r="K1366" s="21" t="s">
        <v>4904</v>
      </c>
      <c r="L1366" s="22" t="s">
        <v>36</v>
      </c>
      <c r="M1366" s="21" t="s">
        <v>120</v>
      </c>
      <c r="N1366" s="13" t="s">
        <v>106</v>
      </c>
      <c r="O1366" s="23" t="n">
        <v>10.56</v>
      </c>
      <c r="P1366" s="13" t="n">
        <v>2</v>
      </c>
      <c r="Q1366" s="24" t="n">
        <v>46311.1236342593</v>
      </c>
      <c r="R1366" s="22"/>
      <c r="S1366" s="13" t="s">
        <v>164</v>
      </c>
      <c r="T1366" s="13" t="str">
        <f aca="false">IF(S1366="Oui",IF(R1366=L1366,"Identique","Changé"),"")</f>
        <v/>
      </c>
    </row>
    <row r="1367" customFormat="false" ht="35.05" hidden="false" customHeight="false" outlineLevel="0" collapsed="false">
      <c r="A1367" s="13" t="s">
        <v>4905</v>
      </c>
      <c r="B1367" s="13" t="s">
        <v>4906</v>
      </c>
      <c r="C1367" s="13" t="n">
        <v>1</v>
      </c>
      <c r="D1367" s="13" t="s">
        <v>135</v>
      </c>
      <c r="E1367" s="13" t="s">
        <v>122</v>
      </c>
      <c r="F1367" s="13" t="s">
        <v>3625</v>
      </c>
      <c r="G1367" s="13" t="s">
        <v>2036</v>
      </c>
      <c r="H1367" s="13" t="s">
        <v>101</v>
      </c>
      <c r="I1367" s="21" t="s">
        <v>4907</v>
      </c>
      <c r="J1367" s="21" t="s">
        <v>2038</v>
      </c>
      <c r="K1367" s="21" t="s">
        <v>1105</v>
      </c>
      <c r="L1367" s="22" t="s">
        <v>37</v>
      </c>
      <c r="M1367" s="21" t="s">
        <v>163</v>
      </c>
      <c r="N1367" s="13" t="s">
        <v>106</v>
      </c>
      <c r="O1367" s="23" t="n">
        <v>18.66</v>
      </c>
      <c r="P1367" s="13" t="n">
        <v>1</v>
      </c>
      <c r="Q1367" s="24" t="n">
        <v>46311.1240162037</v>
      </c>
      <c r="R1367" s="22"/>
      <c r="S1367" s="13" t="s">
        <v>164</v>
      </c>
      <c r="T1367" s="13" t="str">
        <f aca="false">IF(S1367="Oui",IF(R1367=L1367,"Identique","Changé"),"")</f>
        <v/>
      </c>
    </row>
    <row r="1368" customFormat="false" ht="23.85" hidden="false" customHeight="false" outlineLevel="0" collapsed="false">
      <c r="A1368" s="13" t="s">
        <v>4908</v>
      </c>
      <c r="B1368" s="13" t="s">
        <v>4906</v>
      </c>
      <c r="C1368" s="13" t="n">
        <v>2</v>
      </c>
      <c r="D1368" s="13" t="s">
        <v>135</v>
      </c>
      <c r="E1368" s="13" t="s">
        <v>122</v>
      </c>
      <c r="F1368" s="13" t="s">
        <v>3625</v>
      </c>
      <c r="G1368" s="13" t="s">
        <v>1891</v>
      </c>
      <c r="H1368" s="13" t="s">
        <v>101</v>
      </c>
      <c r="I1368" s="21" t="s">
        <v>4909</v>
      </c>
      <c r="J1368" s="21" t="s">
        <v>1741</v>
      </c>
      <c r="K1368" s="21" t="s">
        <v>1105</v>
      </c>
      <c r="L1368" s="22" t="s">
        <v>37</v>
      </c>
      <c r="M1368" s="21" t="s">
        <v>163</v>
      </c>
      <c r="N1368" s="13" t="s">
        <v>106</v>
      </c>
      <c r="O1368" s="23" t="n">
        <v>8.73</v>
      </c>
      <c r="P1368" s="13" t="n">
        <v>1</v>
      </c>
      <c r="Q1368" s="24" t="n">
        <v>46311.124212963</v>
      </c>
      <c r="R1368" s="22"/>
      <c r="S1368" s="13" t="s">
        <v>164</v>
      </c>
      <c r="T1368" s="13" t="str">
        <f aca="false">IF(S1368="Oui",IF(R1368=L1368,"Identique","Changé"),"")</f>
        <v/>
      </c>
    </row>
    <row r="1369" customFormat="false" ht="23.85" hidden="false" customHeight="false" outlineLevel="0" collapsed="false">
      <c r="A1369" s="13" t="s">
        <v>4910</v>
      </c>
      <c r="B1369" s="13" t="s">
        <v>4906</v>
      </c>
      <c r="C1369" s="13" t="n">
        <v>3</v>
      </c>
      <c r="D1369" s="13" t="s">
        <v>135</v>
      </c>
      <c r="E1369" s="13" t="s">
        <v>114</v>
      </c>
      <c r="F1369" s="13" t="s">
        <v>2681</v>
      </c>
      <c r="G1369" s="13" t="s">
        <v>2200</v>
      </c>
      <c r="H1369" s="13" t="s">
        <v>101</v>
      </c>
      <c r="I1369" s="21" t="s">
        <v>4911</v>
      </c>
      <c r="J1369" s="21" t="s">
        <v>4912</v>
      </c>
      <c r="K1369" s="21" t="s">
        <v>1105</v>
      </c>
      <c r="L1369" s="22" t="s">
        <v>37</v>
      </c>
      <c r="M1369" s="21" t="s">
        <v>163</v>
      </c>
      <c r="N1369" s="13" t="s">
        <v>106</v>
      </c>
      <c r="O1369" s="23" t="n">
        <v>9.47</v>
      </c>
      <c r="P1369" s="13" t="n">
        <v>1</v>
      </c>
      <c r="Q1369" s="24" t="n">
        <v>46311.1244328704</v>
      </c>
      <c r="R1369" s="22"/>
      <c r="S1369" s="13" t="s">
        <v>164</v>
      </c>
      <c r="T1369" s="13" t="str">
        <f aca="false">IF(S1369="Oui",IF(R1369=L1369,"Identique","Changé"),"")</f>
        <v/>
      </c>
    </row>
    <row r="1370" customFormat="false" ht="46.25" hidden="false" customHeight="false" outlineLevel="0" collapsed="false">
      <c r="A1370" s="13" t="s">
        <v>4913</v>
      </c>
      <c r="B1370" s="13" t="s">
        <v>4906</v>
      </c>
      <c r="C1370" s="13" t="n">
        <v>4</v>
      </c>
      <c r="D1370" s="13" t="s">
        <v>135</v>
      </c>
      <c r="E1370" s="13" t="s">
        <v>570</v>
      </c>
      <c r="F1370" s="13" t="s">
        <v>2681</v>
      </c>
      <c r="G1370" s="13" t="s">
        <v>639</v>
      </c>
      <c r="H1370" s="13" t="s">
        <v>152</v>
      </c>
      <c r="I1370" s="21" t="s">
        <v>4914</v>
      </c>
      <c r="J1370" s="21" t="s">
        <v>154</v>
      </c>
      <c r="K1370" s="21" t="s">
        <v>4915</v>
      </c>
      <c r="L1370" s="22" t="s">
        <v>39</v>
      </c>
      <c r="M1370" s="21" t="s">
        <v>565</v>
      </c>
      <c r="N1370" s="13" t="s">
        <v>106</v>
      </c>
      <c r="O1370" s="23" t="n">
        <v>10.14</v>
      </c>
      <c r="P1370" s="13" t="n">
        <v>1</v>
      </c>
      <c r="Q1370" s="24" t="n">
        <v>46311.1246527778</v>
      </c>
      <c r="R1370" s="22"/>
      <c r="S1370" s="13" t="s">
        <v>164</v>
      </c>
      <c r="T1370" s="13" t="str">
        <f aca="false">IF(S1370="Oui",IF(R1370=L1370,"Identique","Changé"),"")</f>
        <v/>
      </c>
    </row>
    <row r="1371" customFormat="false" ht="35.05" hidden="false" customHeight="false" outlineLevel="0" collapsed="false">
      <c r="A1371" s="13" t="s">
        <v>4916</v>
      </c>
      <c r="B1371" s="13" t="s">
        <v>4906</v>
      </c>
      <c r="C1371" s="13" t="n">
        <v>5</v>
      </c>
      <c r="D1371" s="13" t="s">
        <v>135</v>
      </c>
      <c r="E1371" s="13" t="s">
        <v>570</v>
      </c>
      <c r="F1371" s="13" t="s">
        <v>3625</v>
      </c>
      <c r="G1371" s="13" t="s">
        <v>1785</v>
      </c>
      <c r="H1371" s="13" t="s">
        <v>101</v>
      </c>
      <c r="I1371" s="21" t="s">
        <v>4917</v>
      </c>
      <c r="J1371" s="21" t="s">
        <v>4918</v>
      </c>
      <c r="K1371" s="21" t="s">
        <v>1105</v>
      </c>
      <c r="L1371" s="22" t="s">
        <v>37</v>
      </c>
      <c r="M1371" s="21" t="s">
        <v>163</v>
      </c>
      <c r="N1371" s="13" t="s">
        <v>106</v>
      </c>
      <c r="O1371" s="23" t="n">
        <v>9.57</v>
      </c>
      <c r="P1371" s="13" t="n">
        <v>1</v>
      </c>
      <c r="Q1371" s="24" t="n">
        <v>46311.1248726852</v>
      </c>
      <c r="R1371" s="22"/>
      <c r="S1371" s="13" t="s">
        <v>164</v>
      </c>
      <c r="T1371" s="13" t="str">
        <f aca="false">IF(S1371="Oui",IF(R1371=L1371,"Identique","Changé"),"")</f>
        <v/>
      </c>
    </row>
    <row r="1372" customFormat="false" ht="57.45" hidden="false" customHeight="false" outlineLevel="0" collapsed="false">
      <c r="A1372" s="13" t="s">
        <v>4919</v>
      </c>
      <c r="B1372" s="13" t="s">
        <v>4920</v>
      </c>
      <c r="C1372" s="13" t="n">
        <v>1</v>
      </c>
      <c r="D1372" s="13" t="s">
        <v>97</v>
      </c>
      <c r="E1372" s="13" t="s">
        <v>260</v>
      </c>
      <c r="F1372" s="13" t="s">
        <v>946</v>
      </c>
      <c r="G1372" s="13" t="s">
        <v>2047</v>
      </c>
      <c r="H1372" s="13" t="s">
        <v>101</v>
      </c>
      <c r="I1372" s="21" t="s">
        <v>4921</v>
      </c>
      <c r="J1372" s="21" t="s">
        <v>512</v>
      </c>
      <c r="K1372" s="21" t="s">
        <v>4922</v>
      </c>
      <c r="L1372" s="22" t="s">
        <v>37</v>
      </c>
      <c r="M1372" s="21" t="s">
        <v>163</v>
      </c>
      <c r="N1372" s="13" t="s">
        <v>106</v>
      </c>
      <c r="O1372" s="23" t="n">
        <v>22.43</v>
      </c>
      <c r="P1372" s="13" t="n">
        <v>1</v>
      </c>
      <c r="Q1372" s="24" t="n">
        <v>46311.1253009259</v>
      </c>
      <c r="R1372" s="22"/>
      <c r="S1372" s="13" t="s">
        <v>164</v>
      </c>
      <c r="T1372" s="13" t="str">
        <f aca="false">IF(S1372="Oui",IF(R1372=L1372,"Identique","Changé"),"")</f>
        <v/>
      </c>
    </row>
    <row r="1373" customFormat="false" ht="46.25" hidden="false" customHeight="false" outlineLevel="0" collapsed="false">
      <c r="A1373" s="13" t="s">
        <v>4923</v>
      </c>
      <c r="B1373" s="13" t="s">
        <v>4920</v>
      </c>
      <c r="C1373" s="13" t="n">
        <v>2</v>
      </c>
      <c r="D1373" s="13" t="s">
        <v>97</v>
      </c>
      <c r="E1373" s="13" t="s">
        <v>128</v>
      </c>
      <c r="F1373" s="13" t="s">
        <v>946</v>
      </c>
      <c r="G1373" s="13" t="s">
        <v>968</v>
      </c>
      <c r="H1373" s="13" t="s">
        <v>101</v>
      </c>
      <c r="I1373" s="21" t="s">
        <v>4924</v>
      </c>
      <c r="J1373" s="21" t="s">
        <v>355</v>
      </c>
      <c r="K1373" s="21" t="s">
        <v>4925</v>
      </c>
      <c r="L1373" s="22" t="s">
        <v>36</v>
      </c>
      <c r="M1373" s="21" t="s">
        <v>120</v>
      </c>
      <c r="N1373" s="13" t="s">
        <v>106</v>
      </c>
      <c r="O1373" s="23" t="n">
        <v>23.13</v>
      </c>
      <c r="P1373" s="13" t="n">
        <v>1</v>
      </c>
      <c r="Q1373" s="24" t="n">
        <v>46311.1256712963</v>
      </c>
      <c r="R1373" s="22"/>
      <c r="S1373" s="13" t="s">
        <v>164</v>
      </c>
      <c r="T1373" s="13" t="str">
        <f aca="false">IF(S1373="Oui",IF(R1373=L1373,"Identique","Changé"),"")</f>
        <v/>
      </c>
    </row>
    <row r="1374" customFormat="false" ht="35.05" hidden="false" customHeight="false" outlineLevel="0" collapsed="false">
      <c r="A1374" s="13" t="s">
        <v>4926</v>
      </c>
      <c r="B1374" s="13" t="s">
        <v>4920</v>
      </c>
      <c r="C1374" s="13" t="n">
        <v>3</v>
      </c>
      <c r="D1374" s="13" t="s">
        <v>97</v>
      </c>
      <c r="E1374" s="13" t="s">
        <v>114</v>
      </c>
      <c r="F1374" s="13" t="s">
        <v>99</v>
      </c>
      <c r="G1374" s="13" t="s">
        <v>2085</v>
      </c>
      <c r="H1374" s="13" t="s">
        <v>101</v>
      </c>
      <c r="I1374" s="21" t="s">
        <v>4927</v>
      </c>
      <c r="J1374" s="21" t="s">
        <v>512</v>
      </c>
      <c r="K1374" s="21" t="s">
        <v>4928</v>
      </c>
      <c r="L1374" s="22" t="s">
        <v>36</v>
      </c>
      <c r="M1374" s="21" t="s">
        <v>120</v>
      </c>
      <c r="N1374" s="13" t="s">
        <v>106</v>
      </c>
      <c r="O1374" s="23" t="n">
        <v>10.22</v>
      </c>
      <c r="P1374" s="13" t="n">
        <v>1</v>
      </c>
      <c r="Q1374" s="24" t="n">
        <v>46311.1258912037</v>
      </c>
      <c r="R1374" s="22"/>
      <c r="S1374" s="13" t="s">
        <v>164</v>
      </c>
      <c r="T1374" s="13" t="str">
        <f aca="false">IF(S1374="Oui",IF(R1374=L1374,"Identique","Changé"),"")</f>
        <v/>
      </c>
    </row>
    <row r="1375" customFormat="false" ht="57.45" hidden="false" customHeight="false" outlineLevel="0" collapsed="false">
      <c r="A1375" s="13" t="s">
        <v>4929</v>
      </c>
      <c r="B1375" s="13" t="s">
        <v>4920</v>
      </c>
      <c r="C1375" s="13" t="n">
        <v>4</v>
      </c>
      <c r="D1375" s="13" t="s">
        <v>97</v>
      </c>
      <c r="E1375" s="13" t="s">
        <v>122</v>
      </c>
      <c r="F1375" s="13" t="s">
        <v>99</v>
      </c>
      <c r="G1375" s="13" t="s">
        <v>1848</v>
      </c>
      <c r="H1375" s="13" t="s">
        <v>101</v>
      </c>
      <c r="I1375" s="21" t="s">
        <v>4930</v>
      </c>
      <c r="J1375" s="21" t="s">
        <v>2690</v>
      </c>
      <c r="K1375" s="21" t="s">
        <v>4931</v>
      </c>
      <c r="L1375" s="22" t="s">
        <v>36</v>
      </c>
      <c r="M1375" s="21" t="s">
        <v>235</v>
      </c>
      <c r="N1375" s="13" t="s">
        <v>106</v>
      </c>
      <c r="O1375" s="23" t="n">
        <v>11.79</v>
      </c>
      <c r="P1375" s="13" t="n">
        <v>1</v>
      </c>
      <c r="Q1375" s="24" t="n">
        <v>46311.1261342593</v>
      </c>
      <c r="R1375" s="22"/>
      <c r="S1375" s="13" t="s">
        <v>164</v>
      </c>
      <c r="T1375" s="13" t="str">
        <f aca="false">IF(S1375="Oui",IF(R1375=L1375,"Identique","Changé"),"")</f>
        <v/>
      </c>
    </row>
    <row r="1376" customFormat="false" ht="35.05" hidden="false" customHeight="false" outlineLevel="0" collapsed="false">
      <c r="A1376" s="13" t="s">
        <v>4932</v>
      </c>
      <c r="B1376" s="13" t="s">
        <v>4920</v>
      </c>
      <c r="C1376" s="13" t="n">
        <v>5</v>
      </c>
      <c r="D1376" s="13" t="s">
        <v>97</v>
      </c>
      <c r="E1376" s="13" t="s">
        <v>158</v>
      </c>
      <c r="F1376" s="13" t="s">
        <v>946</v>
      </c>
      <c r="G1376" s="13" t="s">
        <v>1951</v>
      </c>
      <c r="H1376" s="13" t="s">
        <v>101</v>
      </c>
      <c r="I1376" s="21" t="s">
        <v>4933</v>
      </c>
      <c r="J1376" s="21" t="s">
        <v>284</v>
      </c>
      <c r="K1376" s="21" t="s">
        <v>4934</v>
      </c>
      <c r="L1376" s="22" t="s">
        <v>36</v>
      </c>
      <c r="M1376" s="21" t="s">
        <v>120</v>
      </c>
      <c r="N1376" s="13" t="s">
        <v>106</v>
      </c>
      <c r="O1376" s="23" t="n">
        <v>10.56</v>
      </c>
      <c r="P1376" s="13" t="n">
        <v>1</v>
      </c>
      <c r="Q1376" s="24" t="n">
        <v>46311.1263657407</v>
      </c>
      <c r="R1376" s="22"/>
      <c r="S1376" s="13" t="s">
        <v>164</v>
      </c>
      <c r="T1376" s="13" t="str">
        <f aca="false">IF(S1376="Oui",IF(R1376=L1376,"Identique","Changé"),"")</f>
        <v/>
      </c>
    </row>
    <row r="1377" customFormat="false" ht="68.65" hidden="false" customHeight="false" outlineLevel="0" collapsed="false">
      <c r="A1377" s="13" t="s">
        <v>4935</v>
      </c>
      <c r="B1377" s="13" t="s">
        <v>4936</v>
      </c>
      <c r="C1377" s="13" t="n">
        <v>1</v>
      </c>
      <c r="D1377" s="13" t="s">
        <v>135</v>
      </c>
      <c r="E1377" s="13" t="s">
        <v>570</v>
      </c>
      <c r="F1377" s="13" t="s">
        <v>3661</v>
      </c>
      <c r="G1377" s="13" t="s">
        <v>1758</v>
      </c>
      <c r="H1377" s="13" t="s">
        <v>101</v>
      </c>
      <c r="I1377" s="21" t="s">
        <v>4937</v>
      </c>
      <c r="J1377" s="21" t="s">
        <v>4938</v>
      </c>
      <c r="K1377" s="21" t="s">
        <v>4939</v>
      </c>
      <c r="L1377" s="22" t="s">
        <v>36</v>
      </c>
      <c r="M1377" s="21" t="s">
        <v>235</v>
      </c>
      <c r="N1377" s="13" t="s">
        <v>106</v>
      </c>
      <c r="O1377" s="23" t="n">
        <v>24.15</v>
      </c>
      <c r="P1377" s="13" t="n">
        <v>1</v>
      </c>
      <c r="Q1377" s="24" t="n">
        <v>46311.1268171296</v>
      </c>
      <c r="R1377" s="22"/>
      <c r="S1377" s="13" t="s">
        <v>164</v>
      </c>
      <c r="T1377" s="13" t="str">
        <f aca="false">IF(S1377="Oui",IF(R1377=L1377,"Identique","Changé"),"")</f>
        <v/>
      </c>
    </row>
    <row r="1378" customFormat="false" ht="46.25" hidden="false" customHeight="false" outlineLevel="0" collapsed="false">
      <c r="A1378" s="13" t="s">
        <v>4940</v>
      </c>
      <c r="B1378" s="13" t="s">
        <v>4936</v>
      </c>
      <c r="C1378" s="13" t="n">
        <v>2</v>
      </c>
      <c r="D1378" s="13" t="s">
        <v>135</v>
      </c>
      <c r="E1378" s="13" t="s">
        <v>570</v>
      </c>
      <c r="F1378" s="13" t="s">
        <v>3661</v>
      </c>
      <c r="G1378" s="13" t="s">
        <v>1800</v>
      </c>
      <c r="H1378" s="13" t="s">
        <v>101</v>
      </c>
      <c r="I1378" s="21" t="s">
        <v>4941</v>
      </c>
      <c r="J1378" s="21" t="s">
        <v>4942</v>
      </c>
      <c r="K1378" s="21" t="s">
        <v>4943</v>
      </c>
      <c r="L1378" s="22" t="s">
        <v>36</v>
      </c>
      <c r="M1378" s="21" t="s">
        <v>235</v>
      </c>
      <c r="N1378" s="13" t="s">
        <v>106</v>
      </c>
      <c r="O1378" s="23" t="n">
        <v>11.08</v>
      </c>
      <c r="P1378" s="13" t="n">
        <v>1</v>
      </c>
      <c r="Q1378" s="24" t="n">
        <v>46311.1270486111</v>
      </c>
      <c r="R1378" s="22"/>
      <c r="S1378" s="13" t="s">
        <v>164</v>
      </c>
      <c r="T1378" s="13" t="str">
        <f aca="false">IF(S1378="Oui",IF(R1378=L1378,"Identique","Changé"),"")</f>
        <v/>
      </c>
    </row>
    <row r="1379" customFormat="false" ht="46.25" hidden="false" customHeight="false" outlineLevel="0" collapsed="false">
      <c r="A1379" s="13" t="s">
        <v>4944</v>
      </c>
      <c r="B1379" s="13" t="s">
        <v>4936</v>
      </c>
      <c r="C1379" s="13" t="n">
        <v>3</v>
      </c>
      <c r="D1379" s="13" t="s">
        <v>135</v>
      </c>
      <c r="E1379" s="13" t="s">
        <v>122</v>
      </c>
      <c r="F1379" s="13" t="s">
        <v>3661</v>
      </c>
      <c r="G1379" s="13" t="s">
        <v>1744</v>
      </c>
      <c r="H1379" s="13" t="s">
        <v>101</v>
      </c>
      <c r="I1379" s="21" t="s">
        <v>4945</v>
      </c>
      <c r="J1379" s="21" t="s">
        <v>1746</v>
      </c>
      <c r="K1379" s="21" t="s">
        <v>4946</v>
      </c>
      <c r="L1379" s="22" t="s">
        <v>36</v>
      </c>
      <c r="M1379" s="21" t="s">
        <v>235</v>
      </c>
      <c r="N1379" s="13" t="s">
        <v>106</v>
      </c>
      <c r="O1379" s="23" t="n">
        <v>10.35</v>
      </c>
      <c r="P1379" s="13" t="n">
        <v>1</v>
      </c>
      <c r="Q1379" s="24" t="n">
        <v>46311.1272685185</v>
      </c>
      <c r="R1379" s="22"/>
      <c r="S1379" s="13" t="s">
        <v>164</v>
      </c>
      <c r="T1379" s="13" t="str">
        <f aca="false">IF(S1379="Oui",IF(R1379=L1379,"Identique","Changé"),"")</f>
        <v/>
      </c>
    </row>
    <row r="1380" customFormat="false" ht="46.25" hidden="false" customHeight="false" outlineLevel="0" collapsed="false">
      <c r="A1380" s="13" t="s">
        <v>4947</v>
      </c>
      <c r="B1380" s="13" t="s">
        <v>4936</v>
      </c>
      <c r="C1380" s="13" t="n">
        <v>4</v>
      </c>
      <c r="D1380" s="13" t="s">
        <v>135</v>
      </c>
      <c r="E1380" s="13" t="s">
        <v>158</v>
      </c>
      <c r="F1380" s="13" t="s">
        <v>3661</v>
      </c>
      <c r="G1380" s="13" t="s">
        <v>159</v>
      </c>
      <c r="H1380" s="13" t="s">
        <v>101</v>
      </c>
      <c r="I1380" s="21" t="s">
        <v>4948</v>
      </c>
      <c r="J1380" s="21" t="s">
        <v>233</v>
      </c>
      <c r="K1380" s="21" t="s">
        <v>4949</v>
      </c>
      <c r="L1380" s="22" t="s">
        <v>37</v>
      </c>
      <c r="M1380" s="21" t="s">
        <v>163</v>
      </c>
      <c r="N1380" s="13" t="s">
        <v>106</v>
      </c>
      <c r="O1380" s="23" t="n">
        <v>9.5</v>
      </c>
      <c r="P1380" s="13" t="n">
        <v>1</v>
      </c>
      <c r="Q1380" s="24" t="n">
        <v>46311.1274768519</v>
      </c>
      <c r="R1380" s="22"/>
      <c r="S1380" s="13" t="s">
        <v>164</v>
      </c>
      <c r="T1380" s="13" t="str">
        <f aca="false">IF(S1380="Oui",IF(R1380=L1380,"Identique","Changé"),"")</f>
        <v/>
      </c>
    </row>
    <row r="1381" customFormat="false" ht="46.25" hidden="false" customHeight="false" outlineLevel="0" collapsed="false">
      <c r="A1381" s="13" t="s">
        <v>4950</v>
      </c>
      <c r="B1381" s="13" t="s">
        <v>4936</v>
      </c>
      <c r="C1381" s="13" t="n">
        <v>5</v>
      </c>
      <c r="D1381" s="13" t="s">
        <v>135</v>
      </c>
      <c r="E1381" s="13" t="s">
        <v>260</v>
      </c>
      <c r="F1381" s="13" t="s">
        <v>3661</v>
      </c>
      <c r="G1381" s="13" t="s">
        <v>2019</v>
      </c>
      <c r="H1381" s="13" t="s">
        <v>101</v>
      </c>
      <c r="I1381" s="21" t="s">
        <v>4951</v>
      </c>
      <c r="J1381" s="21" t="s">
        <v>512</v>
      </c>
      <c r="K1381" s="21" t="s">
        <v>4952</v>
      </c>
      <c r="L1381" s="22" t="s">
        <v>36</v>
      </c>
      <c r="M1381" s="21" t="s">
        <v>120</v>
      </c>
      <c r="N1381" s="13" t="s">
        <v>106</v>
      </c>
      <c r="O1381" s="23" t="n">
        <v>11.29</v>
      </c>
      <c r="P1381" s="13" t="n">
        <v>1</v>
      </c>
      <c r="Q1381" s="24" t="n">
        <v>46311.1277083333</v>
      </c>
      <c r="R1381" s="22"/>
      <c r="S1381" s="13" t="s">
        <v>164</v>
      </c>
      <c r="T1381" s="13" t="str">
        <f aca="false">IF(S1381="Oui",IF(R1381=L1381,"Identique","Changé"),"")</f>
        <v/>
      </c>
    </row>
    <row r="1382" customFormat="false" ht="35.05" hidden="false" customHeight="false" outlineLevel="0" collapsed="false">
      <c r="A1382" s="13" t="s">
        <v>4953</v>
      </c>
      <c r="B1382" s="13" t="s">
        <v>4954</v>
      </c>
      <c r="C1382" s="13" t="n">
        <v>1</v>
      </c>
      <c r="D1382" s="13" t="s">
        <v>97</v>
      </c>
      <c r="E1382" s="13" t="s">
        <v>171</v>
      </c>
      <c r="F1382" s="13" t="s">
        <v>559</v>
      </c>
      <c r="G1382" s="13" t="s">
        <v>2258</v>
      </c>
      <c r="H1382" s="13" t="s">
        <v>101</v>
      </c>
      <c r="I1382" s="21" t="s">
        <v>4955</v>
      </c>
      <c r="J1382" s="21" t="s">
        <v>2260</v>
      </c>
      <c r="K1382" s="21" t="s">
        <v>4956</v>
      </c>
      <c r="L1382" s="22" t="s">
        <v>36</v>
      </c>
      <c r="M1382" s="21" t="s">
        <v>120</v>
      </c>
      <c r="N1382" s="13" t="s">
        <v>106</v>
      </c>
      <c r="O1382" s="23" t="n">
        <v>38.3</v>
      </c>
      <c r="P1382" s="13" t="n">
        <v>2</v>
      </c>
      <c r="Q1382" s="24" t="n">
        <v>46311.1329282407</v>
      </c>
      <c r="R1382" s="22"/>
      <c r="S1382" s="13" t="s">
        <v>164</v>
      </c>
      <c r="T1382" s="13" t="str">
        <f aca="false">IF(S1382="Oui",IF(R1382=L1382,"Identique","Changé"),"")</f>
        <v/>
      </c>
    </row>
    <row r="1383" customFormat="false" ht="46.25" hidden="false" customHeight="false" outlineLevel="0" collapsed="false">
      <c r="A1383" s="13" t="s">
        <v>4957</v>
      </c>
      <c r="B1383" s="13" t="s">
        <v>4954</v>
      </c>
      <c r="C1383" s="13" t="n">
        <v>2</v>
      </c>
      <c r="D1383" s="13" t="s">
        <v>97</v>
      </c>
      <c r="E1383" s="13" t="s">
        <v>570</v>
      </c>
      <c r="F1383" s="13" t="s">
        <v>559</v>
      </c>
      <c r="G1383" s="13" t="s">
        <v>1794</v>
      </c>
      <c r="H1383" s="13" t="s">
        <v>101</v>
      </c>
      <c r="I1383" s="21" t="s">
        <v>4958</v>
      </c>
      <c r="J1383" s="21" t="s">
        <v>1741</v>
      </c>
      <c r="K1383" s="21" t="s">
        <v>4959</v>
      </c>
      <c r="L1383" s="22" t="s">
        <v>38</v>
      </c>
      <c r="M1383" s="21" t="s">
        <v>1822</v>
      </c>
      <c r="N1383" s="13" t="s">
        <v>106</v>
      </c>
      <c r="O1383" s="23" t="n">
        <v>11.28</v>
      </c>
      <c r="P1383" s="13" t="n">
        <v>2</v>
      </c>
      <c r="Q1383" s="24" t="n">
        <v>46311.1331597222</v>
      </c>
      <c r="R1383" s="22"/>
      <c r="S1383" s="13" t="s">
        <v>164</v>
      </c>
      <c r="T1383" s="13" t="str">
        <f aca="false">IF(S1383="Oui",IF(R1383=L1383,"Identique","Changé"),"")</f>
        <v/>
      </c>
    </row>
    <row r="1384" customFormat="false" ht="35.05" hidden="false" customHeight="false" outlineLevel="0" collapsed="false">
      <c r="A1384" s="13" t="s">
        <v>4960</v>
      </c>
      <c r="B1384" s="13" t="s">
        <v>4954</v>
      </c>
      <c r="C1384" s="13" t="n">
        <v>3</v>
      </c>
      <c r="D1384" s="13" t="s">
        <v>97</v>
      </c>
      <c r="E1384" s="13" t="s">
        <v>570</v>
      </c>
      <c r="F1384" s="13" t="s">
        <v>332</v>
      </c>
      <c r="G1384" s="13" t="s">
        <v>1883</v>
      </c>
      <c r="H1384" s="13" t="s">
        <v>152</v>
      </c>
      <c r="I1384" s="21" t="s">
        <v>4961</v>
      </c>
      <c r="J1384" s="21" t="s">
        <v>154</v>
      </c>
      <c r="K1384" s="21" t="s">
        <v>4962</v>
      </c>
      <c r="L1384" s="22" t="s">
        <v>40</v>
      </c>
      <c r="M1384" s="21" t="s">
        <v>156</v>
      </c>
      <c r="N1384" s="13" t="s">
        <v>106</v>
      </c>
      <c r="O1384" s="23" t="n">
        <v>16.78</v>
      </c>
      <c r="P1384" s="13" t="n">
        <v>2</v>
      </c>
      <c r="Q1384" s="24" t="n">
        <v>46311.1334606482</v>
      </c>
      <c r="R1384" s="22"/>
      <c r="S1384" s="13" t="s">
        <v>164</v>
      </c>
      <c r="T1384" s="13" t="str">
        <f aca="false">IF(S1384="Oui",IF(R1384=L1384,"Identique","Changé"),"")</f>
        <v/>
      </c>
    </row>
    <row r="1385" customFormat="false" ht="35.05" hidden="false" customHeight="false" outlineLevel="0" collapsed="false">
      <c r="A1385" s="13" t="s">
        <v>4963</v>
      </c>
      <c r="B1385" s="13" t="s">
        <v>4954</v>
      </c>
      <c r="C1385" s="13" t="n">
        <v>4</v>
      </c>
      <c r="D1385" s="13" t="s">
        <v>97</v>
      </c>
      <c r="E1385" s="13" t="s">
        <v>114</v>
      </c>
      <c r="F1385" s="13" t="s">
        <v>332</v>
      </c>
      <c r="G1385" s="13" t="s">
        <v>857</v>
      </c>
      <c r="H1385" s="13" t="s">
        <v>101</v>
      </c>
      <c r="I1385" s="21" t="s">
        <v>4964</v>
      </c>
      <c r="J1385" s="21" t="s">
        <v>284</v>
      </c>
      <c r="K1385" s="21" t="s">
        <v>4965</v>
      </c>
      <c r="L1385" s="22" t="s">
        <v>36</v>
      </c>
      <c r="M1385" s="21" t="s">
        <v>120</v>
      </c>
      <c r="N1385" s="13" t="s">
        <v>106</v>
      </c>
      <c r="O1385" s="23" t="n">
        <v>10.79</v>
      </c>
      <c r="P1385" s="13" t="n">
        <v>2</v>
      </c>
      <c r="Q1385" s="24" t="n">
        <v>46311.1336921296</v>
      </c>
      <c r="R1385" s="22"/>
      <c r="S1385" s="13" t="s">
        <v>164</v>
      </c>
      <c r="T1385" s="13" t="str">
        <f aca="false">IF(S1385="Oui",IF(R1385=L1385,"Identique","Changé"),"")</f>
        <v/>
      </c>
    </row>
    <row r="1386" customFormat="false" ht="35.05" hidden="false" customHeight="false" outlineLevel="0" collapsed="false">
      <c r="A1386" s="13" t="s">
        <v>4966</v>
      </c>
      <c r="B1386" s="13" t="s">
        <v>4954</v>
      </c>
      <c r="C1386" s="13" t="n">
        <v>5</v>
      </c>
      <c r="D1386" s="13" t="s">
        <v>97</v>
      </c>
      <c r="E1386" s="13" t="s">
        <v>158</v>
      </c>
      <c r="F1386" s="13" t="s">
        <v>559</v>
      </c>
      <c r="G1386" s="13" t="s">
        <v>1918</v>
      </c>
      <c r="H1386" s="13" t="s">
        <v>101</v>
      </c>
      <c r="I1386" s="21" t="s">
        <v>4967</v>
      </c>
      <c r="J1386" s="21" t="s">
        <v>284</v>
      </c>
      <c r="K1386" s="21" t="s">
        <v>4968</v>
      </c>
      <c r="L1386" s="22" t="s">
        <v>36</v>
      </c>
      <c r="M1386" s="21" t="s">
        <v>120</v>
      </c>
      <c r="N1386" s="13" t="s">
        <v>106</v>
      </c>
      <c r="O1386" s="23" t="n">
        <v>9.51</v>
      </c>
      <c r="P1386" s="13" t="n">
        <v>2</v>
      </c>
      <c r="Q1386" s="24" t="n">
        <v>46311.133912037</v>
      </c>
      <c r="R1386" s="22"/>
      <c r="S1386" s="13" t="s">
        <v>164</v>
      </c>
      <c r="T1386" s="13" t="str">
        <f aca="false">IF(S1386="Oui",IF(R1386=L1386,"Identique","Changé"),"")</f>
        <v/>
      </c>
    </row>
    <row r="1387" customFormat="false" ht="46.25" hidden="false" customHeight="false" outlineLevel="0" collapsed="false">
      <c r="A1387" s="13" t="s">
        <v>4969</v>
      </c>
      <c r="B1387" s="13" t="s">
        <v>4970</v>
      </c>
      <c r="C1387" s="13" t="n">
        <v>1</v>
      </c>
      <c r="D1387" s="13" t="s">
        <v>135</v>
      </c>
      <c r="E1387" s="13" t="s">
        <v>122</v>
      </c>
      <c r="F1387" s="13" t="s">
        <v>3693</v>
      </c>
      <c r="G1387" s="13" t="s">
        <v>1819</v>
      </c>
      <c r="H1387" s="13" t="s">
        <v>101</v>
      </c>
      <c r="I1387" s="21" t="s">
        <v>4971</v>
      </c>
      <c r="J1387" s="21" t="s">
        <v>1741</v>
      </c>
      <c r="K1387" s="21" t="s">
        <v>4972</v>
      </c>
      <c r="L1387" s="22" t="s">
        <v>36</v>
      </c>
      <c r="M1387" s="21" t="s">
        <v>235</v>
      </c>
      <c r="N1387" s="13" t="s">
        <v>106</v>
      </c>
      <c r="O1387" s="23" t="n">
        <v>35.75</v>
      </c>
      <c r="P1387" s="13" t="n">
        <v>1</v>
      </c>
      <c r="Q1387" s="24" t="n">
        <v>46311.1344907407</v>
      </c>
      <c r="R1387" s="22"/>
      <c r="S1387" s="13" t="s">
        <v>164</v>
      </c>
      <c r="T1387" s="13" t="str">
        <f aca="false">IF(S1387="Oui",IF(R1387=L1387,"Identique","Changé"),"")</f>
        <v/>
      </c>
    </row>
    <row r="1388" customFormat="false" ht="23.85" hidden="false" customHeight="false" outlineLevel="0" collapsed="false">
      <c r="A1388" s="13" t="s">
        <v>4973</v>
      </c>
      <c r="B1388" s="13" t="s">
        <v>4970</v>
      </c>
      <c r="C1388" s="13" t="n">
        <v>2</v>
      </c>
      <c r="D1388" s="13" t="s">
        <v>135</v>
      </c>
      <c r="E1388" s="13" t="s">
        <v>122</v>
      </c>
      <c r="F1388" s="13" t="s">
        <v>3693</v>
      </c>
      <c r="G1388" s="13" t="s">
        <v>1891</v>
      </c>
      <c r="H1388" s="13" t="s">
        <v>101</v>
      </c>
      <c r="I1388" s="21" t="s">
        <v>4974</v>
      </c>
      <c r="J1388" s="21" t="s">
        <v>1741</v>
      </c>
      <c r="K1388" s="21" t="s">
        <v>4975</v>
      </c>
      <c r="L1388" s="22" t="s">
        <v>36</v>
      </c>
      <c r="M1388" s="21" t="s">
        <v>235</v>
      </c>
      <c r="N1388" s="13" t="s">
        <v>106</v>
      </c>
      <c r="O1388" s="23" t="n">
        <v>9.99</v>
      </c>
      <c r="P1388" s="13" t="n">
        <v>1</v>
      </c>
      <c r="Q1388" s="24" t="n">
        <v>46311.1346990741</v>
      </c>
      <c r="R1388" s="22"/>
      <c r="S1388" s="13" t="s">
        <v>164</v>
      </c>
      <c r="T1388" s="13" t="str">
        <f aca="false">IF(S1388="Oui",IF(R1388=L1388,"Identique","Changé"),"")</f>
        <v/>
      </c>
    </row>
    <row r="1389" customFormat="false" ht="46.25" hidden="false" customHeight="false" outlineLevel="0" collapsed="false">
      <c r="A1389" s="13" t="s">
        <v>4976</v>
      </c>
      <c r="B1389" s="13" t="s">
        <v>4970</v>
      </c>
      <c r="C1389" s="13" t="n">
        <v>3</v>
      </c>
      <c r="D1389" s="13" t="s">
        <v>135</v>
      </c>
      <c r="E1389" s="13" t="s">
        <v>114</v>
      </c>
      <c r="F1389" s="13" t="s">
        <v>3693</v>
      </c>
      <c r="G1389" s="13" t="s">
        <v>2123</v>
      </c>
      <c r="H1389" s="13" t="s">
        <v>101</v>
      </c>
      <c r="I1389" s="21" t="s">
        <v>4977</v>
      </c>
      <c r="J1389" s="21" t="s">
        <v>2125</v>
      </c>
      <c r="K1389" s="21" t="s">
        <v>4978</v>
      </c>
      <c r="L1389" s="22" t="s">
        <v>36</v>
      </c>
      <c r="M1389" s="21" t="s">
        <v>120</v>
      </c>
      <c r="N1389" s="13" t="s">
        <v>106</v>
      </c>
      <c r="O1389" s="23" t="n">
        <v>10.71</v>
      </c>
      <c r="P1389" s="13" t="n">
        <v>1</v>
      </c>
      <c r="Q1389" s="24" t="n">
        <v>46311.1349305556</v>
      </c>
      <c r="R1389" s="22"/>
      <c r="S1389" s="13" t="s">
        <v>164</v>
      </c>
      <c r="T1389" s="13" t="str">
        <f aca="false">IF(S1389="Oui",IF(R1389=L1389,"Identique","Changé"),"")</f>
        <v/>
      </c>
    </row>
    <row r="1390" customFormat="false" ht="35.05" hidden="false" customHeight="false" outlineLevel="0" collapsed="false">
      <c r="A1390" s="13" t="s">
        <v>4979</v>
      </c>
      <c r="B1390" s="13" t="s">
        <v>4970</v>
      </c>
      <c r="C1390" s="13" t="n">
        <v>4</v>
      </c>
      <c r="D1390" s="13" t="s">
        <v>135</v>
      </c>
      <c r="E1390" s="13" t="s">
        <v>570</v>
      </c>
      <c r="F1390" s="13" t="s">
        <v>3693</v>
      </c>
      <c r="G1390" s="13" t="s">
        <v>1739</v>
      </c>
      <c r="H1390" s="13" t="s">
        <v>101</v>
      </c>
      <c r="I1390" s="21" t="s">
        <v>4980</v>
      </c>
      <c r="J1390" s="21" t="s">
        <v>1649</v>
      </c>
      <c r="K1390" s="21" t="s">
        <v>4981</v>
      </c>
      <c r="L1390" s="22" t="s">
        <v>36</v>
      </c>
      <c r="M1390" s="21" t="s">
        <v>235</v>
      </c>
      <c r="N1390" s="13" t="s">
        <v>106</v>
      </c>
      <c r="O1390" s="23" t="n">
        <v>10.2</v>
      </c>
      <c r="P1390" s="13" t="n">
        <v>1</v>
      </c>
      <c r="Q1390" s="24" t="n">
        <v>46311.135150463</v>
      </c>
      <c r="R1390" s="22"/>
      <c r="S1390" s="13" t="s">
        <v>164</v>
      </c>
      <c r="T1390" s="13" t="str">
        <f aca="false">IF(S1390="Oui",IF(R1390=L1390,"Identique","Changé"),"")</f>
        <v/>
      </c>
    </row>
    <row r="1391" customFormat="false" ht="57.45" hidden="false" customHeight="false" outlineLevel="0" collapsed="false">
      <c r="A1391" s="13" t="s">
        <v>4982</v>
      </c>
      <c r="B1391" s="13" t="s">
        <v>4970</v>
      </c>
      <c r="C1391" s="13" t="n">
        <v>5</v>
      </c>
      <c r="D1391" s="13" t="s">
        <v>135</v>
      </c>
      <c r="E1391" s="13" t="s">
        <v>122</v>
      </c>
      <c r="F1391" s="13" t="s">
        <v>3693</v>
      </c>
      <c r="G1391" s="13" t="s">
        <v>1395</v>
      </c>
      <c r="H1391" s="13" t="s">
        <v>101</v>
      </c>
      <c r="I1391" s="21" t="s">
        <v>4983</v>
      </c>
      <c r="J1391" s="21" t="s">
        <v>512</v>
      </c>
      <c r="K1391" s="21" t="s">
        <v>4984</v>
      </c>
      <c r="L1391" s="22" t="s">
        <v>36</v>
      </c>
      <c r="M1391" s="21" t="s">
        <v>120</v>
      </c>
      <c r="N1391" s="13" t="s">
        <v>106</v>
      </c>
      <c r="O1391" s="23" t="n">
        <v>12.01</v>
      </c>
      <c r="P1391" s="13" t="n">
        <v>1</v>
      </c>
      <c r="Q1391" s="24" t="n">
        <v>46311.1353935185</v>
      </c>
      <c r="R1391" s="22"/>
      <c r="S1391" s="13" t="s">
        <v>164</v>
      </c>
      <c r="T1391" s="13" t="str">
        <f aca="false">IF(S1391="Oui",IF(R1391=L1391,"Identique","Changé"),"")</f>
        <v/>
      </c>
    </row>
    <row r="1392" customFormat="false" ht="46.25" hidden="false" customHeight="false" outlineLevel="0" collapsed="false">
      <c r="A1392" s="13" t="s">
        <v>4985</v>
      </c>
      <c r="B1392" s="13" t="s">
        <v>4986</v>
      </c>
      <c r="C1392" s="13" t="n">
        <v>1</v>
      </c>
      <c r="D1392" s="13" t="s">
        <v>97</v>
      </c>
      <c r="E1392" s="13" t="s">
        <v>158</v>
      </c>
      <c r="F1392" s="13" t="s">
        <v>999</v>
      </c>
      <c r="G1392" s="13" t="s">
        <v>1913</v>
      </c>
      <c r="H1392" s="13" t="s">
        <v>101</v>
      </c>
      <c r="I1392" s="21" t="s">
        <v>4987</v>
      </c>
      <c r="J1392" s="21" t="s">
        <v>512</v>
      </c>
      <c r="K1392" s="21" t="s">
        <v>4988</v>
      </c>
      <c r="L1392" s="22" t="s">
        <v>36</v>
      </c>
      <c r="M1392" s="21" t="s">
        <v>120</v>
      </c>
      <c r="N1392" s="13" t="s">
        <v>106</v>
      </c>
      <c r="O1392" s="23" t="n">
        <v>188.64</v>
      </c>
      <c r="P1392" s="13" t="n">
        <v>1</v>
      </c>
      <c r="Q1392" s="24" t="n">
        <v>46311.1377314815</v>
      </c>
      <c r="R1392" s="22"/>
      <c r="S1392" s="13" t="s">
        <v>164</v>
      </c>
      <c r="T1392" s="13" t="str">
        <f aca="false">IF(S1392="Oui",IF(R1392=L1392,"Identique","Changé"),"")</f>
        <v/>
      </c>
    </row>
    <row r="1393" customFormat="false" ht="57.45" hidden="false" customHeight="false" outlineLevel="0" collapsed="false">
      <c r="A1393" s="13" t="s">
        <v>4989</v>
      </c>
      <c r="B1393" s="13" t="s">
        <v>4986</v>
      </c>
      <c r="C1393" s="13" t="n">
        <v>2</v>
      </c>
      <c r="D1393" s="13" t="s">
        <v>97</v>
      </c>
      <c r="E1393" s="13" t="s">
        <v>260</v>
      </c>
      <c r="F1393" s="13" t="s">
        <v>999</v>
      </c>
      <c r="G1393" s="13" t="s">
        <v>1897</v>
      </c>
      <c r="H1393" s="13" t="s">
        <v>101</v>
      </c>
      <c r="I1393" s="21" t="s">
        <v>4990</v>
      </c>
      <c r="J1393" s="21" t="s">
        <v>1988</v>
      </c>
      <c r="K1393" s="21" t="s">
        <v>4991</v>
      </c>
      <c r="L1393" s="22" t="s">
        <v>36</v>
      </c>
      <c r="M1393" s="21" t="s">
        <v>120</v>
      </c>
      <c r="N1393" s="13" t="s">
        <v>106</v>
      </c>
      <c r="O1393" s="23" t="n">
        <v>10.01</v>
      </c>
      <c r="P1393" s="13" t="n">
        <v>1</v>
      </c>
      <c r="Q1393" s="24" t="n">
        <v>46311.1379513889</v>
      </c>
      <c r="R1393" s="22"/>
      <c r="S1393" s="13" t="s">
        <v>164</v>
      </c>
      <c r="T1393" s="13" t="str">
        <f aca="false">IF(S1393="Oui",IF(R1393=L1393,"Identique","Changé"),"")</f>
        <v/>
      </c>
    </row>
    <row r="1394" customFormat="false" ht="79.85" hidden="false" customHeight="false" outlineLevel="0" collapsed="false">
      <c r="A1394" s="13" t="s">
        <v>4992</v>
      </c>
      <c r="B1394" s="13" t="s">
        <v>4986</v>
      </c>
      <c r="C1394" s="13" t="n">
        <v>3</v>
      </c>
      <c r="D1394" s="13" t="s">
        <v>97</v>
      </c>
      <c r="E1394" s="13" t="s">
        <v>1730</v>
      </c>
      <c r="F1394" s="13" t="s">
        <v>1473</v>
      </c>
      <c r="G1394" s="13" t="s">
        <v>2098</v>
      </c>
      <c r="H1394" s="13" t="s">
        <v>101</v>
      </c>
      <c r="I1394" s="21" t="s">
        <v>4993</v>
      </c>
      <c r="J1394" s="21" t="s">
        <v>4994</v>
      </c>
      <c r="K1394" s="21" t="s">
        <v>4995</v>
      </c>
      <c r="L1394" s="22" t="s">
        <v>36</v>
      </c>
      <c r="M1394" s="21" t="s">
        <v>120</v>
      </c>
      <c r="N1394" s="13" t="s">
        <v>106</v>
      </c>
      <c r="O1394" s="23" t="n">
        <v>10.47</v>
      </c>
      <c r="P1394" s="13" t="n">
        <v>1</v>
      </c>
      <c r="Q1394" s="24" t="n">
        <v>46311.1381828704</v>
      </c>
      <c r="R1394" s="22"/>
      <c r="S1394" s="13" t="s">
        <v>164</v>
      </c>
      <c r="T1394" s="13" t="str">
        <f aca="false">IF(S1394="Oui",IF(R1394=L1394,"Identique","Changé"),"")</f>
        <v/>
      </c>
    </row>
    <row r="1395" customFormat="false" ht="57.45" hidden="false" customHeight="false" outlineLevel="0" collapsed="false">
      <c r="A1395" s="13" t="s">
        <v>4996</v>
      </c>
      <c r="B1395" s="13" t="s">
        <v>4986</v>
      </c>
      <c r="C1395" s="13" t="n">
        <v>4</v>
      </c>
      <c r="D1395" s="13" t="s">
        <v>97</v>
      </c>
      <c r="E1395" s="13" t="s">
        <v>570</v>
      </c>
      <c r="F1395" s="13" t="s">
        <v>1473</v>
      </c>
      <c r="G1395" s="13" t="s">
        <v>571</v>
      </c>
      <c r="H1395" s="13" t="s">
        <v>152</v>
      </c>
      <c r="I1395" s="21" t="s">
        <v>4997</v>
      </c>
      <c r="J1395" s="21" t="s">
        <v>154</v>
      </c>
      <c r="K1395" s="21" t="s">
        <v>4998</v>
      </c>
      <c r="L1395" s="22" t="s">
        <v>40</v>
      </c>
      <c r="M1395" s="21" t="s">
        <v>156</v>
      </c>
      <c r="N1395" s="13" t="s">
        <v>106</v>
      </c>
      <c r="O1395" s="23" t="n">
        <v>9.48</v>
      </c>
      <c r="P1395" s="13" t="n">
        <v>1</v>
      </c>
      <c r="Q1395" s="24" t="n">
        <v>46311.1384027778</v>
      </c>
      <c r="R1395" s="22"/>
      <c r="S1395" s="13" t="s">
        <v>164</v>
      </c>
      <c r="T1395" s="13" t="str">
        <f aca="false">IF(S1395="Oui",IF(R1395=L1395,"Identique","Changé"),"")</f>
        <v/>
      </c>
    </row>
    <row r="1396" customFormat="false" ht="35.05" hidden="false" customHeight="false" outlineLevel="0" collapsed="false">
      <c r="A1396" s="13" t="s">
        <v>4999</v>
      </c>
      <c r="B1396" s="13" t="s">
        <v>4986</v>
      </c>
      <c r="C1396" s="13" t="n">
        <v>5</v>
      </c>
      <c r="D1396" s="13" t="s">
        <v>97</v>
      </c>
      <c r="E1396" s="13" t="s">
        <v>158</v>
      </c>
      <c r="F1396" s="13" t="s">
        <v>999</v>
      </c>
      <c r="G1396" s="13" t="s">
        <v>343</v>
      </c>
      <c r="H1396" s="13" t="s">
        <v>101</v>
      </c>
      <c r="I1396" s="21" t="s">
        <v>5000</v>
      </c>
      <c r="J1396" s="21" t="s">
        <v>233</v>
      </c>
      <c r="K1396" s="21" t="s">
        <v>5001</v>
      </c>
      <c r="L1396" s="22" t="s">
        <v>37</v>
      </c>
      <c r="M1396" s="21" t="s">
        <v>163</v>
      </c>
      <c r="N1396" s="13" t="s">
        <v>106</v>
      </c>
      <c r="O1396" s="23" t="n">
        <v>20.53</v>
      </c>
      <c r="P1396" s="13" t="n">
        <v>1</v>
      </c>
      <c r="Q1396" s="24" t="n">
        <v>46311.13875</v>
      </c>
      <c r="R1396" s="22"/>
      <c r="S1396" s="13" t="s">
        <v>164</v>
      </c>
      <c r="T1396" s="13" t="str">
        <f aca="false">IF(S1396="Oui",IF(R1396=L1396,"Identique","Changé"),"")</f>
        <v/>
      </c>
    </row>
    <row r="1397" customFormat="false" ht="57.45" hidden="false" customHeight="false" outlineLevel="0" collapsed="false">
      <c r="A1397" s="13" t="s">
        <v>5002</v>
      </c>
      <c r="B1397" s="13" t="s">
        <v>5003</v>
      </c>
      <c r="C1397" s="13" t="n">
        <v>1</v>
      </c>
      <c r="D1397" s="13" t="s">
        <v>135</v>
      </c>
      <c r="E1397" s="13" t="s">
        <v>570</v>
      </c>
      <c r="F1397" s="13" t="s">
        <v>5004</v>
      </c>
      <c r="G1397" s="13" t="s">
        <v>1758</v>
      </c>
      <c r="H1397" s="13" t="s">
        <v>101</v>
      </c>
      <c r="I1397" s="21" t="s">
        <v>5005</v>
      </c>
      <c r="J1397" s="21" t="s">
        <v>5006</v>
      </c>
      <c r="K1397" s="21" t="s">
        <v>5007</v>
      </c>
      <c r="L1397" s="22" t="s">
        <v>36</v>
      </c>
      <c r="M1397" s="21" t="s">
        <v>235</v>
      </c>
      <c r="N1397" s="13" t="s">
        <v>106</v>
      </c>
      <c r="O1397" s="23" t="n">
        <v>30.99</v>
      </c>
      <c r="P1397" s="13" t="n">
        <v>2</v>
      </c>
      <c r="Q1397" s="24" t="n">
        <v>46311.1438888889</v>
      </c>
      <c r="R1397" s="22"/>
      <c r="S1397" s="13" t="s">
        <v>164</v>
      </c>
      <c r="T1397" s="13" t="str">
        <f aca="false">IF(S1397="Oui",IF(R1397=L1397,"Identique","Changé"),"")</f>
        <v/>
      </c>
    </row>
    <row r="1398" customFormat="false" ht="818.65" hidden="false" customHeight="false" outlineLevel="0" collapsed="false">
      <c r="A1398" s="13" t="s">
        <v>5008</v>
      </c>
      <c r="B1398" s="13" t="s">
        <v>5003</v>
      </c>
      <c r="C1398" s="13" t="n">
        <v>2</v>
      </c>
      <c r="D1398" s="13" t="s">
        <v>135</v>
      </c>
      <c r="E1398" s="13" t="s">
        <v>1730</v>
      </c>
      <c r="F1398" s="13" t="s">
        <v>5004</v>
      </c>
      <c r="G1398" s="13" t="s">
        <v>1753</v>
      </c>
      <c r="H1398" s="13" t="s">
        <v>101</v>
      </c>
      <c r="I1398" s="21" t="s">
        <v>5009</v>
      </c>
      <c r="J1398" s="21" t="s">
        <v>5010</v>
      </c>
      <c r="K1398" s="21" t="s">
        <v>5011</v>
      </c>
      <c r="L1398" s="22" t="s">
        <v>36</v>
      </c>
      <c r="M1398" s="21" t="s">
        <v>2007</v>
      </c>
      <c r="N1398" s="13" t="s">
        <v>1085</v>
      </c>
      <c r="O1398" s="23" t="n">
        <v>13.23</v>
      </c>
      <c r="P1398" s="13" t="n">
        <v>2</v>
      </c>
      <c r="Q1398" s="24" t="n">
        <v>46311.1441319444</v>
      </c>
      <c r="R1398" s="22"/>
      <c r="S1398" s="13" t="s">
        <v>164</v>
      </c>
      <c r="T1398" s="13" t="str">
        <f aca="false">IF(S1398="Oui",IF(R1398=L1398,"Identique","Changé"),"")</f>
        <v/>
      </c>
    </row>
    <row r="1399" customFormat="false" ht="35.05" hidden="false" customHeight="false" outlineLevel="0" collapsed="false">
      <c r="A1399" s="13" t="s">
        <v>5012</v>
      </c>
      <c r="B1399" s="13" t="s">
        <v>5003</v>
      </c>
      <c r="C1399" s="13" t="n">
        <v>3</v>
      </c>
      <c r="D1399" s="13" t="s">
        <v>135</v>
      </c>
      <c r="E1399" s="13" t="s">
        <v>171</v>
      </c>
      <c r="F1399" s="13" t="s">
        <v>2789</v>
      </c>
      <c r="G1399" s="13" t="s">
        <v>908</v>
      </c>
      <c r="H1399" s="13" t="s">
        <v>101</v>
      </c>
      <c r="I1399" s="21" t="s">
        <v>5013</v>
      </c>
      <c r="J1399" s="21" t="s">
        <v>910</v>
      </c>
      <c r="K1399" s="21" t="s">
        <v>5014</v>
      </c>
      <c r="L1399" s="22" t="s">
        <v>36</v>
      </c>
      <c r="M1399" s="21" t="s">
        <v>120</v>
      </c>
      <c r="N1399" s="13" t="s">
        <v>106</v>
      </c>
      <c r="O1399" s="23" t="n">
        <v>9.57</v>
      </c>
      <c r="P1399" s="13" t="n">
        <v>2</v>
      </c>
      <c r="Q1399" s="24" t="n">
        <v>46311.1443518519</v>
      </c>
      <c r="R1399" s="22"/>
      <c r="S1399" s="13" t="s">
        <v>164</v>
      </c>
      <c r="T1399" s="13" t="str">
        <f aca="false">IF(S1399="Oui",IF(R1399=L1399,"Identique","Changé"),"")</f>
        <v/>
      </c>
    </row>
    <row r="1400" customFormat="false" ht="46.25" hidden="false" customHeight="false" outlineLevel="0" collapsed="false">
      <c r="A1400" s="13" t="s">
        <v>5015</v>
      </c>
      <c r="B1400" s="13" t="s">
        <v>5003</v>
      </c>
      <c r="C1400" s="13" t="n">
        <v>4</v>
      </c>
      <c r="D1400" s="13" t="s">
        <v>135</v>
      </c>
      <c r="E1400" s="13" t="s">
        <v>158</v>
      </c>
      <c r="F1400" s="13" t="s">
        <v>2789</v>
      </c>
      <c r="G1400" s="13" t="s">
        <v>1909</v>
      </c>
      <c r="H1400" s="13" t="s">
        <v>101</v>
      </c>
      <c r="I1400" s="21" t="s">
        <v>5016</v>
      </c>
      <c r="J1400" s="21" t="s">
        <v>284</v>
      </c>
      <c r="K1400" s="21" t="s">
        <v>5017</v>
      </c>
      <c r="L1400" s="22" t="s">
        <v>37</v>
      </c>
      <c r="M1400" s="21" t="s">
        <v>163</v>
      </c>
      <c r="N1400" s="13" t="s">
        <v>106</v>
      </c>
      <c r="O1400" s="23" t="n">
        <v>8.54</v>
      </c>
      <c r="P1400" s="13" t="n">
        <v>2</v>
      </c>
      <c r="Q1400" s="24" t="n">
        <v>46311.1445486111</v>
      </c>
      <c r="R1400" s="22"/>
      <c r="S1400" s="13" t="s">
        <v>164</v>
      </c>
      <c r="T1400" s="13" t="str">
        <f aca="false">IF(S1400="Oui",IF(R1400=L1400,"Identique","Changé"),"")</f>
        <v/>
      </c>
    </row>
    <row r="1401" customFormat="false" ht="68.65" hidden="false" customHeight="false" outlineLevel="0" collapsed="false">
      <c r="A1401" s="13" t="s">
        <v>5018</v>
      </c>
      <c r="B1401" s="13" t="s">
        <v>5003</v>
      </c>
      <c r="C1401" s="13" t="n">
        <v>5</v>
      </c>
      <c r="D1401" s="13" t="s">
        <v>135</v>
      </c>
      <c r="E1401" s="13" t="s">
        <v>171</v>
      </c>
      <c r="F1401" s="13" t="s">
        <v>5004</v>
      </c>
      <c r="G1401" s="13" t="s">
        <v>519</v>
      </c>
      <c r="H1401" s="13" t="s">
        <v>101</v>
      </c>
      <c r="I1401" s="21" t="s">
        <v>5019</v>
      </c>
      <c r="J1401" s="21" t="s">
        <v>284</v>
      </c>
      <c r="K1401" s="21" t="s">
        <v>5020</v>
      </c>
      <c r="L1401" s="22" t="s">
        <v>37</v>
      </c>
      <c r="M1401" s="21" t="s">
        <v>163</v>
      </c>
      <c r="N1401" s="13" t="s">
        <v>106</v>
      </c>
      <c r="O1401" s="23" t="n">
        <v>10.93</v>
      </c>
      <c r="P1401" s="13" t="n">
        <v>2</v>
      </c>
      <c r="Q1401" s="24" t="n">
        <v>46311.1447800926</v>
      </c>
      <c r="R1401" s="22"/>
      <c r="S1401" s="13" t="s">
        <v>164</v>
      </c>
      <c r="T1401" s="13" t="str">
        <f aca="false">IF(S1401="Oui",IF(R1401=L1401,"Identique","Changé"),"")</f>
        <v/>
      </c>
    </row>
    <row r="1402" customFormat="false" ht="46.25" hidden="false" customHeight="false" outlineLevel="0" collapsed="false">
      <c r="A1402" s="13" t="s">
        <v>5021</v>
      </c>
      <c r="B1402" s="13" t="s">
        <v>5022</v>
      </c>
      <c r="C1402" s="13" t="n">
        <v>1</v>
      </c>
      <c r="D1402" s="13" t="s">
        <v>97</v>
      </c>
      <c r="E1402" s="13" t="s">
        <v>171</v>
      </c>
      <c r="F1402" s="13" t="s">
        <v>1027</v>
      </c>
      <c r="G1402" s="13" t="s">
        <v>1998</v>
      </c>
      <c r="H1402" s="13" t="s">
        <v>101</v>
      </c>
      <c r="I1402" s="21" t="s">
        <v>5023</v>
      </c>
      <c r="J1402" s="21" t="s">
        <v>4348</v>
      </c>
      <c r="K1402" s="21" t="s">
        <v>5024</v>
      </c>
      <c r="L1402" s="22" t="s">
        <v>36</v>
      </c>
      <c r="M1402" s="21" t="s">
        <v>120</v>
      </c>
      <c r="N1402" s="13" t="s">
        <v>106</v>
      </c>
      <c r="O1402" s="23" t="n">
        <v>24.51</v>
      </c>
      <c r="P1402" s="13" t="n">
        <v>1</v>
      </c>
      <c r="Q1402" s="24" t="n">
        <v>46311.1452430556</v>
      </c>
      <c r="R1402" s="22"/>
      <c r="S1402" s="13" t="s">
        <v>164</v>
      </c>
      <c r="T1402" s="13" t="str">
        <f aca="false">IF(S1402="Oui",IF(R1402=L1402,"Identique","Changé"),"")</f>
        <v/>
      </c>
    </row>
    <row r="1403" customFormat="false" ht="46.25" hidden="false" customHeight="false" outlineLevel="0" collapsed="false">
      <c r="A1403" s="13" t="s">
        <v>5025</v>
      </c>
      <c r="B1403" s="13" t="s">
        <v>5022</v>
      </c>
      <c r="C1403" s="13" t="n">
        <v>2</v>
      </c>
      <c r="D1403" s="13" t="s">
        <v>97</v>
      </c>
      <c r="E1403" s="13" t="s">
        <v>1730</v>
      </c>
      <c r="F1403" s="13" t="s">
        <v>1027</v>
      </c>
      <c r="G1403" s="13" t="s">
        <v>2142</v>
      </c>
      <c r="H1403" s="13" t="s">
        <v>101</v>
      </c>
      <c r="I1403" s="21" t="s">
        <v>5026</v>
      </c>
      <c r="J1403" s="21" t="s">
        <v>5027</v>
      </c>
      <c r="K1403" s="21" t="s">
        <v>5028</v>
      </c>
      <c r="L1403" s="22" t="s">
        <v>36</v>
      </c>
      <c r="M1403" s="21" t="s">
        <v>120</v>
      </c>
      <c r="N1403" s="13" t="s">
        <v>106</v>
      </c>
      <c r="O1403" s="23" t="n">
        <v>10.52</v>
      </c>
      <c r="P1403" s="13" t="n">
        <v>1</v>
      </c>
      <c r="Q1403" s="24" t="n">
        <v>46311.145462963</v>
      </c>
      <c r="R1403" s="22"/>
      <c r="S1403" s="13" t="s">
        <v>164</v>
      </c>
      <c r="T1403" s="13" t="str">
        <f aca="false">IF(S1403="Oui",IF(R1403=L1403,"Identique","Changé"),"")</f>
        <v/>
      </c>
    </row>
    <row r="1404" customFormat="false" ht="35.05" hidden="false" customHeight="false" outlineLevel="0" collapsed="false">
      <c r="A1404" s="13" t="s">
        <v>5029</v>
      </c>
      <c r="B1404" s="13" t="s">
        <v>5022</v>
      </c>
      <c r="C1404" s="13" t="n">
        <v>3</v>
      </c>
      <c r="D1404" s="13" t="s">
        <v>97</v>
      </c>
      <c r="E1404" s="13" t="s">
        <v>114</v>
      </c>
      <c r="F1404" s="13" t="s">
        <v>1027</v>
      </c>
      <c r="G1404" s="13" t="s">
        <v>2195</v>
      </c>
      <c r="H1404" s="13" t="s">
        <v>101</v>
      </c>
      <c r="I1404" s="21" t="s">
        <v>5030</v>
      </c>
      <c r="J1404" s="21" t="s">
        <v>2197</v>
      </c>
      <c r="K1404" s="21" t="s">
        <v>5031</v>
      </c>
      <c r="L1404" s="22" t="s">
        <v>36</v>
      </c>
      <c r="M1404" s="21" t="s">
        <v>120</v>
      </c>
      <c r="N1404" s="13" t="s">
        <v>106</v>
      </c>
      <c r="O1404" s="23" t="n">
        <v>9.43</v>
      </c>
      <c r="P1404" s="13" t="n">
        <v>1</v>
      </c>
      <c r="Q1404" s="24" t="n">
        <v>46311.1456828704</v>
      </c>
      <c r="R1404" s="22"/>
      <c r="S1404" s="13" t="s">
        <v>164</v>
      </c>
      <c r="T1404" s="13" t="str">
        <f aca="false">IF(S1404="Oui",IF(R1404=L1404,"Identique","Changé"),"")</f>
        <v/>
      </c>
    </row>
    <row r="1405" customFormat="false" ht="35.05" hidden="false" customHeight="false" outlineLevel="0" collapsed="false">
      <c r="A1405" s="13" t="s">
        <v>5032</v>
      </c>
      <c r="B1405" s="13" t="s">
        <v>5022</v>
      </c>
      <c r="C1405" s="13" t="n">
        <v>4</v>
      </c>
      <c r="D1405" s="13" t="s">
        <v>97</v>
      </c>
      <c r="E1405" s="13" t="s">
        <v>570</v>
      </c>
      <c r="F1405" s="13" t="s">
        <v>1027</v>
      </c>
      <c r="G1405" s="13" t="s">
        <v>1780</v>
      </c>
      <c r="H1405" s="13" t="s">
        <v>101</v>
      </c>
      <c r="I1405" s="21" t="s">
        <v>5033</v>
      </c>
      <c r="J1405" s="21" t="s">
        <v>284</v>
      </c>
      <c r="K1405" s="21" t="s">
        <v>5034</v>
      </c>
      <c r="L1405" s="22" t="s">
        <v>36</v>
      </c>
      <c r="M1405" s="21" t="s">
        <v>120</v>
      </c>
      <c r="N1405" s="13" t="s">
        <v>106</v>
      </c>
      <c r="O1405" s="23" t="n">
        <v>10.55</v>
      </c>
      <c r="P1405" s="13" t="n">
        <v>1</v>
      </c>
      <c r="Q1405" s="24" t="n">
        <v>46311.1459027778</v>
      </c>
      <c r="R1405" s="22"/>
      <c r="S1405" s="13" t="s">
        <v>164</v>
      </c>
      <c r="T1405" s="13" t="str">
        <f aca="false">IF(S1405="Oui",IF(R1405=L1405,"Identique","Changé"),"")</f>
        <v/>
      </c>
    </row>
    <row r="1406" customFormat="false" ht="35.05" hidden="false" customHeight="false" outlineLevel="0" collapsed="false">
      <c r="A1406" s="13" t="s">
        <v>5035</v>
      </c>
      <c r="B1406" s="13" t="s">
        <v>5022</v>
      </c>
      <c r="C1406" s="13" t="n">
        <v>5</v>
      </c>
      <c r="D1406" s="13" t="s">
        <v>97</v>
      </c>
      <c r="E1406" s="13" t="s">
        <v>570</v>
      </c>
      <c r="F1406" s="13" t="s">
        <v>1027</v>
      </c>
      <c r="G1406" s="13" t="s">
        <v>1775</v>
      </c>
      <c r="H1406" s="13" t="s">
        <v>101</v>
      </c>
      <c r="I1406" s="21" t="s">
        <v>5036</v>
      </c>
      <c r="J1406" s="21" t="s">
        <v>1777</v>
      </c>
      <c r="K1406" s="21" t="s">
        <v>5037</v>
      </c>
      <c r="L1406" s="22" t="s">
        <v>36</v>
      </c>
      <c r="M1406" s="21" t="s">
        <v>120</v>
      </c>
      <c r="N1406" s="13" t="s">
        <v>106</v>
      </c>
      <c r="O1406" s="23" t="n">
        <v>9.6</v>
      </c>
      <c r="P1406" s="13" t="n">
        <v>1</v>
      </c>
      <c r="Q1406" s="24" t="n">
        <v>46311.1461111111</v>
      </c>
      <c r="R1406" s="22"/>
      <c r="S1406" s="13" t="s">
        <v>164</v>
      </c>
      <c r="T1406" s="13" t="str">
        <f aca="false">IF(S1406="Oui",IF(R1406=L1406,"Identique","Changé"),"")</f>
        <v/>
      </c>
    </row>
    <row r="1407" customFormat="false" ht="23.85" hidden="false" customHeight="false" outlineLevel="0" collapsed="false">
      <c r="A1407" s="13" t="s">
        <v>5038</v>
      </c>
      <c r="B1407" s="13" t="s">
        <v>5039</v>
      </c>
      <c r="C1407" s="13" t="n">
        <v>1</v>
      </c>
      <c r="D1407" s="13" t="s">
        <v>135</v>
      </c>
      <c r="E1407" s="13" t="s">
        <v>260</v>
      </c>
      <c r="F1407" s="13" t="s">
        <v>5040</v>
      </c>
      <c r="G1407" s="13" t="s">
        <v>2057</v>
      </c>
      <c r="H1407" s="13" t="s">
        <v>101</v>
      </c>
      <c r="I1407" s="21" t="s">
        <v>5041</v>
      </c>
      <c r="J1407" s="21" t="s">
        <v>512</v>
      </c>
      <c r="K1407" s="21" t="s">
        <v>5042</v>
      </c>
      <c r="L1407" s="22" t="s">
        <v>39</v>
      </c>
      <c r="M1407" s="21" t="s">
        <v>565</v>
      </c>
      <c r="N1407" s="13" t="s">
        <v>106</v>
      </c>
      <c r="O1407" s="23" t="n">
        <v>10.19</v>
      </c>
      <c r="P1407" s="13" t="n">
        <v>1</v>
      </c>
      <c r="Q1407" s="24" t="n">
        <v>46311.146400463</v>
      </c>
      <c r="R1407" s="22"/>
      <c r="S1407" s="13" t="s">
        <v>164</v>
      </c>
      <c r="T1407" s="13" t="str">
        <f aca="false">IF(S1407="Oui",IF(R1407=L1407,"Identique","Changé"),"")</f>
        <v/>
      </c>
    </row>
    <row r="1408" customFormat="false" ht="35.05" hidden="false" customHeight="false" outlineLevel="0" collapsed="false">
      <c r="A1408" s="13" t="s">
        <v>5043</v>
      </c>
      <c r="B1408" s="13" t="s">
        <v>5039</v>
      </c>
      <c r="C1408" s="13" t="n">
        <v>2</v>
      </c>
      <c r="D1408" s="13" t="s">
        <v>135</v>
      </c>
      <c r="E1408" s="13" t="s">
        <v>570</v>
      </c>
      <c r="F1408" s="13" t="s">
        <v>5040</v>
      </c>
      <c r="G1408" s="13" t="s">
        <v>1794</v>
      </c>
      <c r="H1408" s="13" t="s">
        <v>101</v>
      </c>
      <c r="I1408" s="21" t="s">
        <v>5044</v>
      </c>
      <c r="J1408" s="21" t="s">
        <v>1741</v>
      </c>
      <c r="K1408" s="21" t="s">
        <v>5045</v>
      </c>
      <c r="L1408" s="22" t="s">
        <v>37</v>
      </c>
      <c r="M1408" s="21" t="s">
        <v>163</v>
      </c>
      <c r="N1408" s="13" t="s">
        <v>106</v>
      </c>
      <c r="O1408" s="23" t="n">
        <v>7.03</v>
      </c>
      <c r="P1408" s="13" t="n">
        <v>1</v>
      </c>
      <c r="Q1408" s="24" t="n">
        <v>46311.1465740741</v>
      </c>
      <c r="R1408" s="22"/>
      <c r="S1408" s="13" t="s">
        <v>164</v>
      </c>
      <c r="T1408" s="13" t="str">
        <f aca="false">IF(S1408="Oui",IF(R1408=L1408,"Identique","Changé"),"")</f>
        <v/>
      </c>
    </row>
    <row r="1409" customFormat="false" ht="91" hidden="false" customHeight="false" outlineLevel="0" collapsed="false">
      <c r="A1409" s="13" t="s">
        <v>5046</v>
      </c>
      <c r="B1409" s="13" t="s">
        <v>5039</v>
      </c>
      <c r="C1409" s="13" t="n">
        <v>3</v>
      </c>
      <c r="D1409" s="13" t="s">
        <v>135</v>
      </c>
      <c r="E1409" s="13" t="s">
        <v>570</v>
      </c>
      <c r="F1409" s="13" t="s">
        <v>2824</v>
      </c>
      <c r="G1409" s="13" t="s">
        <v>1930</v>
      </c>
      <c r="H1409" s="13" t="s">
        <v>152</v>
      </c>
      <c r="I1409" s="21" t="s">
        <v>5047</v>
      </c>
      <c r="J1409" s="21" t="s">
        <v>154</v>
      </c>
      <c r="K1409" s="21" t="s">
        <v>5048</v>
      </c>
      <c r="L1409" s="22" t="s">
        <v>40</v>
      </c>
      <c r="M1409" s="21" t="s">
        <v>5049</v>
      </c>
      <c r="N1409" s="13" t="s">
        <v>1085</v>
      </c>
      <c r="O1409" s="23" t="n">
        <v>31.7</v>
      </c>
      <c r="P1409" s="13" t="n">
        <v>1</v>
      </c>
      <c r="Q1409" s="24" t="n">
        <v>46311.1470486111</v>
      </c>
      <c r="R1409" s="22"/>
      <c r="S1409" s="13" t="s">
        <v>164</v>
      </c>
      <c r="T1409" s="13" t="str">
        <f aca="false">IF(S1409="Oui",IF(R1409=L1409,"Identique","Changé"),"")</f>
        <v/>
      </c>
    </row>
    <row r="1410" customFormat="false" ht="35.05" hidden="false" customHeight="false" outlineLevel="0" collapsed="false">
      <c r="A1410" s="13" t="s">
        <v>5050</v>
      </c>
      <c r="B1410" s="13" t="s">
        <v>5039</v>
      </c>
      <c r="C1410" s="13" t="n">
        <v>4</v>
      </c>
      <c r="D1410" s="13" t="s">
        <v>135</v>
      </c>
      <c r="E1410" s="13" t="s">
        <v>114</v>
      </c>
      <c r="F1410" s="13" t="s">
        <v>2824</v>
      </c>
      <c r="G1410" s="13" t="s">
        <v>1887</v>
      </c>
      <c r="H1410" s="13" t="s">
        <v>101</v>
      </c>
      <c r="I1410" s="21" t="s">
        <v>5051</v>
      </c>
      <c r="J1410" s="21" t="s">
        <v>512</v>
      </c>
      <c r="K1410" s="21" t="s">
        <v>5052</v>
      </c>
      <c r="L1410" s="22" t="s">
        <v>36</v>
      </c>
      <c r="M1410" s="21" t="s">
        <v>120</v>
      </c>
      <c r="N1410" s="13" t="s">
        <v>106</v>
      </c>
      <c r="O1410" s="23" t="n">
        <v>9.29</v>
      </c>
      <c r="P1410" s="13" t="n">
        <v>1</v>
      </c>
      <c r="Q1410" s="24" t="n">
        <v>46311.1472569444</v>
      </c>
      <c r="R1410" s="22"/>
      <c r="S1410" s="13" t="s">
        <v>164</v>
      </c>
      <c r="T1410" s="13" t="str">
        <f aca="false">IF(S1410="Oui",IF(R1410=L1410,"Identique","Changé"),"")</f>
        <v/>
      </c>
    </row>
    <row r="1411" customFormat="false" ht="35.05" hidden="false" customHeight="false" outlineLevel="0" collapsed="false">
      <c r="A1411" s="13" t="s">
        <v>5053</v>
      </c>
      <c r="B1411" s="13" t="s">
        <v>5039</v>
      </c>
      <c r="C1411" s="13" t="n">
        <v>5</v>
      </c>
      <c r="D1411" s="13" t="s">
        <v>135</v>
      </c>
      <c r="E1411" s="13" t="s">
        <v>570</v>
      </c>
      <c r="F1411" s="13" t="s">
        <v>5040</v>
      </c>
      <c r="G1411" s="13" t="s">
        <v>1805</v>
      </c>
      <c r="H1411" s="13" t="s">
        <v>101</v>
      </c>
      <c r="I1411" s="21" t="s">
        <v>5054</v>
      </c>
      <c r="J1411" s="21" t="s">
        <v>284</v>
      </c>
      <c r="K1411" s="21" t="s">
        <v>5055</v>
      </c>
      <c r="L1411" s="22" t="s">
        <v>36</v>
      </c>
      <c r="M1411" s="21" t="s">
        <v>120</v>
      </c>
      <c r="N1411" s="13" t="s">
        <v>106</v>
      </c>
      <c r="O1411" s="23" t="n">
        <v>10.88</v>
      </c>
      <c r="P1411" s="13" t="n">
        <v>1</v>
      </c>
      <c r="Q1411" s="24" t="n">
        <v>46311.1474884259</v>
      </c>
      <c r="R1411" s="22"/>
      <c r="S1411" s="13" t="s">
        <v>164</v>
      </c>
      <c r="T1411" s="13" t="str">
        <f aca="false">IF(S1411="Oui",IF(R1411=L1411,"Identique","Changé"),"")</f>
        <v/>
      </c>
    </row>
    <row r="1412" customFormat="false" ht="46.25" hidden="false" customHeight="false" outlineLevel="0" collapsed="false">
      <c r="A1412" s="13" t="s">
        <v>5056</v>
      </c>
      <c r="B1412" s="13" t="s">
        <v>5057</v>
      </c>
      <c r="C1412" s="13" t="n">
        <v>1</v>
      </c>
      <c r="D1412" s="13" t="s">
        <v>97</v>
      </c>
      <c r="E1412" s="13" t="s">
        <v>128</v>
      </c>
      <c r="F1412" s="13" t="s">
        <v>1416</v>
      </c>
      <c r="G1412" s="13" t="s">
        <v>209</v>
      </c>
      <c r="H1412" s="13" t="s">
        <v>101</v>
      </c>
      <c r="I1412" s="21" t="s">
        <v>5058</v>
      </c>
      <c r="J1412" s="21" t="s">
        <v>447</v>
      </c>
      <c r="K1412" s="21" t="s">
        <v>5059</v>
      </c>
      <c r="L1412" s="22" t="s">
        <v>36</v>
      </c>
      <c r="M1412" s="21" t="s">
        <v>120</v>
      </c>
      <c r="N1412" s="13" t="s">
        <v>106</v>
      </c>
      <c r="O1412" s="23" t="n">
        <v>31.75</v>
      </c>
      <c r="P1412" s="13" t="n">
        <v>1</v>
      </c>
      <c r="Q1412" s="24" t="n">
        <v>46311.1480208333</v>
      </c>
      <c r="R1412" s="22"/>
      <c r="S1412" s="13" t="s">
        <v>164</v>
      </c>
      <c r="T1412" s="13" t="str">
        <f aca="false">IF(S1412="Oui",IF(R1412=L1412,"Identique","Changé"),"")</f>
        <v/>
      </c>
    </row>
    <row r="1413" customFormat="false" ht="46.25" hidden="false" customHeight="false" outlineLevel="0" collapsed="false">
      <c r="A1413" s="13" t="s">
        <v>5060</v>
      </c>
      <c r="B1413" s="13" t="s">
        <v>5057</v>
      </c>
      <c r="C1413" s="13" t="n">
        <v>2</v>
      </c>
      <c r="D1413" s="13" t="s">
        <v>97</v>
      </c>
      <c r="E1413" s="13" t="s">
        <v>128</v>
      </c>
      <c r="F1413" s="13" t="s">
        <v>1416</v>
      </c>
      <c r="G1413" s="13" t="s">
        <v>290</v>
      </c>
      <c r="H1413" s="13" t="s">
        <v>101</v>
      </c>
      <c r="I1413" s="21" t="s">
        <v>5061</v>
      </c>
      <c r="J1413" s="21" t="s">
        <v>131</v>
      </c>
      <c r="K1413" s="21" t="s">
        <v>5062</v>
      </c>
      <c r="L1413" s="22" t="s">
        <v>36</v>
      </c>
      <c r="M1413" s="21" t="s">
        <v>120</v>
      </c>
      <c r="N1413" s="13" t="s">
        <v>106</v>
      </c>
      <c r="O1413" s="23" t="n">
        <v>12.15</v>
      </c>
      <c r="P1413" s="13" t="n">
        <v>1</v>
      </c>
      <c r="Q1413" s="24" t="n">
        <v>46311.1482638889</v>
      </c>
      <c r="R1413" s="22"/>
      <c r="S1413" s="13" t="s">
        <v>164</v>
      </c>
      <c r="T1413" s="13" t="str">
        <f aca="false">IF(S1413="Oui",IF(R1413=L1413,"Identique","Changé"),"")</f>
        <v/>
      </c>
    </row>
    <row r="1414" customFormat="false" ht="46.25" hidden="false" customHeight="false" outlineLevel="0" collapsed="false">
      <c r="A1414" s="13" t="s">
        <v>5063</v>
      </c>
      <c r="B1414" s="13" t="s">
        <v>5057</v>
      </c>
      <c r="C1414" s="13" t="n">
        <v>3</v>
      </c>
      <c r="D1414" s="13" t="s">
        <v>97</v>
      </c>
      <c r="E1414" s="13" t="s">
        <v>128</v>
      </c>
      <c r="F1414" s="13" t="s">
        <v>1416</v>
      </c>
      <c r="G1414" s="13" t="s">
        <v>2071</v>
      </c>
      <c r="H1414" s="13" t="s">
        <v>101</v>
      </c>
      <c r="I1414" s="21" t="s">
        <v>5064</v>
      </c>
      <c r="J1414" s="21" t="s">
        <v>195</v>
      </c>
      <c r="K1414" s="21" t="s">
        <v>5065</v>
      </c>
      <c r="L1414" s="22" t="s">
        <v>36</v>
      </c>
      <c r="M1414" s="21" t="s">
        <v>120</v>
      </c>
      <c r="N1414" s="13" t="s">
        <v>106</v>
      </c>
      <c r="O1414" s="23" t="n">
        <v>16.46</v>
      </c>
      <c r="P1414" s="13" t="n">
        <v>1</v>
      </c>
      <c r="Q1414" s="24" t="n">
        <v>46311.1485532407</v>
      </c>
      <c r="R1414" s="22"/>
      <c r="S1414" s="13" t="s">
        <v>164</v>
      </c>
      <c r="T1414" s="13" t="str">
        <f aca="false">IF(S1414="Oui",IF(R1414=L1414,"Identique","Changé"),"")</f>
        <v/>
      </c>
    </row>
    <row r="1415" customFormat="false" ht="68.65" hidden="false" customHeight="false" outlineLevel="0" collapsed="false">
      <c r="A1415" s="13" t="s">
        <v>5066</v>
      </c>
      <c r="B1415" s="13" t="s">
        <v>5057</v>
      </c>
      <c r="C1415" s="13" t="n">
        <v>4</v>
      </c>
      <c r="D1415" s="13" t="s">
        <v>97</v>
      </c>
      <c r="E1415" s="13" t="s">
        <v>122</v>
      </c>
      <c r="F1415" s="13" t="s">
        <v>1416</v>
      </c>
      <c r="G1415" s="13" t="s">
        <v>282</v>
      </c>
      <c r="H1415" s="13" t="s">
        <v>101</v>
      </c>
      <c r="I1415" s="21" t="s">
        <v>5067</v>
      </c>
      <c r="J1415" s="21" t="s">
        <v>512</v>
      </c>
      <c r="K1415" s="21" t="s">
        <v>5068</v>
      </c>
      <c r="L1415" s="22" t="s">
        <v>36</v>
      </c>
      <c r="M1415" s="21" t="s">
        <v>120</v>
      </c>
      <c r="N1415" s="13" t="s">
        <v>106</v>
      </c>
      <c r="O1415" s="23" t="n">
        <v>23.77</v>
      </c>
      <c r="P1415" s="13" t="n">
        <v>1</v>
      </c>
      <c r="Q1415" s="24" t="n">
        <v>46311.1489351852</v>
      </c>
      <c r="R1415" s="22"/>
      <c r="S1415" s="13" t="s">
        <v>164</v>
      </c>
      <c r="T1415" s="13" t="str">
        <f aca="false">IF(S1415="Oui",IF(R1415=L1415,"Identique","Changé"),"")</f>
        <v/>
      </c>
    </row>
    <row r="1416" customFormat="false" ht="35.05" hidden="false" customHeight="false" outlineLevel="0" collapsed="false">
      <c r="A1416" s="13" t="s">
        <v>5069</v>
      </c>
      <c r="B1416" s="13" t="s">
        <v>5057</v>
      </c>
      <c r="C1416" s="13" t="n">
        <v>5</v>
      </c>
      <c r="D1416" s="13" t="s">
        <v>97</v>
      </c>
      <c r="E1416" s="13" t="s">
        <v>122</v>
      </c>
      <c r="F1416" s="13" t="s">
        <v>1416</v>
      </c>
      <c r="G1416" s="13" t="s">
        <v>231</v>
      </c>
      <c r="H1416" s="13" t="s">
        <v>101</v>
      </c>
      <c r="I1416" s="21" t="s">
        <v>5070</v>
      </c>
      <c r="J1416" s="21" t="s">
        <v>233</v>
      </c>
      <c r="K1416" s="21" t="s">
        <v>5071</v>
      </c>
      <c r="L1416" s="22" t="s">
        <v>36</v>
      </c>
      <c r="M1416" s="21" t="s">
        <v>235</v>
      </c>
      <c r="N1416" s="13" t="s">
        <v>106</v>
      </c>
      <c r="O1416" s="23" t="n">
        <v>10.23</v>
      </c>
      <c r="P1416" s="13" t="n">
        <v>1</v>
      </c>
      <c r="Q1416" s="24" t="n">
        <v>46311.1491550926</v>
      </c>
      <c r="R1416" s="22"/>
      <c r="S1416" s="13" t="s">
        <v>164</v>
      </c>
      <c r="T1416" s="13" t="str">
        <f aca="false">IF(S1416="Oui",IF(R1416=L1416,"Identique","Changé"),"")</f>
        <v/>
      </c>
    </row>
    <row r="1417" customFormat="false" ht="57.45" hidden="false" customHeight="false" outlineLevel="0" collapsed="false">
      <c r="A1417" s="13" t="s">
        <v>5072</v>
      </c>
      <c r="B1417" s="13" t="s">
        <v>5073</v>
      </c>
      <c r="C1417" s="13" t="n">
        <v>1</v>
      </c>
      <c r="D1417" s="13" t="s">
        <v>135</v>
      </c>
      <c r="E1417" s="13" t="s">
        <v>570</v>
      </c>
      <c r="F1417" s="13" t="s">
        <v>3796</v>
      </c>
      <c r="G1417" s="13" t="s">
        <v>1859</v>
      </c>
      <c r="H1417" s="13" t="s">
        <v>101</v>
      </c>
      <c r="I1417" s="21" t="s">
        <v>5074</v>
      </c>
      <c r="J1417" s="21" t="s">
        <v>1649</v>
      </c>
      <c r="K1417" s="21" t="s">
        <v>5075</v>
      </c>
      <c r="L1417" s="22" t="s">
        <v>38</v>
      </c>
      <c r="M1417" s="21" t="s">
        <v>1822</v>
      </c>
      <c r="N1417" s="13" t="s">
        <v>106</v>
      </c>
      <c r="O1417" s="23" t="n">
        <v>29.99</v>
      </c>
      <c r="P1417" s="13" t="n">
        <v>1</v>
      </c>
      <c r="Q1417" s="24" t="n">
        <v>46311.1496759259</v>
      </c>
      <c r="R1417" s="22"/>
      <c r="S1417" s="13" t="s">
        <v>164</v>
      </c>
      <c r="T1417" s="13" t="str">
        <f aca="false">IF(S1417="Oui",IF(R1417=L1417,"Identique","Changé"),"")</f>
        <v/>
      </c>
    </row>
    <row r="1418" customFormat="false" ht="57.45" hidden="false" customHeight="false" outlineLevel="0" collapsed="false">
      <c r="A1418" s="13" t="s">
        <v>5076</v>
      </c>
      <c r="B1418" s="13" t="s">
        <v>5073</v>
      </c>
      <c r="C1418" s="13" t="n">
        <v>2</v>
      </c>
      <c r="D1418" s="13" t="s">
        <v>135</v>
      </c>
      <c r="E1418" s="13" t="s">
        <v>171</v>
      </c>
      <c r="F1418" s="13" t="s">
        <v>3796</v>
      </c>
      <c r="G1418" s="13" t="s">
        <v>2263</v>
      </c>
      <c r="H1418" s="13" t="s">
        <v>101</v>
      </c>
      <c r="I1418" s="21" t="s">
        <v>5077</v>
      </c>
      <c r="J1418" s="21" t="s">
        <v>3332</v>
      </c>
      <c r="K1418" s="21" t="s">
        <v>5078</v>
      </c>
      <c r="L1418" s="22" t="s">
        <v>36</v>
      </c>
      <c r="M1418" s="21" t="s">
        <v>120</v>
      </c>
      <c r="N1418" s="13" t="s">
        <v>106</v>
      </c>
      <c r="O1418" s="23" t="n">
        <v>15.25</v>
      </c>
      <c r="P1418" s="13" t="n">
        <v>1</v>
      </c>
      <c r="Q1418" s="24" t="n">
        <v>46311.1499537037</v>
      </c>
      <c r="R1418" s="22"/>
      <c r="S1418" s="13" t="s">
        <v>164</v>
      </c>
      <c r="T1418" s="13" t="str">
        <f aca="false">IF(S1418="Oui",IF(R1418=L1418,"Identique","Changé"),"")</f>
        <v/>
      </c>
    </row>
    <row r="1419" customFormat="false" ht="46.25" hidden="false" customHeight="false" outlineLevel="0" collapsed="false">
      <c r="A1419" s="13" t="s">
        <v>5079</v>
      </c>
      <c r="B1419" s="13" t="s">
        <v>5073</v>
      </c>
      <c r="C1419" s="13" t="n">
        <v>3</v>
      </c>
      <c r="D1419" s="13" t="s">
        <v>135</v>
      </c>
      <c r="E1419" s="13" t="s">
        <v>98</v>
      </c>
      <c r="F1419" s="13" t="s">
        <v>2858</v>
      </c>
      <c r="G1419" s="13" t="s">
        <v>151</v>
      </c>
      <c r="H1419" s="13" t="s">
        <v>101</v>
      </c>
      <c r="I1419" s="21" t="s">
        <v>5080</v>
      </c>
      <c r="J1419" s="21" t="s">
        <v>2163</v>
      </c>
      <c r="K1419" s="21" t="s">
        <v>5081</v>
      </c>
      <c r="L1419" s="22" t="s">
        <v>36</v>
      </c>
      <c r="M1419" s="21" t="s">
        <v>105</v>
      </c>
      <c r="N1419" s="13" t="s">
        <v>106</v>
      </c>
      <c r="O1419" s="23" t="n">
        <v>11.28</v>
      </c>
      <c r="P1419" s="13" t="n">
        <v>1</v>
      </c>
      <c r="Q1419" s="24" t="n">
        <v>46311.1501851852</v>
      </c>
      <c r="R1419" s="22"/>
      <c r="S1419" s="13" t="s">
        <v>164</v>
      </c>
      <c r="T1419" s="13" t="str">
        <f aca="false">IF(S1419="Oui",IF(R1419=L1419,"Identique","Changé"),"")</f>
        <v/>
      </c>
    </row>
    <row r="1420" customFormat="false" ht="57.45" hidden="false" customHeight="false" outlineLevel="0" collapsed="false">
      <c r="A1420" s="13" t="s">
        <v>5082</v>
      </c>
      <c r="B1420" s="13" t="s">
        <v>5073</v>
      </c>
      <c r="C1420" s="13" t="n">
        <v>4</v>
      </c>
      <c r="D1420" s="13" t="s">
        <v>135</v>
      </c>
      <c r="E1420" s="13" t="s">
        <v>570</v>
      </c>
      <c r="F1420" s="13" t="s">
        <v>2858</v>
      </c>
      <c r="G1420" s="13" t="s">
        <v>1824</v>
      </c>
      <c r="H1420" s="13" t="s">
        <v>152</v>
      </c>
      <c r="I1420" s="21" t="s">
        <v>5083</v>
      </c>
      <c r="J1420" s="21" t="s">
        <v>154</v>
      </c>
      <c r="K1420" s="21" t="s">
        <v>5084</v>
      </c>
      <c r="L1420" s="22" t="s">
        <v>40</v>
      </c>
      <c r="M1420" s="21" t="s">
        <v>156</v>
      </c>
      <c r="N1420" s="13" t="s">
        <v>106</v>
      </c>
      <c r="O1420" s="23" t="n">
        <v>18.39</v>
      </c>
      <c r="P1420" s="13" t="n">
        <v>1</v>
      </c>
      <c r="Q1420" s="24" t="n">
        <v>46311.1504976852</v>
      </c>
      <c r="R1420" s="22"/>
      <c r="S1420" s="13" t="s">
        <v>164</v>
      </c>
      <c r="T1420" s="13" t="str">
        <f aca="false">IF(S1420="Oui",IF(R1420=L1420,"Identique","Changé"),"")</f>
        <v/>
      </c>
    </row>
    <row r="1421" customFormat="false" ht="57.45" hidden="false" customHeight="false" outlineLevel="0" collapsed="false">
      <c r="A1421" s="13" t="s">
        <v>5085</v>
      </c>
      <c r="B1421" s="13" t="s">
        <v>5073</v>
      </c>
      <c r="C1421" s="13" t="n">
        <v>5</v>
      </c>
      <c r="D1421" s="13" t="s">
        <v>135</v>
      </c>
      <c r="E1421" s="13" t="s">
        <v>570</v>
      </c>
      <c r="F1421" s="13" t="s">
        <v>3796</v>
      </c>
      <c r="G1421" s="13" t="s">
        <v>1811</v>
      </c>
      <c r="H1421" s="13" t="s">
        <v>101</v>
      </c>
      <c r="I1421" s="21" t="s">
        <v>5086</v>
      </c>
      <c r="J1421" s="21" t="s">
        <v>1649</v>
      </c>
      <c r="K1421" s="21" t="s">
        <v>5087</v>
      </c>
      <c r="L1421" s="22" t="s">
        <v>36</v>
      </c>
      <c r="M1421" s="21" t="s">
        <v>235</v>
      </c>
      <c r="N1421" s="13" t="s">
        <v>106</v>
      </c>
      <c r="O1421" s="23" t="n">
        <v>13.85</v>
      </c>
      <c r="P1421" s="13" t="n">
        <v>1</v>
      </c>
      <c r="Q1421" s="24" t="n">
        <v>46311.1507638889</v>
      </c>
      <c r="R1421" s="22"/>
      <c r="S1421" s="13" t="s">
        <v>164</v>
      </c>
      <c r="T1421" s="13" t="str">
        <f aca="false">IF(S1421="Oui",IF(R1421=L1421,"Identique","Changé"),"")</f>
        <v/>
      </c>
    </row>
    <row r="1422" customFormat="false" ht="35.05" hidden="false" customHeight="false" outlineLevel="0" collapsed="false">
      <c r="A1422" s="13" t="s">
        <v>5088</v>
      </c>
      <c r="B1422" s="13" t="s">
        <v>5089</v>
      </c>
      <c r="C1422" s="13" t="n">
        <v>1</v>
      </c>
      <c r="D1422" s="13" t="s">
        <v>97</v>
      </c>
      <c r="E1422" s="13" t="s">
        <v>185</v>
      </c>
      <c r="F1422" s="13" t="s">
        <v>664</v>
      </c>
      <c r="G1422" s="13" t="s">
        <v>2113</v>
      </c>
      <c r="H1422" s="13" t="s">
        <v>101</v>
      </c>
      <c r="I1422" s="21" t="s">
        <v>5090</v>
      </c>
      <c r="J1422" s="21" t="s">
        <v>5091</v>
      </c>
      <c r="K1422" s="21" t="s">
        <v>5092</v>
      </c>
      <c r="L1422" s="22" t="s">
        <v>36</v>
      </c>
      <c r="M1422" s="21" t="s">
        <v>2135</v>
      </c>
      <c r="N1422" s="13" t="s">
        <v>106</v>
      </c>
      <c r="O1422" s="23" t="n">
        <v>22.95</v>
      </c>
      <c r="P1422" s="13" t="n">
        <v>1</v>
      </c>
      <c r="Q1422" s="24" t="n">
        <v>46311.1512037037</v>
      </c>
      <c r="R1422" s="22"/>
      <c r="S1422" s="13" t="s">
        <v>164</v>
      </c>
      <c r="T1422" s="13" t="str">
        <f aca="false">IF(S1422="Oui",IF(R1422=L1422,"Identique","Changé"),"")</f>
        <v/>
      </c>
    </row>
    <row r="1423" customFormat="false" ht="35.05" hidden="false" customHeight="false" outlineLevel="0" collapsed="false">
      <c r="A1423" s="13" t="s">
        <v>5093</v>
      </c>
      <c r="B1423" s="13" t="s">
        <v>5089</v>
      </c>
      <c r="C1423" s="13" t="n">
        <v>2</v>
      </c>
      <c r="D1423" s="13" t="s">
        <v>97</v>
      </c>
      <c r="E1423" s="13" t="s">
        <v>122</v>
      </c>
      <c r="F1423" s="13" t="s">
        <v>664</v>
      </c>
      <c r="G1423" s="13" t="s">
        <v>2166</v>
      </c>
      <c r="H1423" s="13" t="s">
        <v>101</v>
      </c>
      <c r="I1423" s="21" t="s">
        <v>5094</v>
      </c>
      <c r="J1423" s="21" t="s">
        <v>284</v>
      </c>
      <c r="K1423" s="21" t="s">
        <v>5095</v>
      </c>
      <c r="L1423" s="22" t="s">
        <v>36</v>
      </c>
      <c r="M1423" s="21" t="s">
        <v>120</v>
      </c>
      <c r="N1423" s="13" t="s">
        <v>106</v>
      </c>
      <c r="O1423" s="23" t="n">
        <v>9.56</v>
      </c>
      <c r="P1423" s="13" t="n">
        <v>1</v>
      </c>
      <c r="Q1423" s="24" t="n">
        <v>46311.151412037</v>
      </c>
      <c r="R1423" s="22"/>
      <c r="S1423" s="13" t="s">
        <v>164</v>
      </c>
      <c r="T1423" s="13" t="str">
        <f aca="false">IF(S1423="Oui",IF(R1423=L1423,"Identique","Changé"),"")</f>
        <v/>
      </c>
    </row>
    <row r="1424" customFormat="false" ht="35.05" hidden="false" customHeight="false" outlineLevel="0" collapsed="false">
      <c r="A1424" s="13" t="s">
        <v>5096</v>
      </c>
      <c r="B1424" s="13" t="s">
        <v>5089</v>
      </c>
      <c r="C1424" s="13" t="n">
        <v>3</v>
      </c>
      <c r="D1424" s="13" t="s">
        <v>97</v>
      </c>
      <c r="E1424" s="13" t="s">
        <v>114</v>
      </c>
      <c r="F1424" s="13" t="s">
        <v>524</v>
      </c>
      <c r="G1424" s="13" t="s">
        <v>2250</v>
      </c>
      <c r="H1424" s="13" t="s">
        <v>101</v>
      </c>
      <c r="I1424" s="21" t="s">
        <v>5097</v>
      </c>
      <c r="J1424" s="21" t="s">
        <v>5098</v>
      </c>
      <c r="K1424" s="21" t="s">
        <v>5099</v>
      </c>
      <c r="L1424" s="22" t="s">
        <v>36</v>
      </c>
      <c r="M1424" s="21" t="s">
        <v>120</v>
      </c>
      <c r="N1424" s="13" t="s">
        <v>106</v>
      </c>
      <c r="O1424" s="23" t="n">
        <v>13.46</v>
      </c>
      <c r="P1424" s="13" t="n">
        <v>1</v>
      </c>
      <c r="Q1424" s="24" t="n">
        <v>46311.1516782407</v>
      </c>
      <c r="R1424" s="22"/>
      <c r="S1424" s="13" t="s">
        <v>164</v>
      </c>
      <c r="T1424" s="13" t="str">
        <f aca="false">IF(S1424="Oui",IF(R1424=L1424,"Identique","Changé"),"")</f>
        <v/>
      </c>
    </row>
    <row r="1425" customFormat="false" ht="46.25" hidden="false" customHeight="false" outlineLevel="0" collapsed="false">
      <c r="A1425" s="13" t="s">
        <v>5100</v>
      </c>
      <c r="B1425" s="13" t="s">
        <v>5089</v>
      </c>
      <c r="C1425" s="13" t="n">
        <v>4</v>
      </c>
      <c r="D1425" s="13" t="s">
        <v>97</v>
      </c>
      <c r="E1425" s="13" t="s">
        <v>260</v>
      </c>
      <c r="F1425" s="13" t="s">
        <v>524</v>
      </c>
      <c r="G1425" s="13" t="s">
        <v>2057</v>
      </c>
      <c r="H1425" s="13" t="s">
        <v>101</v>
      </c>
      <c r="I1425" s="21" t="s">
        <v>5101</v>
      </c>
      <c r="J1425" s="21" t="s">
        <v>512</v>
      </c>
      <c r="K1425" s="21" t="s">
        <v>5102</v>
      </c>
      <c r="L1425" s="22" t="s">
        <v>36</v>
      </c>
      <c r="M1425" s="21" t="s">
        <v>120</v>
      </c>
      <c r="N1425" s="13" t="s">
        <v>106</v>
      </c>
      <c r="O1425" s="23" t="n">
        <v>9.61</v>
      </c>
      <c r="P1425" s="13" t="n">
        <v>1</v>
      </c>
      <c r="Q1425" s="24" t="n">
        <v>46311.1518865741</v>
      </c>
      <c r="R1425" s="22"/>
      <c r="S1425" s="13" t="s">
        <v>164</v>
      </c>
      <c r="T1425" s="13" t="str">
        <f aca="false">IF(S1425="Oui",IF(R1425=L1425,"Identique","Changé"),"")</f>
        <v/>
      </c>
    </row>
    <row r="1426" customFormat="false" ht="46.25" hidden="false" customHeight="false" outlineLevel="0" collapsed="false">
      <c r="A1426" s="13" t="s">
        <v>5103</v>
      </c>
      <c r="B1426" s="13" t="s">
        <v>5089</v>
      </c>
      <c r="C1426" s="13" t="n">
        <v>5</v>
      </c>
      <c r="D1426" s="13" t="s">
        <v>97</v>
      </c>
      <c r="E1426" s="13" t="s">
        <v>122</v>
      </c>
      <c r="F1426" s="13" t="s">
        <v>664</v>
      </c>
      <c r="G1426" s="13" t="s">
        <v>1891</v>
      </c>
      <c r="H1426" s="13" t="s">
        <v>101</v>
      </c>
      <c r="I1426" s="21" t="s">
        <v>5104</v>
      </c>
      <c r="J1426" s="21" t="s">
        <v>1741</v>
      </c>
      <c r="K1426" s="21" t="s">
        <v>5105</v>
      </c>
      <c r="L1426" s="22" t="s">
        <v>36</v>
      </c>
      <c r="M1426" s="21" t="s">
        <v>235</v>
      </c>
      <c r="N1426" s="13" t="s">
        <v>106</v>
      </c>
      <c r="O1426" s="23" t="n">
        <v>10.01</v>
      </c>
      <c r="P1426" s="13" t="n">
        <v>1</v>
      </c>
      <c r="Q1426" s="24" t="n">
        <v>46311.1521180556</v>
      </c>
      <c r="R1426" s="22"/>
      <c r="S1426" s="13" t="s">
        <v>164</v>
      </c>
      <c r="T1426" s="13" t="str">
        <f aca="false">IF(S1426="Oui",IF(R1426=L1426,"Identique","Changé"),"")</f>
        <v/>
      </c>
    </row>
    <row r="1427" customFormat="false" ht="35.05" hidden="false" customHeight="false" outlineLevel="0" collapsed="false">
      <c r="A1427" s="13" t="s">
        <v>5106</v>
      </c>
      <c r="B1427" s="13" t="s">
        <v>5107</v>
      </c>
      <c r="C1427" s="13" t="n">
        <v>1</v>
      </c>
      <c r="D1427" s="13" t="s">
        <v>135</v>
      </c>
      <c r="E1427" s="13" t="s">
        <v>401</v>
      </c>
      <c r="F1427" s="13" t="s">
        <v>3833</v>
      </c>
      <c r="G1427" s="13" t="s">
        <v>402</v>
      </c>
      <c r="H1427" s="13" t="s">
        <v>101</v>
      </c>
      <c r="I1427" s="21" t="s">
        <v>5108</v>
      </c>
      <c r="J1427" s="21" t="s">
        <v>5109</v>
      </c>
      <c r="K1427" s="21" t="s">
        <v>5110</v>
      </c>
      <c r="L1427" s="22" t="s">
        <v>36</v>
      </c>
      <c r="M1427" s="21" t="s">
        <v>406</v>
      </c>
      <c r="N1427" s="13" t="s">
        <v>106</v>
      </c>
      <c r="O1427" s="23" t="n">
        <v>27.75</v>
      </c>
      <c r="P1427" s="13" t="n">
        <v>1</v>
      </c>
      <c r="Q1427" s="24" t="n">
        <v>46311.1526041667</v>
      </c>
      <c r="R1427" s="22"/>
      <c r="S1427" s="13" t="s">
        <v>164</v>
      </c>
      <c r="T1427" s="13" t="str">
        <f aca="false">IF(S1427="Oui",IF(R1427=L1427,"Identique","Changé"),"")</f>
        <v/>
      </c>
    </row>
    <row r="1428" customFormat="false" ht="57.45" hidden="false" customHeight="false" outlineLevel="0" collapsed="false">
      <c r="A1428" s="13" t="s">
        <v>5111</v>
      </c>
      <c r="B1428" s="13" t="s">
        <v>5107</v>
      </c>
      <c r="C1428" s="13" t="n">
        <v>2</v>
      </c>
      <c r="D1428" s="13" t="s">
        <v>135</v>
      </c>
      <c r="E1428" s="13" t="s">
        <v>122</v>
      </c>
      <c r="F1428" s="13" t="s">
        <v>3833</v>
      </c>
      <c r="G1428" s="13" t="s">
        <v>1840</v>
      </c>
      <c r="H1428" s="13" t="s">
        <v>101</v>
      </c>
      <c r="I1428" s="21" t="s">
        <v>5112</v>
      </c>
      <c r="J1428" s="21" t="s">
        <v>284</v>
      </c>
      <c r="K1428" s="21" t="s">
        <v>5113</v>
      </c>
      <c r="L1428" s="22" t="s">
        <v>37</v>
      </c>
      <c r="M1428" s="21" t="s">
        <v>5114</v>
      </c>
      <c r="N1428" s="13" t="s">
        <v>1085</v>
      </c>
      <c r="O1428" s="23" t="n">
        <v>14.63</v>
      </c>
      <c r="P1428" s="13" t="n">
        <v>1</v>
      </c>
      <c r="Q1428" s="24" t="n">
        <v>46311.1528703704</v>
      </c>
      <c r="R1428" s="22"/>
      <c r="S1428" s="13" t="s">
        <v>164</v>
      </c>
      <c r="T1428" s="13" t="str">
        <f aca="false">IF(S1428="Oui",IF(R1428=L1428,"Identique","Changé"),"")</f>
        <v/>
      </c>
    </row>
    <row r="1429" customFormat="false" ht="35.05" hidden="false" customHeight="false" outlineLevel="0" collapsed="false">
      <c r="A1429" s="13" t="s">
        <v>5115</v>
      </c>
      <c r="B1429" s="13" t="s">
        <v>5107</v>
      </c>
      <c r="C1429" s="13" t="n">
        <v>3</v>
      </c>
      <c r="D1429" s="13" t="s">
        <v>135</v>
      </c>
      <c r="E1429" s="13" t="s">
        <v>570</v>
      </c>
      <c r="F1429" s="13" t="s">
        <v>3833</v>
      </c>
      <c r="G1429" s="13" t="s">
        <v>1790</v>
      </c>
      <c r="H1429" s="13" t="s">
        <v>101</v>
      </c>
      <c r="I1429" s="21" t="s">
        <v>5116</v>
      </c>
      <c r="J1429" s="21" t="s">
        <v>512</v>
      </c>
      <c r="K1429" s="21" t="s">
        <v>5117</v>
      </c>
      <c r="L1429" s="22" t="s">
        <v>36</v>
      </c>
      <c r="M1429" s="21" t="s">
        <v>120</v>
      </c>
      <c r="N1429" s="13" t="s">
        <v>106</v>
      </c>
      <c r="O1429" s="23" t="n">
        <v>11.2</v>
      </c>
      <c r="P1429" s="13" t="n">
        <v>1</v>
      </c>
      <c r="Q1429" s="24" t="n">
        <v>46311.1531018519</v>
      </c>
      <c r="R1429" s="22"/>
      <c r="S1429" s="13" t="s">
        <v>164</v>
      </c>
      <c r="T1429" s="13" t="str">
        <f aca="false">IF(S1429="Oui",IF(R1429=L1429,"Identique","Changé"),"")</f>
        <v/>
      </c>
    </row>
    <row r="1430" customFormat="false" ht="57.45" hidden="false" customHeight="false" outlineLevel="0" collapsed="false">
      <c r="A1430" s="13" t="s">
        <v>5118</v>
      </c>
      <c r="B1430" s="13" t="s">
        <v>5107</v>
      </c>
      <c r="C1430" s="13" t="n">
        <v>4</v>
      </c>
      <c r="D1430" s="13" t="s">
        <v>135</v>
      </c>
      <c r="E1430" s="13" t="s">
        <v>122</v>
      </c>
      <c r="F1430" s="13" t="s">
        <v>3833</v>
      </c>
      <c r="G1430" s="13" t="s">
        <v>1848</v>
      </c>
      <c r="H1430" s="13" t="s">
        <v>101</v>
      </c>
      <c r="I1430" s="21" t="s">
        <v>5119</v>
      </c>
      <c r="J1430" s="21" t="s">
        <v>3790</v>
      </c>
      <c r="K1430" s="21" t="s">
        <v>5120</v>
      </c>
      <c r="L1430" s="22" t="s">
        <v>36</v>
      </c>
      <c r="M1430" s="21" t="s">
        <v>235</v>
      </c>
      <c r="N1430" s="13" t="s">
        <v>106</v>
      </c>
      <c r="O1430" s="23" t="n">
        <v>9.16</v>
      </c>
      <c r="P1430" s="13" t="n">
        <v>1</v>
      </c>
      <c r="Q1430" s="24" t="n">
        <v>46311.1533217593</v>
      </c>
      <c r="R1430" s="22"/>
      <c r="S1430" s="13" t="s">
        <v>164</v>
      </c>
      <c r="T1430" s="13" t="str">
        <f aca="false">IF(S1430="Oui",IF(R1430=L1430,"Identique","Changé"),"")</f>
        <v/>
      </c>
    </row>
    <row r="1431" customFormat="false" ht="35.05" hidden="false" customHeight="false" outlineLevel="0" collapsed="false">
      <c r="A1431" s="13" t="s">
        <v>5121</v>
      </c>
      <c r="B1431" s="13" t="s">
        <v>5107</v>
      </c>
      <c r="C1431" s="13" t="n">
        <v>5</v>
      </c>
      <c r="D1431" s="13" t="s">
        <v>135</v>
      </c>
      <c r="E1431" s="13" t="s">
        <v>570</v>
      </c>
      <c r="F1431" s="13" t="s">
        <v>3833</v>
      </c>
      <c r="G1431" s="13" t="s">
        <v>1800</v>
      </c>
      <c r="H1431" s="13" t="s">
        <v>101</v>
      </c>
      <c r="I1431" s="21" t="s">
        <v>5122</v>
      </c>
      <c r="J1431" s="21" t="s">
        <v>1741</v>
      </c>
      <c r="K1431" s="21" t="s">
        <v>5123</v>
      </c>
      <c r="L1431" s="22" t="s">
        <v>36</v>
      </c>
      <c r="M1431" s="21" t="s">
        <v>235</v>
      </c>
      <c r="N1431" s="13" t="s">
        <v>106</v>
      </c>
      <c r="O1431" s="23" t="n">
        <v>9.29</v>
      </c>
      <c r="P1431" s="13" t="n">
        <v>1</v>
      </c>
      <c r="Q1431" s="24" t="n">
        <v>46311.1535300926</v>
      </c>
      <c r="R1431" s="22"/>
      <c r="S1431" s="13" t="s">
        <v>164</v>
      </c>
      <c r="T1431" s="13" t="str">
        <f aca="false">IF(S1431="Oui",IF(R1431=L1431,"Identique","Changé"),"")</f>
        <v/>
      </c>
    </row>
    <row r="1432" customFormat="false" ht="46.25" hidden="false" customHeight="false" outlineLevel="0" collapsed="false">
      <c r="A1432" s="13" t="s">
        <v>5124</v>
      </c>
      <c r="B1432" s="13" t="s">
        <v>5125</v>
      </c>
      <c r="C1432" s="13" t="n">
        <v>1</v>
      </c>
      <c r="D1432" s="13" t="s">
        <v>97</v>
      </c>
      <c r="E1432" s="13" t="s">
        <v>122</v>
      </c>
      <c r="F1432" s="13" t="s">
        <v>1298</v>
      </c>
      <c r="G1432" s="13" t="s">
        <v>2216</v>
      </c>
      <c r="H1432" s="13" t="s">
        <v>101</v>
      </c>
      <c r="I1432" s="21" t="s">
        <v>5126</v>
      </c>
      <c r="J1432" s="21" t="s">
        <v>512</v>
      </c>
      <c r="K1432" s="21" t="s">
        <v>5127</v>
      </c>
      <c r="L1432" s="22" t="s">
        <v>36</v>
      </c>
      <c r="M1432" s="21" t="s">
        <v>120</v>
      </c>
      <c r="N1432" s="13" t="s">
        <v>106</v>
      </c>
      <c r="O1432" s="23" t="n">
        <v>23.85</v>
      </c>
      <c r="P1432" s="13" t="n">
        <v>1</v>
      </c>
      <c r="Q1432" s="24" t="n">
        <v>46311.1539814815</v>
      </c>
      <c r="R1432" s="22"/>
      <c r="S1432" s="13" t="s">
        <v>164</v>
      </c>
      <c r="T1432" s="13" t="str">
        <f aca="false">IF(S1432="Oui",IF(R1432=L1432,"Identique","Changé"),"")</f>
        <v/>
      </c>
    </row>
    <row r="1433" customFormat="false" ht="57.45" hidden="false" customHeight="false" outlineLevel="0" collapsed="false">
      <c r="A1433" s="13" t="s">
        <v>5128</v>
      </c>
      <c r="B1433" s="13" t="s">
        <v>5125</v>
      </c>
      <c r="C1433" s="13" t="n">
        <v>2</v>
      </c>
      <c r="D1433" s="13" t="s">
        <v>97</v>
      </c>
      <c r="E1433" s="13" t="s">
        <v>122</v>
      </c>
      <c r="F1433" s="13" t="s">
        <v>1298</v>
      </c>
      <c r="G1433" s="13" t="s">
        <v>1905</v>
      </c>
      <c r="H1433" s="13" t="s">
        <v>101</v>
      </c>
      <c r="I1433" s="21" t="s">
        <v>5129</v>
      </c>
      <c r="J1433" s="21" t="s">
        <v>512</v>
      </c>
      <c r="K1433" s="21" t="s">
        <v>5130</v>
      </c>
      <c r="L1433" s="22" t="s">
        <v>38</v>
      </c>
      <c r="M1433" s="21" t="s">
        <v>3008</v>
      </c>
      <c r="N1433" s="13" t="s">
        <v>106</v>
      </c>
      <c r="O1433" s="23" t="n">
        <v>11.69</v>
      </c>
      <c r="P1433" s="13" t="n">
        <v>1</v>
      </c>
      <c r="Q1433" s="24" t="n">
        <v>46311.154212963</v>
      </c>
      <c r="R1433" s="22"/>
      <c r="S1433" s="13" t="s">
        <v>164</v>
      </c>
      <c r="T1433" s="13" t="str">
        <f aca="false">IF(S1433="Oui",IF(R1433=L1433,"Identique","Changé"),"")</f>
        <v/>
      </c>
    </row>
    <row r="1434" customFormat="false" ht="46.25" hidden="false" customHeight="false" outlineLevel="0" collapsed="false">
      <c r="A1434" s="13" t="s">
        <v>5131</v>
      </c>
      <c r="B1434" s="13" t="s">
        <v>5125</v>
      </c>
      <c r="C1434" s="13" t="n">
        <v>3</v>
      </c>
      <c r="D1434" s="13" t="s">
        <v>97</v>
      </c>
      <c r="E1434" s="13" t="s">
        <v>570</v>
      </c>
      <c r="F1434" s="13" t="s">
        <v>946</v>
      </c>
      <c r="G1434" s="13" t="s">
        <v>1980</v>
      </c>
      <c r="H1434" s="13" t="s">
        <v>152</v>
      </c>
      <c r="I1434" s="21" t="s">
        <v>5132</v>
      </c>
      <c r="J1434" s="21" t="s">
        <v>154</v>
      </c>
      <c r="K1434" s="21" t="s">
        <v>5133</v>
      </c>
      <c r="L1434" s="22" t="s">
        <v>40</v>
      </c>
      <c r="M1434" s="21" t="s">
        <v>156</v>
      </c>
      <c r="N1434" s="13" t="s">
        <v>106</v>
      </c>
      <c r="O1434" s="23" t="n">
        <v>9.22</v>
      </c>
      <c r="P1434" s="13" t="n">
        <v>1</v>
      </c>
      <c r="Q1434" s="24" t="n">
        <v>46311.1544328704</v>
      </c>
      <c r="R1434" s="22"/>
      <c r="S1434" s="13" t="s">
        <v>164</v>
      </c>
      <c r="T1434" s="13" t="str">
        <f aca="false">IF(S1434="Oui",IF(R1434=L1434,"Identique","Changé"),"")</f>
        <v/>
      </c>
    </row>
    <row r="1435" customFormat="false" ht="35.05" hidden="false" customHeight="false" outlineLevel="0" collapsed="false">
      <c r="A1435" s="13" t="s">
        <v>5134</v>
      </c>
      <c r="B1435" s="13" t="s">
        <v>5125</v>
      </c>
      <c r="C1435" s="13" t="n">
        <v>4</v>
      </c>
      <c r="D1435" s="13" t="s">
        <v>97</v>
      </c>
      <c r="E1435" s="13" t="s">
        <v>185</v>
      </c>
      <c r="F1435" s="13" t="s">
        <v>946</v>
      </c>
      <c r="G1435" s="13" t="s">
        <v>2153</v>
      </c>
      <c r="H1435" s="13" t="s">
        <v>101</v>
      </c>
      <c r="I1435" s="21" t="s">
        <v>5135</v>
      </c>
      <c r="J1435" s="21" t="s">
        <v>5136</v>
      </c>
      <c r="K1435" s="21" t="s">
        <v>5137</v>
      </c>
      <c r="L1435" s="22" t="s">
        <v>36</v>
      </c>
      <c r="M1435" s="21" t="s">
        <v>120</v>
      </c>
      <c r="N1435" s="13" t="s">
        <v>106</v>
      </c>
      <c r="O1435" s="23" t="n">
        <v>10.85</v>
      </c>
      <c r="P1435" s="13" t="n">
        <v>1</v>
      </c>
      <c r="Q1435" s="24" t="n">
        <v>46311.1546527778</v>
      </c>
      <c r="R1435" s="22"/>
      <c r="S1435" s="13" t="s">
        <v>164</v>
      </c>
      <c r="T1435" s="13" t="str">
        <f aca="false">IF(S1435="Oui",IF(R1435=L1435,"Identique","Changé"),"")</f>
        <v/>
      </c>
    </row>
    <row r="1436" customFormat="false" ht="35.05" hidden="false" customHeight="false" outlineLevel="0" collapsed="false">
      <c r="A1436" s="13" t="s">
        <v>5138</v>
      </c>
      <c r="B1436" s="13" t="s">
        <v>5125</v>
      </c>
      <c r="C1436" s="13" t="n">
        <v>5</v>
      </c>
      <c r="D1436" s="13" t="s">
        <v>97</v>
      </c>
      <c r="E1436" s="13" t="s">
        <v>114</v>
      </c>
      <c r="F1436" s="13" t="s">
        <v>1298</v>
      </c>
      <c r="G1436" s="13" t="s">
        <v>2220</v>
      </c>
      <c r="H1436" s="13" t="s">
        <v>101</v>
      </c>
      <c r="I1436" s="21" t="s">
        <v>5139</v>
      </c>
      <c r="J1436" s="21" t="s">
        <v>2222</v>
      </c>
      <c r="K1436" s="21" t="s">
        <v>5140</v>
      </c>
      <c r="L1436" s="22" t="s">
        <v>36</v>
      </c>
      <c r="M1436" s="21" t="s">
        <v>120</v>
      </c>
      <c r="N1436" s="13" t="s">
        <v>106</v>
      </c>
      <c r="O1436" s="23" t="n">
        <v>9.37</v>
      </c>
      <c r="P1436" s="13" t="n">
        <v>1</v>
      </c>
      <c r="Q1436" s="24" t="n">
        <v>46311.1548726852</v>
      </c>
      <c r="R1436" s="22"/>
      <c r="S1436" s="13" t="s">
        <v>164</v>
      </c>
      <c r="T1436" s="13" t="str">
        <f aca="false">IF(S1436="Oui",IF(R1436=L1436,"Identique","Changé"),"")</f>
        <v/>
      </c>
    </row>
    <row r="1437" customFormat="false" ht="46.25" hidden="false" customHeight="false" outlineLevel="0" collapsed="false">
      <c r="A1437" s="13" t="s">
        <v>5141</v>
      </c>
      <c r="B1437" s="13" t="s">
        <v>5142</v>
      </c>
      <c r="C1437" s="13" t="n">
        <v>1</v>
      </c>
      <c r="D1437" s="13" t="s">
        <v>135</v>
      </c>
      <c r="E1437" s="13" t="s">
        <v>122</v>
      </c>
      <c r="F1437" s="13" t="s">
        <v>3868</v>
      </c>
      <c r="G1437" s="13" t="s">
        <v>1874</v>
      </c>
      <c r="H1437" s="13" t="s">
        <v>101</v>
      </c>
      <c r="I1437" s="21" t="s">
        <v>5143</v>
      </c>
      <c r="J1437" s="21" t="s">
        <v>2683</v>
      </c>
      <c r="K1437" s="21" t="s">
        <v>5144</v>
      </c>
      <c r="L1437" s="22" t="s">
        <v>36</v>
      </c>
      <c r="M1437" s="21" t="s">
        <v>120</v>
      </c>
      <c r="N1437" s="13" t="s">
        <v>106</v>
      </c>
      <c r="O1437" s="23" t="n">
        <v>24.73</v>
      </c>
      <c r="P1437" s="13" t="n">
        <v>1</v>
      </c>
      <c r="Q1437" s="24" t="n">
        <v>46311.1553356482</v>
      </c>
      <c r="R1437" s="22"/>
      <c r="S1437" s="13" t="s">
        <v>164</v>
      </c>
      <c r="T1437" s="13" t="str">
        <f aca="false">IF(S1437="Oui",IF(R1437=L1437,"Identique","Changé"),"")</f>
        <v/>
      </c>
    </row>
    <row r="1438" customFormat="false" ht="35.05" hidden="false" customHeight="false" outlineLevel="0" collapsed="false">
      <c r="A1438" s="13" t="s">
        <v>5145</v>
      </c>
      <c r="B1438" s="13" t="s">
        <v>5142</v>
      </c>
      <c r="C1438" s="13" t="n">
        <v>2</v>
      </c>
      <c r="D1438" s="13" t="s">
        <v>135</v>
      </c>
      <c r="E1438" s="13" t="s">
        <v>114</v>
      </c>
      <c r="F1438" s="13" t="s">
        <v>3868</v>
      </c>
      <c r="G1438" s="13" t="s">
        <v>1305</v>
      </c>
      <c r="H1438" s="13" t="s">
        <v>101</v>
      </c>
      <c r="I1438" s="21" t="s">
        <v>5146</v>
      </c>
      <c r="J1438" s="21" t="s">
        <v>284</v>
      </c>
      <c r="K1438" s="21" t="s">
        <v>5147</v>
      </c>
      <c r="L1438" s="22" t="s">
        <v>36</v>
      </c>
      <c r="M1438" s="21" t="s">
        <v>120</v>
      </c>
      <c r="N1438" s="13" t="s">
        <v>106</v>
      </c>
      <c r="O1438" s="23" t="n">
        <v>9.57</v>
      </c>
      <c r="P1438" s="13" t="n">
        <v>1</v>
      </c>
      <c r="Q1438" s="24" t="n">
        <v>46311.1555439815</v>
      </c>
      <c r="R1438" s="22"/>
      <c r="S1438" s="13" t="s">
        <v>164</v>
      </c>
      <c r="T1438" s="13" t="str">
        <f aca="false">IF(S1438="Oui",IF(R1438=L1438,"Identique","Changé"),"")</f>
        <v/>
      </c>
    </row>
    <row r="1439" customFormat="false" ht="46.25" hidden="false" customHeight="false" outlineLevel="0" collapsed="false">
      <c r="A1439" s="13" t="s">
        <v>5148</v>
      </c>
      <c r="B1439" s="13" t="s">
        <v>5142</v>
      </c>
      <c r="C1439" s="13" t="n">
        <v>3</v>
      </c>
      <c r="D1439" s="13" t="s">
        <v>135</v>
      </c>
      <c r="E1439" s="13" t="s">
        <v>114</v>
      </c>
      <c r="F1439" s="13" t="s">
        <v>3868</v>
      </c>
      <c r="G1439" s="13" t="s">
        <v>2200</v>
      </c>
      <c r="H1439" s="13" t="s">
        <v>101</v>
      </c>
      <c r="I1439" s="21" t="s">
        <v>5149</v>
      </c>
      <c r="J1439" s="21" t="s">
        <v>5150</v>
      </c>
      <c r="K1439" s="21" t="s">
        <v>5151</v>
      </c>
      <c r="L1439" s="22" t="s">
        <v>36</v>
      </c>
      <c r="M1439" s="21" t="s">
        <v>120</v>
      </c>
      <c r="N1439" s="13" t="s">
        <v>106</v>
      </c>
      <c r="O1439" s="23" t="n">
        <v>18.54</v>
      </c>
      <c r="P1439" s="13" t="n">
        <v>1</v>
      </c>
      <c r="Q1439" s="24" t="n">
        <v>46311.1558680556</v>
      </c>
      <c r="R1439" s="22"/>
      <c r="S1439" s="13" t="s">
        <v>164</v>
      </c>
      <c r="T1439" s="13" t="str">
        <f aca="false">IF(S1439="Oui",IF(R1439=L1439,"Identique","Changé"),"")</f>
        <v/>
      </c>
    </row>
    <row r="1440" customFormat="false" ht="46.25" hidden="false" customHeight="false" outlineLevel="0" collapsed="false">
      <c r="A1440" s="13" t="s">
        <v>5152</v>
      </c>
      <c r="B1440" s="13" t="s">
        <v>5142</v>
      </c>
      <c r="C1440" s="13" t="n">
        <v>4</v>
      </c>
      <c r="D1440" s="13" t="s">
        <v>135</v>
      </c>
      <c r="E1440" s="13" t="s">
        <v>570</v>
      </c>
      <c r="F1440" s="13" t="s">
        <v>3868</v>
      </c>
      <c r="G1440" s="13" t="s">
        <v>1739</v>
      </c>
      <c r="H1440" s="13" t="s">
        <v>101</v>
      </c>
      <c r="I1440" s="21" t="s">
        <v>5153</v>
      </c>
      <c r="J1440" s="21" t="s">
        <v>233</v>
      </c>
      <c r="K1440" s="21" t="s">
        <v>5154</v>
      </c>
      <c r="L1440" s="22" t="s">
        <v>36</v>
      </c>
      <c r="M1440" s="21" t="s">
        <v>235</v>
      </c>
      <c r="N1440" s="13" t="s">
        <v>106</v>
      </c>
      <c r="O1440" s="23" t="n">
        <v>9.58</v>
      </c>
      <c r="P1440" s="13" t="n">
        <v>1</v>
      </c>
      <c r="Q1440" s="24" t="n">
        <v>46311.156087963</v>
      </c>
      <c r="R1440" s="22"/>
      <c r="S1440" s="13" t="s">
        <v>164</v>
      </c>
      <c r="T1440" s="13" t="str">
        <f aca="false">IF(S1440="Oui",IF(R1440=L1440,"Identique","Changé"),"")</f>
        <v/>
      </c>
    </row>
    <row r="1441" customFormat="false" ht="35.05" hidden="false" customHeight="false" outlineLevel="0" collapsed="false">
      <c r="A1441" s="13" t="s">
        <v>5155</v>
      </c>
      <c r="B1441" s="13" t="s">
        <v>5142</v>
      </c>
      <c r="C1441" s="13" t="n">
        <v>5</v>
      </c>
      <c r="D1441" s="13" t="s">
        <v>135</v>
      </c>
      <c r="E1441" s="13" t="s">
        <v>128</v>
      </c>
      <c r="F1441" s="13" t="s">
        <v>3868</v>
      </c>
      <c r="G1441" s="13" t="s">
        <v>348</v>
      </c>
      <c r="H1441" s="13" t="s">
        <v>101</v>
      </c>
      <c r="I1441" s="21" t="s">
        <v>5156</v>
      </c>
      <c r="J1441" s="21" t="s">
        <v>199</v>
      </c>
      <c r="K1441" s="21" t="s">
        <v>5157</v>
      </c>
      <c r="L1441" s="22" t="s">
        <v>36</v>
      </c>
      <c r="M1441" s="21" t="s">
        <v>120</v>
      </c>
      <c r="N1441" s="13" t="s">
        <v>106</v>
      </c>
      <c r="O1441" s="23" t="n">
        <v>12.99</v>
      </c>
      <c r="P1441" s="13" t="n">
        <v>1</v>
      </c>
      <c r="Q1441" s="24" t="n">
        <v>46311.1563425926</v>
      </c>
      <c r="R1441" s="22"/>
      <c r="S1441" s="13" t="s">
        <v>164</v>
      </c>
      <c r="T1441" s="13" t="str">
        <f aca="false">IF(S1441="Oui",IF(R1441=L1441,"Identique","Changé"),"")</f>
        <v/>
      </c>
    </row>
    <row r="1442" customFormat="false" ht="91" hidden="false" customHeight="false" outlineLevel="0" collapsed="false">
      <c r="A1442" s="13" t="s">
        <v>5158</v>
      </c>
      <c r="B1442" s="13" t="s">
        <v>5159</v>
      </c>
      <c r="C1442" s="13" t="n">
        <v>1</v>
      </c>
      <c r="D1442" s="13" t="s">
        <v>97</v>
      </c>
      <c r="E1442" s="13" t="s">
        <v>114</v>
      </c>
      <c r="F1442" s="13" t="s">
        <v>1448</v>
      </c>
      <c r="G1442" s="13" t="s">
        <v>2123</v>
      </c>
      <c r="H1442" s="13" t="s">
        <v>101</v>
      </c>
      <c r="I1442" s="21" t="s">
        <v>5160</v>
      </c>
      <c r="J1442" s="21" t="s">
        <v>2125</v>
      </c>
      <c r="K1442" s="21" t="s">
        <v>5161</v>
      </c>
      <c r="L1442" s="22" t="s">
        <v>36</v>
      </c>
      <c r="M1442" s="21" t="s">
        <v>120</v>
      </c>
      <c r="N1442" s="13" t="s">
        <v>106</v>
      </c>
      <c r="O1442" s="23" t="n">
        <v>28.56</v>
      </c>
      <c r="P1442" s="13" t="n">
        <v>2</v>
      </c>
      <c r="Q1442" s="24" t="n">
        <v>46311.161412037</v>
      </c>
      <c r="R1442" s="22"/>
      <c r="S1442" s="13" t="s">
        <v>164</v>
      </c>
      <c r="T1442" s="13" t="str">
        <f aca="false">IF(S1442="Oui",IF(R1442=L1442,"Identique","Changé"),"")</f>
        <v/>
      </c>
    </row>
    <row r="1443" customFormat="false" ht="68.65" hidden="false" customHeight="false" outlineLevel="0" collapsed="false">
      <c r="A1443" s="13" t="s">
        <v>5162</v>
      </c>
      <c r="B1443" s="13" t="s">
        <v>5159</v>
      </c>
      <c r="C1443" s="13" t="n">
        <v>2</v>
      </c>
      <c r="D1443" s="13" t="s">
        <v>97</v>
      </c>
      <c r="E1443" s="13" t="s">
        <v>1730</v>
      </c>
      <c r="F1443" s="13" t="s">
        <v>1448</v>
      </c>
      <c r="G1443" s="13" t="s">
        <v>2009</v>
      </c>
      <c r="H1443" s="13" t="s">
        <v>101</v>
      </c>
      <c r="I1443" s="21" t="s">
        <v>5163</v>
      </c>
      <c r="J1443" s="21" t="s">
        <v>5164</v>
      </c>
      <c r="K1443" s="21" t="s">
        <v>5165</v>
      </c>
      <c r="L1443" s="22" t="s">
        <v>36</v>
      </c>
      <c r="M1443" s="21" t="s">
        <v>120</v>
      </c>
      <c r="N1443" s="13" t="s">
        <v>106</v>
      </c>
      <c r="O1443" s="23" t="n">
        <v>9.94</v>
      </c>
      <c r="P1443" s="13" t="n">
        <v>2</v>
      </c>
      <c r="Q1443" s="24" t="n">
        <v>46311.1616319444</v>
      </c>
      <c r="R1443" s="22"/>
      <c r="S1443" s="13" t="s">
        <v>164</v>
      </c>
      <c r="T1443" s="13" t="str">
        <f aca="false">IF(S1443="Oui",IF(R1443=L1443,"Identique","Changé"),"")</f>
        <v/>
      </c>
    </row>
    <row r="1444" customFormat="false" ht="35.05" hidden="false" customHeight="false" outlineLevel="0" collapsed="false">
      <c r="A1444" s="13" t="s">
        <v>5166</v>
      </c>
      <c r="B1444" s="13" t="s">
        <v>5159</v>
      </c>
      <c r="C1444" s="13" t="n">
        <v>3</v>
      </c>
      <c r="D1444" s="13" t="s">
        <v>97</v>
      </c>
      <c r="E1444" s="13" t="s">
        <v>185</v>
      </c>
      <c r="F1444" s="13" t="s">
        <v>1094</v>
      </c>
      <c r="G1444" s="13" t="s">
        <v>2173</v>
      </c>
      <c r="H1444" s="13" t="s">
        <v>101</v>
      </c>
      <c r="I1444" s="21" t="s">
        <v>5167</v>
      </c>
      <c r="J1444" s="21" t="s">
        <v>5168</v>
      </c>
      <c r="K1444" s="21" t="s">
        <v>5169</v>
      </c>
      <c r="L1444" s="22" t="s">
        <v>36</v>
      </c>
      <c r="M1444" s="21" t="s">
        <v>427</v>
      </c>
      <c r="N1444" s="13" t="s">
        <v>106</v>
      </c>
      <c r="O1444" s="23" t="n">
        <v>9.02</v>
      </c>
      <c r="P1444" s="13" t="n">
        <v>2</v>
      </c>
      <c r="Q1444" s="24" t="n">
        <v>46311.1618402778</v>
      </c>
      <c r="R1444" s="22"/>
      <c r="S1444" s="13" t="s">
        <v>164</v>
      </c>
      <c r="T1444" s="13" t="str">
        <f aca="false">IF(S1444="Oui",IF(R1444=L1444,"Identique","Changé"),"")</f>
        <v/>
      </c>
    </row>
    <row r="1445" customFormat="false" ht="46.25" hidden="false" customHeight="false" outlineLevel="0" collapsed="false">
      <c r="A1445" s="13" t="s">
        <v>5170</v>
      </c>
      <c r="B1445" s="13" t="s">
        <v>5159</v>
      </c>
      <c r="C1445" s="13" t="n">
        <v>4</v>
      </c>
      <c r="D1445" s="13" t="s">
        <v>97</v>
      </c>
      <c r="E1445" s="13" t="s">
        <v>570</v>
      </c>
      <c r="F1445" s="13" t="s">
        <v>1094</v>
      </c>
      <c r="G1445" s="13" t="s">
        <v>1930</v>
      </c>
      <c r="H1445" s="13" t="s">
        <v>152</v>
      </c>
      <c r="I1445" s="21" t="s">
        <v>5171</v>
      </c>
      <c r="J1445" s="21" t="s">
        <v>154</v>
      </c>
      <c r="K1445" s="21" t="s">
        <v>5172</v>
      </c>
      <c r="L1445" s="22" t="s">
        <v>40</v>
      </c>
      <c r="M1445" s="21" t="s">
        <v>156</v>
      </c>
      <c r="N1445" s="13" t="s">
        <v>106</v>
      </c>
      <c r="O1445" s="23" t="n">
        <v>10.3</v>
      </c>
      <c r="P1445" s="13" t="n">
        <v>2</v>
      </c>
      <c r="Q1445" s="24" t="n">
        <v>46311.1620601852</v>
      </c>
      <c r="R1445" s="22"/>
      <c r="S1445" s="13" t="s">
        <v>164</v>
      </c>
      <c r="T1445" s="13" t="str">
        <f aca="false">IF(S1445="Oui",IF(R1445=L1445,"Identique","Changé"),"")</f>
        <v/>
      </c>
    </row>
    <row r="1446" customFormat="false" ht="46.25" hidden="false" customHeight="false" outlineLevel="0" collapsed="false">
      <c r="A1446" s="13" t="s">
        <v>5173</v>
      </c>
      <c r="B1446" s="13" t="s">
        <v>5159</v>
      </c>
      <c r="C1446" s="13" t="n">
        <v>5</v>
      </c>
      <c r="D1446" s="13" t="s">
        <v>97</v>
      </c>
      <c r="E1446" s="13" t="s">
        <v>570</v>
      </c>
      <c r="F1446" s="13" t="s">
        <v>1448</v>
      </c>
      <c r="G1446" s="13" t="s">
        <v>1785</v>
      </c>
      <c r="H1446" s="13" t="s">
        <v>101</v>
      </c>
      <c r="I1446" s="21" t="s">
        <v>5174</v>
      </c>
      <c r="J1446" s="21" t="s">
        <v>5175</v>
      </c>
      <c r="K1446" s="21" t="s">
        <v>5176</v>
      </c>
      <c r="L1446" s="22" t="s">
        <v>36</v>
      </c>
      <c r="M1446" s="21" t="s">
        <v>235</v>
      </c>
      <c r="N1446" s="13" t="s">
        <v>106</v>
      </c>
      <c r="O1446" s="23" t="n">
        <v>10.03</v>
      </c>
      <c r="P1446" s="13" t="n">
        <v>2</v>
      </c>
      <c r="Q1446" s="24" t="n">
        <v>46311.1622916667</v>
      </c>
      <c r="R1446" s="22"/>
      <c r="S1446" s="13" t="s">
        <v>164</v>
      </c>
      <c r="T1446" s="13" t="str">
        <f aca="false">IF(S1446="Oui",IF(R1446=L1446,"Identique","Changé"),"")</f>
        <v/>
      </c>
    </row>
    <row r="1447" customFormat="false" ht="35.05" hidden="false" customHeight="false" outlineLevel="0" collapsed="false">
      <c r="A1447" s="13" t="s">
        <v>5177</v>
      </c>
      <c r="B1447" s="13" t="s">
        <v>5178</v>
      </c>
      <c r="C1447" s="13" t="n">
        <v>1</v>
      </c>
      <c r="D1447" s="13" t="s">
        <v>135</v>
      </c>
      <c r="E1447" s="13" t="s">
        <v>98</v>
      </c>
      <c r="F1447" s="13" t="s">
        <v>5179</v>
      </c>
      <c r="G1447" s="13" t="s">
        <v>151</v>
      </c>
      <c r="H1447" s="13" t="s">
        <v>101</v>
      </c>
      <c r="I1447" s="21" t="s">
        <v>5180</v>
      </c>
      <c r="J1447" s="21" t="s">
        <v>2163</v>
      </c>
      <c r="K1447" s="21" t="s">
        <v>5181</v>
      </c>
      <c r="L1447" s="22" t="s">
        <v>36</v>
      </c>
      <c r="M1447" s="21" t="s">
        <v>105</v>
      </c>
      <c r="N1447" s="13" t="s">
        <v>106</v>
      </c>
      <c r="O1447" s="23" t="n">
        <v>26.95</v>
      </c>
      <c r="P1447" s="13" t="n">
        <v>1</v>
      </c>
      <c r="Q1447" s="24" t="n">
        <v>46311.1627777778</v>
      </c>
      <c r="R1447" s="22"/>
      <c r="S1447" s="13" t="s">
        <v>164</v>
      </c>
      <c r="T1447" s="13" t="str">
        <f aca="false">IF(S1447="Oui",IF(R1447=L1447,"Identique","Changé"),"")</f>
        <v/>
      </c>
    </row>
    <row r="1448" customFormat="false" ht="35.05" hidden="false" customHeight="false" outlineLevel="0" collapsed="false">
      <c r="A1448" s="13" t="s">
        <v>5182</v>
      </c>
      <c r="B1448" s="13" t="s">
        <v>5178</v>
      </c>
      <c r="C1448" s="13" t="n">
        <v>2</v>
      </c>
      <c r="D1448" s="13" t="s">
        <v>135</v>
      </c>
      <c r="E1448" s="13" t="s">
        <v>128</v>
      </c>
      <c r="F1448" s="13" t="s">
        <v>5179</v>
      </c>
      <c r="G1448" s="13" t="s">
        <v>1975</v>
      </c>
      <c r="H1448" s="13" t="s">
        <v>101</v>
      </c>
      <c r="I1448" s="21" t="s">
        <v>5183</v>
      </c>
      <c r="J1448" s="21" t="s">
        <v>284</v>
      </c>
      <c r="K1448" s="21" t="s">
        <v>5184</v>
      </c>
      <c r="L1448" s="22" t="s">
        <v>36</v>
      </c>
      <c r="M1448" s="21" t="s">
        <v>120</v>
      </c>
      <c r="N1448" s="13" t="s">
        <v>106</v>
      </c>
      <c r="O1448" s="23" t="n">
        <v>9.44</v>
      </c>
      <c r="P1448" s="13" t="n">
        <v>1</v>
      </c>
      <c r="Q1448" s="24" t="n">
        <v>46311.1629861111</v>
      </c>
      <c r="R1448" s="22"/>
      <c r="S1448" s="13" t="s">
        <v>164</v>
      </c>
      <c r="T1448" s="13" t="str">
        <f aca="false">IF(S1448="Oui",IF(R1448=L1448,"Identique","Changé"),"")</f>
        <v/>
      </c>
    </row>
    <row r="1449" customFormat="false" ht="46.25" hidden="false" customHeight="false" outlineLevel="0" collapsed="false">
      <c r="A1449" s="13" t="s">
        <v>5185</v>
      </c>
      <c r="B1449" s="13" t="s">
        <v>5178</v>
      </c>
      <c r="C1449" s="13" t="n">
        <v>3</v>
      </c>
      <c r="D1449" s="13" t="s">
        <v>135</v>
      </c>
      <c r="E1449" s="13" t="s">
        <v>122</v>
      </c>
      <c r="F1449" s="13" t="s">
        <v>2966</v>
      </c>
      <c r="G1449" s="13" t="s">
        <v>1744</v>
      </c>
      <c r="H1449" s="13" t="s">
        <v>101</v>
      </c>
      <c r="I1449" s="21" t="s">
        <v>5186</v>
      </c>
      <c r="J1449" s="21" t="s">
        <v>311</v>
      </c>
      <c r="K1449" s="21" t="s">
        <v>5187</v>
      </c>
      <c r="L1449" s="22" t="s">
        <v>36</v>
      </c>
      <c r="M1449" s="21" t="s">
        <v>235</v>
      </c>
      <c r="N1449" s="13" t="s">
        <v>106</v>
      </c>
      <c r="O1449" s="23" t="n">
        <v>17.62</v>
      </c>
      <c r="P1449" s="13" t="n">
        <v>1</v>
      </c>
      <c r="Q1449" s="24" t="n">
        <v>46311.163287037</v>
      </c>
      <c r="R1449" s="22"/>
      <c r="S1449" s="13" t="s">
        <v>164</v>
      </c>
      <c r="T1449" s="13" t="str">
        <f aca="false">IF(S1449="Oui",IF(R1449=L1449,"Identique","Changé"),"")</f>
        <v/>
      </c>
    </row>
    <row r="1450" customFormat="false" ht="35.05" hidden="false" customHeight="false" outlineLevel="0" collapsed="false">
      <c r="A1450" s="13" t="s">
        <v>5188</v>
      </c>
      <c r="B1450" s="13" t="s">
        <v>5178</v>
      </c>
      <c r="C1450" s="13" t="n">
        <v>4</v>
      </c>
      <c r="D1450" s="13" t="s">
        <v>135</v>
      </c>
      <c r="E1450" s="13" t="s">
        <v>570</v>
      </c>
      <c r="F1450" s="13" t="s">
        <v>2966</v>
      </c>
      <c r="G1450" s="13" t="s">
        <v>1859</v>
      </c>
      <c r="H1450" s="13" t="s">
        <v>101</v>
      </c>
      <c r="I1450" s="21" t="s">
        <v>5189</v>
      </c>
      <c r="J1450" s="21" t="s">
        <v>1741</v>
      </c>
      <c r="K1450" s="21" t="s">
        <v>5190</v>
      </c>
      <c r="L1450" s="22" t="s">
        <v>36</v>
      </c>
      <c r="M1450" s="21" t="s">
        <v>235</v>
      </c>
      <c r="N1450" s="13" t="s">
        <v>106</v>
      </c>
      <c r="O1450" s="23" t="n">
        <v>10.11</v>
      </c>
      <c r="P1450" s="13" t="n">
        <v>1</v>
      </c>
      <c r="Q1450" s="24" t="n">
        <v>46311.1635069445</v>
      </c>
      <c r="R1450" s="22"/>
      <c r="S1450" s="13" t="s">
        <v>164</v>
      </c>
      <c r="T1450" s="13" t="str">
        <f aca="false">IF(S1450="Oui",IF(R1450=L1450,"Identique","Changé"),"")</f>
        <v/>
      </c>
    </row>
    <row r="1451" customFormat="false" ht="35.05" hidden="false" customHeight="false" outlineLevel="0" collapsed="false">
      <c r="A1451" s="13" t="s">
        <v>5191</v>
      </c>
      <c r="B1451" s="13" t="s">
        <v>5178</v>
      </c>
      <c r="C1451" s="13" t="n">
        <v>5</v>
      </c>
      <c r="D1451" s="13" t="s">
        <v>135</v>
      </c>
      <c r="E1451" s="13" t="s">
        <v>114</v>
      </c>
      <c r="F1451" s="13" t="s">
        <v>5179</v>
      </c>
      <c r="G1451" s="13" t="s">
        <v>141</v>
      </c>
      <c r="H1451" s="13" t="s">
        <v>101</v>
      </c>
      <c r="I1451" s="21" t="s">
        <v>5192</v>
      </c>
      <c r="J1451" s="21" t="s">
        <v>143</v>
      </c>
      <c r="K1451" s="21" t="s">
        <v>5193</v>
      </c>
      <c r="L1451" s="22" t="s">
        <v>36</v>
      </c>
      <c r="M1451" s="21" t="s">
        <v>120</v>
      </c>
      <c r="N1451" s="13" t="s">
        <v>106</v>
      </c>
      <c r="O1451" s="23" t="n">
        <v>10.44</v>
      </c>
      <c r="P1451" s="13" t="n">
        <v>1</v>
      </c>
      <c r="Q1451" s="24" t="n">
        <v>46311.1637384259</v>
      </c>
      <c r="R1451" s="22"/>
      <c r="S1451" s="13" t="s">
        <v>164</v>
      </c>
      <c r="T1451" s="13" t="str">
        <f aca="false">IF(S1451="Oui",IF(R1451=L1451,"Identique","Changé"),"")</f>
        <v/>
      </c>
    </row>
    <row r="1452" customFormat="false" ht="68.65" hidden="false" customHeight="false" outlineLevel="0" collapsed="false">
      <c r="A1452" s="13" t="s">
        <v>5194</v>
      </c>
      <c r="B1452" s="13" t="s">
        <v>5195</v>
      </c>
      <c r="C1452" s="13" t="n">
        <v>1</v>
      </c>
      <c r="D1452" s="13" t="s">
        <v>97</v>
      </c>
      <c r="E1452" s="13" t="s">
        <v>185</v>
      </c>
      <c r="F1452" s="13" t="s">
        <v>627</v>
      </c>
      <c r="G1452" s="13" t="s">
        <v>186</v>
      </c>
      <c r="H1452" s="13" t="s">
        <v>101</v>
      </c>
      <c r="I1452" s="21" t="s">
        <v>5196</v>
      </c>
      <c r="J1452" s="21" t="s">
        <v>1362</v>
      </c>
      <c r="K1452" s="21" t="s">
        <v>5197</v>
      </c>
      <c r="L1452" s="22" t="s">
        <v>36</v>
      </c>
      <c r="M1452" s="21" t="s">
        <v>120</v>
      </c>
      <c r="N1452" s="13" t="s">
        <v>106</v>
      </c>
      <c r="O1452" s="23" t="n">
        <v>72.91</v>
      </c>
      <c r="P1452" s="13" t="n">
        <v>1</v>
      </c>
      <c r="Q1452" s="24" t="n">
        <v>46311.1647453704</v>
      </c>
      <c r="R1452" s="22"/>
      <c r="S1452" s="13" t="s">
        <v>164</v>
      </c>
      <c r="T1452" s="13" t="str">
        <f aca="false">IF(S1452="Oui",IF(R1452=L1452,"Identique","Changé"),"")</f>
        <v/>
      </c>
    </row>
    <row r="1453" customFormat="false" ht="68.65" hidden="false" customHeight="false" outlineLevel="0" collapsed="false">
      <c r="A1453" s="13" t="s">
        <v>5198</v>
      </c>
      <c r="B1453" s="13" t="s">
        <v>5195</v>
      </c>
      <c r="C1453" s="13" t="n">
        <v>2</v>
      </c>
      <c r="D1453" s="13" t="s">
        <v>97</v>
      </c>
      <c r="E1453" s="13" t="s">
        <v>122</v>
      </c>
      <c r="F1453" s="13" t="s">
        <v>627</v>
      </c>
      <c r="G1453" s="13" t="s">
        <v>1819</v>
      </c>
      <c r="H1453" s="13" t="s">
        <v>101</v>
      </c>
      <c r="I1453" s="21" t="s">
        <v>5199</v>
      </c>
      <c r="J1453" s="21" t="s">
        <v>1741</v>
      </c>
      <c r="K1453" s="21" t="s">
        <v>5200</v>
      </c>
      <c r="L1453" s="22" t="s">
        <v>36</v>
      </c>
      <c r="M1453" s="21" t="s">
        <v>235</v>
      </c>
      <c r="N1453" s="13" t="s">
        <v>106</v>
      </c>
      <c r="O1453" s="23" t="n">
        <v>15.82</v>
      </c>
      <c r="P1453" s="13" t="n">
        <v>1</v>
      </c>
      <c r="Q1453" s="24" t="n">
        <v>46311.1650347222</v>
      </c>
      <c r="R1453" s="22"/>
      <c r="S1453" s="13" t="s">
        <v>164</v>
      </c>
      <c r="T1453" s="13" t="str">
        <f aca="false">IF(S1453="Oui",IF(R1453=L1453,"Identique","Changé"),"")</f>
        <v/>
      </c>
    </row>
    <row r="1454" customFormat="false" ht="35.05" hidden="false" customHeight="false" outlineLevel="0" collapsed="false">
      <c r="A1454" s="13" t="s">
        <v>5201</v>
      </c>
      <c r="B1454" s="13" t="s">
        <v>5195</v>
      </c>
      <c r="C1454" s="13" t="n">
        <v>3</v>
      </c>
      <c r="D1454" s="13" t="s">
        <v>97</v>
      </c>
      <c r="E1454" s="13" t="s">
        <v>128</v>
      </c>
      <c r="F1454" s="13" t="s">
        <v>627</v>
      </c>
      <c r="G1454" s="13" t="s">
        <v>209</v>
      </c>
      <c r="H1454" s="13" t="s">
        <v>101</v>
      </c>
      <c r="I1454" s="21" t="s">
        <v>5202</v>
      </c>
      <c r="J1454" s="21" t="s">
        <v>447</v>
      </c>
      <c r="K1454" s="21" t="s">
        <v>5203</v>
      </c>
      <c r="L1454" s="22" t="s">
        <v>36</v>
      </c>
      <c r="M1454" s="21" t="s">
        <v>120</v>
      </c>
      <c r="N1454" s="13" t="s">
        <v>106</v>
      </c>
      <c r="O1454" s="23" t="n">
        <v>6.23</v>
      </c>
      <c r="P1454" s="13" t="n">
        <v>1</v>
      </c>
      <c r="Q1454" s="24" t="n">
        <v>46311.1652083333</v>
      </c>
      <c r="R1454" s="22"/>
      <c r="S1454" s="13" t="s">
        <v>164</v>
      </c>
      <c r="T1454" s="13" t="str">
        <f aca="false">IF(S1454="Oui",IF(R1454=L1454,"Identique","Changé"),"")</f>
        <v/>
      </c>
    </row>
    <row r="1455" customFormat="false" ht="46.25" hidden="false" customHeight="false" outlineLevel="0" collapsed="false">
      <c r="A1455" s="13" t="s">
        <v>5204</v>
      </c>
      <c r="B1455" s="13" t="s">
        <v>5195</v>
      </c>
      <c r="C1455" s="13" t="n">
        <v>4</v>
      </c>
      <c r="D1455" s="13" t="s">
        <v>97</v>
      </c>
      <c r="E1455" s="13" t="s">
        <v>158</v>
      </c>
      <c r="F1455" s="13" t="s">
        <v>627</v>
      </c>
      <c r="G1455" s="13" t="s">
        <v>1909</v>
      </c>
      <c r="H1455" s="13" t="s">
        <v>101</v>
      </c>
      <c r="I1455" s="21" t="s">
        <v>5205</v>
      </c>
      <c r="J1455" s="21" t="s">
        <v>284</v>
      </c>
      <c r="K1455" s="21" t="s">
        <v>5206</v>
      </c>
      <c r="L1455" s="22" t="s">
        <v>37</v>
      </c>
      <c r="M1455" s="21" t="s">
        <v>163</v>
      </c>
      <c r="N1455" s="13" t="s">
        <v>106</v>
      </c>
      <c r="O1455" s="23" t="n">
        <v>6.96</v>
      </c>
      <c r="P1455" s="13" t="n">
        <v>1</v>
      </c>
      <c r="Q1455" s="24" t="n">
        <v>46311.1653819445</v>
      </c>
      <c r="R1455" s="22"/>
      <c r="S1455" s="13" t="s">
        <v>164</v>
      </c>
      <c r="T1455" s="13" t="str">
        <f aca="false">IF(S1455="Oui",IF(R1455=L1455,"Identique","Changé"),"")</f>
        <v/>
      </c>
    </row>
    <row r="1456" customFormat="false" ht="46.25" hidden="false" customHeight="false" outlineLevel="0" collapsed="false">
      <c r="A1456" s="13" t="s">
        <v>5207</v>
      </c>
      <c r="B1456" s="13" t="s">
        <v>5195</v>
      </c>
      <c r="C1456" s="13" t="n">
        <v>5</v>
      </c>
      <c r="D1456" s="13" t="s">
        <v>97</v>
      </c>
      <c r="E1456" s="13" t="s">
        <v>114</v>
      </c>
      <c r="F1456" s="13" t="s">
        <v>627</v>
      </c>
      <c r="G1456" s="13" t="s">
        <v>2085</v>
      </c>
      <c r="H1456" s="13" t="s">
        <v>101</v>
      </c>
      <c r="I1456" s="21" t="s">
        <v>5208</v>
      </c>
      <c r="J1456" s="21" t="s">
        <v>512</v>
      </c>
      <c r="K1456" s="21" t="s">
        <v>5209</v>
      </c>
      <c r="L1456" s="22" t="s">
        <v>38</v>
      </c>
      <c r="M1456" s="21" t="s">
        <v>5210</v>
      </c>
      <c r="N1456" s="13" t="s">
        <v>1085</v>
      </c>
      <c r="O1456" s="23" t="n">
        <v>7.47</v>
      </c>
      <c r="P1456" s="13" t="n">
        <v>1</v>
      </c>
      <c r="Q1456" s="24" t="n">
        <v>46311.1655787037</v>
      </c>
      <c r="R1456" s="22"/>
      <c r="S1456" s="13" t="s">
        <v>164</v>
      </c>
      <c r="T1456" s="13" t="str">
        <f aca="false">IF(S1456="Oui",IF(R1456=L1456,"Identique","Changé"),"")</f>
        <v/>
      </c>
    </row>
    <row r="1457" customFormat="false" ht="79.85" hidden="false" customHeight="false" outlineLevel="0" collapsed="false">
      <c r="A1457" s="13" t="s">
        <v>5211</v>
      </c>
      <c r="B1457" s="13" t="s">
        <v>5212</v>
      </c>
      <c r="C1457" s="13" t="n">
        <v>1</v>
      </c>
      <c r="D1457" s="13" t="s">
        <v>135</v>
      </c>
      <c r="E1457" s="13" t="s">
        <v>171</v>
      </c>
      <c r="F1457" s="13" t="s">
        <v>5213</v>
      </c>
      <c r="G1457" s="13" t="s">
        <v>519</v>
      </c>
      <c r="H1457" s="13" t="s">
        <v>101</v>
      </c>
      <c r="I1457" s="21" t="s">
        <v>5214</v>
      </c>
      <c r="J1457" s="21" t="s">
        <v>284</v>
      </c>
      <c r="K1457" s="21" t="s">
        <v>5215</v>
      </c>
      <c r="L1457" s="22" t="s">
        <v>37</v>
      </c>
      <c r="M1457" s="21" t="s">
        <v>163</v>
      </c>
      <c r="N1457" s="13" t="s">
        <v>106</v>
      </c>
      <c r="O1457" s="23" t="n">
        <v>33.7</v>
      </c>
      <c r="P1457" s="13" t="n">
        <v>1</v>
      </c>
      <c r="Q1457" s="24" t="n">
        <v>46311.1661574074</v>
      </c>
      <c r="R1457" s="22"/>
      <c r="S1457" s="13" t="s">
        <v>164</v>
      </c>
      <c r="T1457" s="13" t="str">
        <f aca="false">IF(S1457="Oui",IF(R1457=L1457,"Identique","Changé"),"")</f>
        <v/>
      </c>
    </row>
    <row r="1458" customFormat="false" ht="57.45" hidden="false" customHeight="false" outlineLevel="0" collapsed="false">
      <c r="A1458" s="13" t="s">
        <v>5216</v>
      </c>
      <c r="B1458" s="13" t="s">
        <v>5212</v>
      </c>
      <c r="C1458" s="13" t="n">
        <v>2</v>
      </c>
      <c r="D1458" s="13" t="s">
        <v>135</v>
      </c>
      <c r="E1458" s="13" t="s">
        <v>122</v>
      </c>
      <c r="F1458" s="13" t="s">
        <v>5213</v>
      </c>
      <c r="G1458" s="13" t="s">
        <v>1395</v>
      </c>
      <c r="H1458" s="13" t="s">
        <v>101</v>
      </c>
      <c r="I1458" s="21" t="s">
        <v>5217</v>
      </c>
      <c r="J1458" s="21" t="s">
        <v>512</v>
      </c>
      <c r="K1458" s="21" t="s">
        <v>5218</v>
      </c>
      <c r="L1458" s="22" t="s">
        <v>36</v>
      </c>
      <c r="M1458" s="21" t="s">
        <v>1398</v>
      </c>
      <c r="N1458" s="13" t="s">
        <v>1085</v>
      </c>
      <c r="O1458" s="23" t="n">
        <v>10.06</v>
      </c>
      <c r="P1458" s="13" t="n">
        <v>1</v>
      </c>
      <c r="Q1458" s="24" t="n">
        <v>46311.1663773148</v>
      </c>
      <c r="R1458" s="22"/>
      <c r="S1458" s="13" t="s">
        <v>164</v>
      </c>
      <c r="T1458" s="13" t="str">
        <f aca="false">IF(S1458="Oui",IF(R1458=L1458,"Identique","Changé"),"")</f>
        <v/>
      </c>
    </row>
    <row r="1459" customFormat="false" ht="68.65" hidden="false" customHeight="false" outlineLevel="0" collapsed="false">
      <c r="A1459" s="13" t="s">
        <v>5219</v>
      </c>
      <c r="B1459" s="13" t="s">
        <v>5212</v>
      </c>
      <c r="C1459" s="13" t="n">
        <v>3</v>
      </c>
      <c r="D1459" s="13" t="s">
        <v>135</v>
      </c>
      <c r="E1459" s="13" t="s">
        <v>570</v>
      </c>
      <c r="F1459" s="13" t="s">
        <v>3002</v>
      </c>
      <c r="G1459" s="13" t="s">
        <v>1980</v>
      </c>
      <c r="H1459" s="13" t="s">
        <v>152</v>
      </c>
      <c r="I1459" s="21" t="s">
        <v>5220</v>
      </c>
      <c r="J1459" s="21" t="s">
        <v>154</v>
      </c>
      <c r="K1459" s="21" t="s">
        <v>5221</v>
      </c>
      <c r="L1459" s="22" t="s">
        <v>40</v>
      </c>
      <c r="M1459" s="21" t="s">
        <v>156</v>
      </c>
      <c r="N1459" s="13" t="s">
        <v>106</v>
      </c>
      <c r="O1459" s="23" t="n">
        <v>14</v>
      </c>
      <c r="P1459" s="13" t="n">
        <v>1</v>
      </c>
      <c r="Q1459" s="24" t="n">
        <v>46311.1666435185</v>
      </c>
      <c r="R1459" s="22"/>
      <c r="S1459" s="13" t="s">
        <v>164</v>
      </c>
      <c r="T1459" s="13" t="str">
        <f aca="false">IF(S1459="Oui",IF(R1459=L1459,"Identique","Changé"),"")</f>
        <v/>
      </c>
    </row>
    <row r="1460" customFormat="false" ht="68.65" hidden="false" customHeight="false" outlineLevel="0" collapsed="false">
      <c r="A1460" s="13" t="s">
        <v>5222</v>
      </c>
      <c r="B1460" s="13" t="s">
        <v>5212</v>
      </c>
      <c r="C1460" s="13" t="n">
        <v>4</v>
      </c>
      <c r="D1460" s="13" t="s">
        <v>135</v>
      </c>
      <c r="E1460" s="13" t="s">
        <v>122</v>
      </c>
      <c r="F1460" s="13" t="s">
        <v>3002</v>
      </c>
      <c r="G1460" s="13" t="s">
        <v>1833</v>
      </c>
      <c r="H1460" s="13" t="s">
        <v>101</v>
      </c>
      <c r="I1460" s="21" t="s">
        <v>5223</v>
      </c>
      <c r="J1460" s="21" t="s">
        <v>1741</v>
      </c>
      <c r="K1460" s="21" t="s">
        <v>5224</v>
      </c>
      <c r="L1460" s="22" t="s">
        <v>36</v>
      </c>
      <c r="M1460" s="21" t="s">
        <v>235</v>
      </c>
      <c r="N1460" s="13" t="s">
        <v>106</v>
      </c>
      <c r="O1460" s="23" t="n">
        <v>12.31</v>
      </c>
      <c r="P1460" s="13" t="n">
        <v>1</v>
      </c>
      <c r="Q1460" s="24" t="n">
        <v>46311.1668981482</v>
      </c>
      <c r="R1460" s="22"/>
      <c r="S1460" s="13" t="s">
        <v>164</v>
      </c>
      <c r="T1460" s="13" t="str">
        <f aca="false">IF(S1460="Oui",IF(R1460=L1460,"Identique","Changé"),"")</f>
        <v/>
      </c>
    </row>
    <row r="1461" customFormat="false" ht="46.25" hidden="false" customHeight="false" outlineLevel="0" collapsed="false">
      <c r="A1461" s="13" t="s">
        <v>5225</v>
      </c>
      <c r="B1461" s="13" t="s">
        <v>5212</v>
      </c>
      <c r="C1461" s="13" t="n">
        <v>5</v>
      </c>
      <c r="D1461" s="13" t="s">
        <v>135</v>
      </c>
      <c r="E1461" s="13" t="s">
        <v>570</v>
      </c>
      <c r="F1461" s="13" t="s">
        <v>5213</v>
      </c>
      <c r="G1461" s="13" t="s">
        <v>1794</v>
      </c>
      <c r="H1461" s="13" t="s">
        <v>101</v>
      </c>
      <c r="I1461" s="21" t="s">
        <v>5226</v>
      </c>
      <c r="J1461" s="21" t="s">
        <v>5227</v>
      </c>
      <c r="K1461" s="21" t="s">
        <v>5228</v>
      </c>
      <c r="L1461" s="22" t="s">
        <v>38</v>
      </c>
      <c r="M1461" s="21" t="s">
        <v>1822</v>
      </c>
      <c r="N1461" s="13" t="s">
        <v>106</v>
      </c>
      <c r="O1461" s="23" t="n">
        <v>11.71</v>
      </c>
      <c r="P1461" s="13" t="n">
        <v>1</v>
      </c>
      <c r="Q1461" s="24" t="n">
        <v>46311.1671412037</v>
      </c>
      <c r="R1461" s="22"/>
      <c r="S1461" s="13" t="s">
        <v>164</v>
      </c>
      <c r="T1461" s="13" t="str">
        <f aca="false">IF(S1461="Oui",IF(R1461=L1461,"Identique","Changé"),"")</f>
        <v/>
      </c>
    </row>
    <row r="1462" customFormat="false" ht="370.85" hidden="false" customHeight="false" outlineLevel="0" collapsed="false">
      <c r="A1462" s="13" t="s">
        <v>5229</v>
      </c>
      <c r="B1462" s="13" t="s">
        <v>5230</v>
      </c>
      <c r="C1462" s="13" t="n">
        <v>1</v>
      </c>
      <c r="D1462" s="13" t="s">
        <v>97</v>
      </c>
      <c r="E1462" s="13" t="s">
        <v>1730</v>
      </c>
      <c r="F1462" s="13" t="s">
        <v>99</v>
      </c>
      <c r="G1462" s="13" t="s">
        <v>2003</v>
      </c>
      <c r="H1462" s="13" t="s">
        <v>101</v>
      </c>
      <c r="I1462" s="21" t="s">
        <v>5231</v>
      </c>
      <c r="J1462" s="21" t="s">
        <v>5232</v>
      </c>
      <c r="K1462" s="21" t="s">
        <v>5233</v>
      </c>
      <c r="L1462" s="22" t="s">
        <v>36</v>
      </c>
      <c r="M1462" s="21" t="s">
        <v>120</v>
      </c>
      <c r="N1462" s="13" t="s">
        <v>106</v>
      </c>
      <c r="O1462" s="23" t="n">
        <v>27.02</v>
      </c>
      <c r="P1462" s="13" t="n">
        <v>1</v>
      </c>
      <c r="Q1462" s="24" t="n">
        <v>46311.1676273148</v>
      </c>
      <c r="R1462" s="22"/>
      <c r="S1462" s="13" t="s">
        <v>164</v>
      </c>
      <c r="T1462" s="13" t="str">
        <f aca="false">IF(S1462="Oui",IF(R1462=L1462,"Identique","Changé"),"")</f>
        <v/>
      </c>
    </row>
    <row r="1463" customFormat="false" ht="370.85" hidden="false" customHeight="false" outlineLevel="0" collapsed="false">
      <c r="A1463" s="13" t="s">
        <v>5234</v>
      </c>
      <c r="B1463" s="13" t="s">
        <v>5230</v>
      </c>
      <c r="C1463" s="13" t="n">
        <v>2</v>
      </c>
      <c r="D1463" s="13" t="s">
        <v>97</v>
      </c>
      <c r="E1463" s="13" t="s">
        <v>1730</v>
      </c>
      <c r="F1463" s="13" t="s">
        <v>99</v>
      </c>
      <c r="G1463" s="13" t="s">
        <v>1753</v>
      </c>
      <c r="H1463" s="13" t="s">
        <v>101</v>
      </c>
      <c r="I1463" s="21" t="s">
        <v>5235</v>
      </c>
      <c r="J1463" s="21" t="s">
        <v>5232</v>
      </c>
      <c r="K1463" s="21" t="s">
        <v>5236</v>
      </c>
      <c r="L1463" s="22" t="s">
        <v>36</v>
      </c>
      <c r="M1463" s="21" t="s">
        <v>120</v>
      </c>
      <c r="N1463" s="13" t="s">
        <v>106</v>
      </c>
      <c r="O1463" s="23" t="n">
        <v>12.57</v>
      </c>
      <c r="P1463" s="13" t="n">
        <v>1</v>
      </c>
      <c r="Q1463" s="24" t="n">
        <v>46311.1678703704</v>
      </c>
      <c r="R1463" s="22"/>
      <c r="S1463" s="13" t="s">
        <v>164</v>
      </c>
      <c r="T1463" s="13" t="str">
        <f aca="false">IF(S1463="Oui",IF(R1463=L1463,"Identique","Changé"),"")</f>
        <v/>
      </c>
    </row>
    <row r="1464" customFormat="false" ht="91" hidden="false" customHeight="false" outlineLevel="0" collapsed="false">
      <c r="A1464" s="13" t="s">
        <v>5237</v>
      </c>
      <c r="B1464" s="13" t="s">
        <v>5230</v>
      </c>
      <c r="C1464" s="13" t="n">
        <v>3</v>
      </c>
      <c r="D1464" s="13" t="s">
        <v>97</v>
      </c>
      <c r="E1464" s="13" t="s">
        <v>158</v>
      </c>
      <c r="F1464" s="13" t="s">
        <v>99</v>
      </c>
      <c r="G1464" s="13" t="s">
        <v>1913</v>
      </c>
      <c r="H1464" s="13" t="s">
        <v>101</v>
      </c>
      <c r="I1464" s="21" t="s">
        <v>5238</v>
      </c>
      <c r="J1464" s="21" t="s">
        <v>284</v>
      </c>
      <c r="K1464" s="21" t="s">
        <v>5239</v>
      </c>
      <c r="L1464" s="22" t="s">
        <v>37</v>
      </c>
      <c r="M1464" s="21" t="s">
        <v>5240</v>
      </c>
      <c r="N1464" s="13" t="s">
        <v>1085</v>
      </c>
      <c r="O1464" s="23" t="n">
        <v>10.91</v>
      </c>
      <c r="P1464" s="13" t="n">
        <v>1</v>
      </c>
      <c r="Q1464" s="24" t="n">
        <v>46311.1681018519</v>
      </c>
      <c r="R1464" s="22"/>
      <c r="S1464" s="13" t="s">
        <v>164</v>
      </c>
      <c r="T1464" s="13" t="str">
        <f aca="false">IF(S1464="Oui",IF(R1464=L1464,"Identique","Changé"),"")</f>
        <v/>
      </c>
    </row>
    <row r="1465" customFormat="false" ht="46.25" hidden="false" customHeight="false" outlineLevel="0" collapsed="false">
      <c r="A1465" s="13" t="s">
        <v>5241</v>
      </c>
      <c r="B1465" s="13" t="s">
        <v>5230</v>
      </c>
      <c r="C1465" s="13" t="n">
        <v>4</v>
      </c>
      <c r="D1465" s="13" t="s">
        <v>97</v>
      </c>
      <c r="E1465" s="13" t="s">
        <v>114</v>
      </c>
      <c r="F1465" s="13" t="s">
        <v>99</v>
      </c>
      <c r="G1465" s="13" t="s">
        <v>141</v>
      </c>
      <c r="H1465" s="13" t="s">
        <v>101</v>
      </c>
      <c r="I1465" s="21" t="s">
        <v>5242</v>
      </c>
      <c r="J1465" s="21" t="s">
        <v>143</v>
      </c>
      <c r="K1465" s="21" t="s">
        <v>5243</v>
      </c>
      <c r="L1465" s="22" t="s">
        <v>36</v>
      </c>
      <c r="M1465" s="21" t="s">
        <v>120</v>
      </c>
      <c r="N1465" s="13" t="s">
        <v>106</v>
      </c>
      <c r="O1465" s="23" t="n">
        <v>12.47</v>
      </c>
      <c r="P1465" s="13" t="n">
        <v>1</v>
      </c>
      <c r="Q1465" s="24" t="n">
        <v>46311.1683564815</v>
      </c>
      <c r="R1465" s="22"/>
      <c r="S1465" s="13" t="s">
        <v>164</v>
      </c>
      <c r="T1465" s="13" t="str">
        <f aca="false">IF(S1465="Oui",IF(R1465=L1465,"Identique","Changé"),"")</f>
        <v/>
      </c>
    </row>
    <row r="1466" customFormat="false" ht="35.05" hidden="false" customHeight="false" outlineLevel="0" collapsed="false">
      <c r="A1466" s="13" t="s">
        <v>5244</v>
      </c>
      <c r="B1466" s="13" t="s">
        <v>5230</v>
      </c>
      <c r="C1466" s="13" t="n">
        <v>5</v>
      </c>
      <c r="D1466" s="13" t="s">
        <v>97</v>
      </c>
      <c r="E1466" s="13" t="s">
        <v>158</v>
      </c>
      <c r="F1466" s="13" t="s">
        <v>99</v>
      </c>
      <c r="G1466" s="13" t="s">
        <v>1918</v>
      </c>
      <c r="H1466" s="13" t="s">
        <v>101</v>
      </c>
      <c r="I1466" s="21" t="s">
        <v>5245</v>
      </c>
      <c r="J1466" s="21" t="s">
        <v>512</v>
      </c>
      <c r="K1466" s="21" t="s">
        <v>5246</v>
      </c>
      <c r="L1466" s="22" t="s">
        <v>36</v>
      </c>
      <c r="M1466" s="21" t="s">
        <v>120</v>
      </c>
      <c r="N1466" s="13" t="s">
        <v>106</v>
      </c>
      <c r="O1466" s="23" t="n">
        <v>8.85</v>
      </c>
      <c r="P1466" s="13" t="n">
        <v>1</v>
      </c>
      <c r="Q1466" s="24" t="n">
        <v>46311.1685648148</v>
      </c>
      <c r="R1466" s="22"/>
      <c r="S1466" s="13" t="s">
        <v>164</v>
      </c>
      <c r="T1466" s="13" t="str">
        <f aca="false">IF(S1466="Oui",IF(R1466=L1466,"Identique","Changé"),"")</f>
        <v/>
      </c>
    </row>
    <row r="1467" customFormat="false" ht="35.05" hidden="false" customHeight="false" outlineLevel="0" collapsed="false">
      <c r="A1467" s="13" t="s">
        <v>5247</v>
      </c>
      <c r="B1467" s="13" t="s">
        <v>5248</v>
      </c>
      <c r="C1467" s="13" t="n">
        <v>1</v>
      </c>
      <c r="D1467" s="13" t="s">
        <v>135</v>
      </c>
      <c r="E1467" s="13" t="s">
        <v>260</v>
      </c>
      <c r="F1467" s="13" t="s">
        <v>3973</v>
      </c>
      <c r="G1467" s="13" t="s">
        <v>2019</v>
      </c>
      <c r="H1467" s="13" t="s">
        <v>101</v>
      </c>
      <c r="I1467" s="21" t="s">
        <v>5249</v>
      </c>
      <c r="J1467" s="21" t="s">
        <v>512</v>
      </c>
      <c r="K1467" s="21" t="s">
        <v>5250</v>
      </c>
      <c r="L1467" s="22" t="s">
        <v>36</v>
      </c>
      <c r="M1467" s="21" t="s">
        <v>120</v>
      </c>
      <c r="N1467" s="13" t="s">
        <v>106</v>
      </c>
      <c r="O1467" s="23" t="n">
        <v>25.07</v>
      </c>
      <c r="P1467" s="13" t="n">
        <v>2</v>
      </c>
      <c r="Q1467" s="24" t="n">
        <v>46311.1736458333</v>
      </c>
      <c r="R1467" s="22"/>
      <c r="S1467" s="13" t="s">
        <v>164</v>
      </c>
      <c r="T1467" s="13" t="str">
        <f aca="false">IF(S1467="Oui",IF(R1467=L1467,"Identique","Changé"),"")</f>
        <v/>
      </c>
    </row>
    <row r="1468" customFormat="false" ht="35.05" hidden="false" customHeight="false" outlineLevel="0" collapsed="false">
      <c r="A1468" s="13" t="s">
        <v>5251</v>
      </c>
      <c r="B1468" s="13" t="s">
        <v>5248</v>
      </c>
      <c r="C1468" s="13" t="n">
        <v>2</v>
      </c>
      <c r="D1468" s="13" t="s">
        <v>135</v>
      </c>
      <c r="E1468" s="13" t="s">
        <v>260</v>
      </c>
      <c r="F1468" s="13" t="s">
        <v>3973</v>
      </c>
      <c r="G1468" s="13" t="s">
        <v>2047</v>
      </c>
      <c r="H1468" s="13" t="s">
        <v>101</v>
      </c>
      <c r="I1468" s="21" t="s">
        <v>5252</v>
      </c>
      <c r="J1468" s="21" t="s">
        <v>512</v>
      </c>
      <c r="K1468" s="21" t="s">
        <v>5253</v>
      </c>
      <c r="L1468" s="22" t="s">
        <v>36</v>
      </c>
      <c r="M1468" s="21" t="s">
        <v>120</v>
      </c>
      <c r="N1468" s="13" t="s">
        <v>106</v>
      </c>
      <c r="O1468" s="23" t="n">
        <v>9.22</v>
      </c>
      <c r="P1468" s="13" t="n">
        <v>2</v>
      </c>
      <c r="Q1468" s="24" t="n">
        <v>46311.1738541667</v>
      </c>
      <c r="R1468" s="22"/>
      <c r="S1468" s="13" t="s">
        <v>164</v>
      </c>
      <c r="T1468" s="13" t="str">
        <f aca="false">IF(S1468="Oui",IF(R1468=L1468,"Identique","Changé"),"")</f>
        <v/>
      </c>
    </row>
    <row r="1469" customFormat="false" ht="68.65" hidden="false" customHeight="false" outlineLevel="0" collapsed="false">
      <c r="A1469" s="13" t="s">
        <v>5254</v>
      </c>
      <c r="B1469" s="13" t="s">
        <v>5248</v>
      </c>
      <c r="C1469" s="13" t="n">
        <v>3</v>
      </c>
      <c r="D1469" s="13" t="s">
        <v>135</v>
      </c>
      <c r="E1469" s="13" t="s">
        <v>122</v>
      </c>
      <c r="F1469" s="13" t="s">
        <v>3039</v>
      </c>
      <c r="G1469" s="13" t="s">
        <v>282</v>
      </c>
      <c r="H1469" s="13" t="s">
        <v>101</v>
      </c>
      <c r="I1469" s="21" t="s">
        <v>5255</v>
      </c>
      <c r="J1469" s="21" t="s">
        <v>512</v>
      </c>
      <c r="K1469" s="21" t="s">
        <v>5256</v>
      </c>
      <c r="L1469" s="22" t="s">
        <v>36</v>
      </c>
      <c r="M1469" s="21" t="s">
        <v>120</v>
      </c>
      <c r="N1469" s="13" t="s">
        <v>106</v>
      </c>
      <c r="O1469" s="23" t="n">
        <v>12.66</v>
      </c>
      <c r="P1469" s="13" t="n">
        <v>2</v>
      </c>
      <c r="Q1469" s="24" t="n">
        <v>46311.1741087963</v>
      </c>
      <c r="R1469" s="22"/>
      <c r="S1469" s="13" t="s">
        <v>164</v>
      </c>
      <c r="T1469" s="13" t="str">
        <f aca="false">IF(S1469="Oui",IF(R1469=L1469,"Identique","Changé"),"")</f>
        <v/>
      </c>
    </row>
    <row r="1470" customFormat="false" ht="46.25" hidden="false" customHeight="false" outlineLevel="0" collapsed="false">
      <c r="A1470" s="13" t="s">
        <v>5257</v>
      </c>
      <c r="B1470" s="13" t="s">
        <v>5248</v>
      </c>
      <c r="C1470" s="13" t="n">
        <v>4</v>
      </c>
      <c r="D1470" s="13" t="s">
        <v>135</v>
      </c>
      <c r="E1470" s="13" t="s">
        <v>570</v>
      </c>
      <c r="F1470" s="13" t="s">
        <v>3039</v>
      </c>
      <c r="G1470" s="13" t="s">
        <v>1883</v>
      </c>
      <c r="H1470" s="13" t="s">
        <v>152</v>
      </c>
      <c r="I1470" s="21" t="s">
        <v>5258</v>
      </c>
      <c r="J1470" s="21" t="s">
        <v>154</v>
      </c>
      <c r="K1470" s="21" t="s">
        <v>5259</v>
      </c>
      <c r="L1470" s="22" t="s">
        <v>40</v>
      </c>
      <c r="M1470" s="21" t="s">
        <v>156</v>
      </c>
      <c r="N1470" s="13" t="s">
        <v>106</v>
      </c>
      <c r="O1470" s="23" t="n">
        <v>10.35</v>
      </c>
      <c r="P1470" s="13" t="n">
        <v>2</v>
      </c>
      <c r="Q1470" s="24" t="n">
        <v>46311.1743287037</v>
      </c>
      <c r="R1470" s="22"/>
      <c r="S1470" s="13" t="s">
        <v>164</v>
      </c>
      <c r="T1470" s="13" t="str">
        <f aca="false">IF(S1470="Oui",IF(R1470=L1470,"Identique","Changé"),"")</f>
        <v/>
      </c>
    </row>
    <row r="1471" customFormat="false" ht="91" hidden="false" customHeight="false" outlineLevel="0" collapsed="false">
      <c r="A1471" s="13" t="s">
        <v>5260</v>
      </c>
      <c r="B1471" s="13" t="s">
        <v>5248</v>
      </c>
      <c r="C1471" s="13" t="n">
        <v>5</v>
      </c>
      <c r="D1471" s="13" t="s">
        <v>135</v>
      </c>
      <c r="E1471" s="13" t="s">
        <v>1730</v>
      </c>
      <c r="F1471" s="13" t="s">
        <v>3973</v>
      </c>
      <c r="G1471" s="13" t="s">
        <v>2142</v>
      </c>
      <c r="H1471" s="13" t="s">
        <v>101</v>
      </c>
      <c r="I1471" s="21" t="s">
        <v>5261</v>
      </c>
      <c r="J1471" s="21" t="s">
        <v>5262</v>
      </c>
      <c r="K1471" s="21" t="s">
        <v>5263</v>
      </c>
      <c r="L1471" s="22" t="s">
        <v>36</v>
      </c>
      <c r="M1471" s="21" t="s">
        <v>120</v>
      </c>
      <c r="N1471" s="13" t="s">
        <v>106</v>
      </c>
      <c r="O1471" s="23" t="n">
        <v>11.16</v>
      </c>
      <c r="P1471" s="13" t="n">
        <v>2</v>
      </c>
      <c r="Q1471" s="24" t="n">
        <v>46311.1745601852</v>
      </c>
      <c r="R1471" s="22"/>
      <c r="S1471" s="13" t="s">
        <v>164</v>
      </c>
      <c r="T1471" s="13" t="str">
        <f aca="false">IF(S1471="Oui",IF(R1471=L1471,"Identique","Changé"),"")</f>
        <v/>
      </c>
    </row>
    <row r="1472" customFormat="false" ht="35.05" hidden="false" customHeight="false" outlineLevel="0" collapsed="false">
      <c r="A1472" s="13" t="s">
        <v>5264</v>
      </c>
      <c r="B1472" s="13" t="s">
        <v>5265</v>
      </c>
      <c r="C1472" s="13" t="n">
        <v>1</v>
      </c>
      <c r="D1472" s="13" t="s">
        <v>97</v>
      </c>
      <c r="E1472" s="13" t="s">
        <v>114</v>
      </c>
      <c r="F1472" s="13" t="s">
        <v>332</v>
      </c>
      <c r="G1472" s="13" t="s">
        <v>146</v>
      </c>
      <c r="H1472" s="13" t="s">
        <v>101</v>
      </c>
      <c r="I1472" s="21" t="s">
        <v>5266</v>
      </c>
      <c r="J1472" s="21" t="s">
        <v>148</v>
      </c>
      <c r="K1472" s="21" t="s">
        <v>5267</v>
      </c>
      <c r="L1472" s="22" t="s">
        <v>36</v>
      </c>
      <c r="M1472" s="21" t="s">
        <v>120</v>
      </c>
      <c r="N1472" s="13" t="s">
        <v>106</v>
      </c>
      <c r="O1472" s="23" t="n">
        <v>31.63</v>
      </c>
      <c r="P1472" s="13" t="n">
        <v>1</v>
      </c>
      <c r="Q1472" s="24" t="n">
        <v>46311.1751157407</v>
      </c>
      <c r="R1472" s="22"/>
      <c r="S1472" s="13" t="s">
        <v>164</v>
      </c>
      <c r="T1472" s="13" t="str">
        <f aca="false">IF(S1472="Oui",IF(R1472=L1472,"Identique","Changé"),"")</f>
        <v/>
      </c>
    </row>
    <row r="1473" customFormat="false" ht="113.4" hidden="false" customHeight="false" outlineLevel="0" collapsed="false">
      <c r="A1473" s="13" t="s">
        <v>5268</v>
      </c>
      <c r="B1473" s="13" t="s">
        <v>5265</v>
      </c>
      <c r="C1473" s="13" t="n">
        <v>2</v>
      </c>
      <c r="D1473" s="13" t="s">
        <v>97</v>
      </c>
      <c r="E1473" s="13" t="s">
        <v>1730</v>
      </c>
      <c r="F1473" s="13" t="s">
        <v>332</v>
      </c>
      <c r="G1473" s="13" t="s">
        <v>1732</v>
      </c>
      <c r="H1473" s="13" t="s">
        <v>101</v>
      </c>
      <c r="I1473" s="21" t="s">
        <v>5269</v>
      </c>
      <c r="J1473" s="21" t="s">
        <v>5270</v>
      </c>
      <c r="K1473" s="21" t="s">
        <v>5271</v>
      </c>
      <c r="L1473" s="22" t="s">
        <v>36</v>
      </c>
      <c r="M1473" s="21" t="s">
        <v>120</v>
      </c>
      <c r="N1473" s="13" t="s">
        <v>106</v>
      </c>
      <c r="O1473" s="23" t="n">
        <v>10.89</v>
      </c>
      <c r="P1473" s="13" t="n">
        <v>1</v>
      </c>
      <c r="Q1473" s="24" t="n">
        <v>46311.1753356482</v>
      </c>
      <c r="R1473" s="22"/>
      <c r="S1473" s="13" t="s">
        <v>164</v>
      </c>
      <c r="T1473" s="13" t="str">
        <f aca="false">IF(S1473="Oui",IF(R1473=L1473,"Identique","Changé"),"")</f>
        <v/>
      </c>
    </row>
    <row r="1474" customFormat="false" ht="46.25" hidden="false" customHeight="false" outlineLevel="0" collapsed="false">
      <c r="A1474" s="13" t="s">
        <v>5272</v>
      </c>
      <c r="B1474" s="13" t="s">
        <v>5265</v>
      </c>
      <c r="C1474" s="13" t="n">
        <v>3</v>
      </c>
      <c r="D1474" s="13" t="s">
        <v>97</v>
      </c>
      <c r="E1474" s="13" t="s">
        <v>128</v>
      </c>
      <c r="F1474" s="13" t="s">
        <v>999</v>
      </c>
      <c r="G1474" s="13" t="s">
        <v>968</v>
      </c>
      <c r="H1474" s="13" t="s">
        <v>101</v>
      </c>
      <c r="I1474" s="21" t="s">
        <v>5273</v>
      </c>
      <c r="J1474" s="21" t="s">
        <v>355</v>
      </c>
      <c r="K1474" s="21" t="s">
        <v>5274</v>
      </c>
      <c r="L1474" s="22" t="s">
        <v>36</v>
      </c>
      <c r="M1474" s="21" t="s">
        <v>120</v>
      </c>
      <c r="N1474" s="13" t="s">
        <v>106</v>
      </c>
      <c r="O1474" s="23" t="n">
        <v>12.49</v>
      </c>
      <c r="P1474" s="13" t="n">
        <v>1</v>
      </c>
      <c r="Q1474" s="24" t="n">
        <v>46311.1755902778</v>
      </c>
      <c r="R1474" s="22"/>
      <c r="S1474" s="13" t="s">
        <v>164</v>
      </c>
      <c r="T1474" s="13" t="str">
        <f aca="false">IF(S1474="Oui",IF(R1474=L1474,"Identique","Changé"),"")</f>
        <v/>
      </c>
    </row>
    <row r="1475" customFormat="false" ht="35.05" hidden="false" customHeight="false" outlineLevel="0" collapsed="false">
      <c r="A1475" s="13" t="s">
        <v>5275</v>
      </c>
      <c r="B1475" s="13" t="s">
        <v>5265</v>
      </c>
      <c r="C1475" s="13" t="n">
        <v>4</v>
      </c>
      <c r="D1475" s="13" t="s">
        <v>97</v>
      </c>
      <c r="E1475" s="13" t="s">
        <v>401</v>
      </c>
      <c r="F1475" s="13" t="s">
        <v>999</v>
      </c>
      <c r="G1475" s="13" t="s">
        <v>419</v>
      </c>
      <c r="H1475" s="13" t="s">
        <v>101</v>
      </c>
      <c r="I1475" s="21" t="s">
        <v>5276</v>
      </c>
      <c r="J1475" s="21" t="s">
        <v>5277</v>
      </c>
      <c r="K1475" s="21" t="s">
        <v>5278</v>
      </c>
      <c r="L1475" s="22" t="s">
        <v>36</v>
      </c>
      <c r="M1475" s="21" t="s">
        <v>406</v>
      </c>
      <c r="N1475" s="13" t="s">
        <v>106</v>
      </c>
      <c r="O1475" s="23" t="n">
        <v>11.02</v>
      </c>
      <c r="P1475" s="13" t="n">
        <v>1</v>
      </c>
      <c r="Q1475" s="24" t="n">
        <v>46311.1758101852</v>
      </c>
      <c r="R1475" s="22"/>
      <c r="S1475" s="13" t="s">
        <v>164</v>
      </c>
      <c r="T1475" s="13" t="str">
        <f aca="false">IF(S1475="Oui",IF(R1475=L1475,"Identique","Changé"),"")</f>
        <v/>
      </c>
    </row>
    <row r="1476" customFormat="false" ht="57.45" hidden="false" customHeight="false" outlineLevel="0" collapsed="false">
      <c r="A1476" s="13" t="s">
        <v>5279</v>
      </c>
      <c r="B1476" s="13" t="s">
        <v>5265</v>
      </c>
      <c r="C1476" s="13" t="n">
        <v>5</v>
      </c>
      <c r="D1476" s="13" t="s">
        <v>97</v>
      </c>
      <c r="E1476" s="13" t="s">
        <v>171</v>
      </c>
      <c r="F1476" s="13" t="s">
        <v>332</v>
      </c>
      <c r="G1476" s="13" t="s">
        <v>2263</v>
      </c>
      <c r="H1476" s="13" t="s">
        <v>101</v>
      </c>
      <c r="I1476" s="21" t="s">
        <v>5280</v>
      </c>
      <c r="J1476" s="21" t="s">
        <v>2302</v>
      </c>
      <c r="K1476" s="21" t="s">
        <v>5281</v>
      </c>
      <c r="L1476" s="22" t="s">
        <v>36</v>
      </c>
      <c r="M1476" s="21" t="s">
        <v>120</v>
      </c>
      <c r="N1476" s="13" t="s">
        <v>106</v>
      </c>
      <c r="O1476" s="23" t="n">
        <v>16.14</v>
      </c>
      <c r="P1476" s="13" t="n">
        <v>1</v>
      </c>
      <c r="Q1476" s="24" t="n">
        <v>46311.176099537</v>
      </c>
      <c r="R1476" s="22"/>
      <c r="S1476" s="13" t="s">
        <v>164</v>
      </c>
      <c r="T1476" s="13" t="str">
        <f aca="false">IF(S1476="Oui",IF(R1476=L1476,"Identique","Changé"),"")</f>
        <v/>
      </c>
    </row>
    <row r="1477" customFormat="false" ht="46.25" hidden="false" customHeight="false" outlineLevel="0" collapsed="false">
      <c r="A1477" s="13" t="s">
        <v>5282</v>
      </c>
      <c r="B1477" s="13" t="s">
        <v>5283</v>
      </c>
      <c r="C1477" s="13" t="n">
        <v>1</v>
      </c>
      <c r="D1477" s="13" t="s">
        <v>135</v>
      </c>
      <c r="E1477" s="13" t="s">
        <v>158</v>
      </c>
      <c r="F1477" s="13" t="s">
        <v>4009</v>
      </c>
      <c r="G1477" s="13" t="s">
        <v>159</v>
      </c>
      <c r="H1477" s="13" t="s">
        <v>101</v>
      </c>
      <c r="I1477" s="21" t="s">
        <v>5284</v>
      </c>
      <c r="J1477" s="21" t="s">
        <v>161</v>
      </c>
      <c r="K1477" s="21" t="s">
        <v>5285</v>
      </c>
      <c r="L1477" s="22" t="s">
        <v>36</v>
      </c>
      <c r="M1477" s="21" t="s">
        <v>235</v>
      </c>
      <c r="N1477" s="13" t="s">
        <v>106</v>
      </c>
      <c r="O1477" s="23" t="n">
        <v>56.58</v>
      </c>
      <c r="P1477" s="13" t="n">
        <v>1</v>
      </c>
      <c r="Q1477" s="24" t="n">
        <v>46311.1769444444</v>
      </c>
      <c r="R1477" s="22"/>
      <c r="S1477" s="13" t="s">
        <v>164</v>
      </c>
      <c r="T1477" s="13" t="str">
        <f aca="false">IF(S1477="Oui",IF(R1477=L1477,"Identique","Changé"),"")</f>
        <v/>
      </c>
    </row>
    <row r="1478" customFormat="false" ht="35.05" hidden="false" customHeight="false" outlineLevel="0" collapsed="false">
      <c r="A1478" s="13" t="s">
        <v>5286</v>
      </c>
      <c r="B1478" s="13" t="s">
        <v>5283</v>
      </c>
      <c r="C1478" s="13" t="n">
        <v>2</v>
      </c>
      <c r="D1478" s="13" t="s">
        <v>135</v>
      </c>
      <c r="E1478" s="13" t="s">
        <v>114</v>
      </c>
      <c r="F1478" s="13" t="s">
        <v>4009</v>
      </c>
      <c r="G1478" s="13" t="s">
        <v>2220</v>
      </c>
      <c r="H1478" s="13" t="s">
        <v>101</v>
      </c>
      <c r="I1478" s="21" t="s">
        <v>5287</v>
      </c>
      <c r="J1478" s="21" t="s">
        <v>2222</v>
      </c>
      <c r="K1478" s="21" t="s">
        <v>5288</v>
      </c>
      <c r="L1478" s="22" t="s">
        <v>36</v>
      </c>
      <c r="M1478" s="21" t="s">
        <v>120</v>
      </c>
      <c r="N1478" s="13" t="s">
        <v>106</v>
      </c>
      <c r="O1478" s="23" t="n">
        <v>9.69</v>
      </c>
      <c r="P1478" s="13" t="n">
        <v>1</v>
      </c>
      <c r="Q1478" s="24" t="n">
        <v>46311.1771527778</v>
      </c>
      <c r="R1478" s="22"/>
      <c r="S1478" s="13" t="s">
        <v>164</v>
      </c>
      <c r="T1478" s="13" t="str">
        <f aca="false">IF(S1478="Oui",IF(R1478=L1478,"Identique","Changé"),"")</f>
        <v/>
      </c>
    </row>
    <row r="1479" customFormat="false" ht="57.45" hidden="false" customHeight="false" outlineLevel="0" collapsed="false">
      <c r="A1479" s="13" t="s">
        <v>5289</v>
      </c>
      <c r="B1479" s="13" t="s">
        <v>5283</v>
      </c>
      <c r="C1479" s="13" t="n">
        <v>3</v>
      </c>
      <c r="D1479" s="13" t="s">
        <v>135</v>
      </c>
      <c r="E1479" s="13" t="s">
        <v>570</v>
      </c>
      <c r="F1479" s="13" t="s">
        <v>4009</v>
      </c>
      <c r="G1479" s="13" t="s">
        <v>1811</v>
      </c>
      <c r="H1479" s="13" t="s">
        <v>101</v>
      </c>
      <c r="I1479" s="21" t="s">
        <v>5290</v>
      </c>
      <c r="J1479" s="21" t="s">
        <v>1741</v>
      </c>
      <c r="K1479" s="21" t="s">
        <v>5291</v>
      </c>
      <c r="L1479" s="22" t="s">
        <v>36</v>
      </c>
      <c r="M1479" s="21" t="s">
        <v>235</v>
      </c>
      <c r="N1479" s="13" t="s">
        <v>106</v>
      </c>
      <c r="O1479" s="23" t="n">
        <v>10.29</v>
      </c>
      <c r="P1479" s="13" t="n">
        <v>1</v>
      </c>
      <c r="Q1479" s="24" t="n">
        <v>46311.1773842593</v>
      </c>
      <c r="R1479" s="22"/>
      <c r="S1479" s="13" t="s">
        <v>164</v>
      </c>
      <c r="T1479" s="13" t="str">
        <f aca="false">IF(S1479="Oui",IF(R1479=L1479,"Identique","Changé"),"")</f>
        <v/>
      </c>
    </row>
    <row r="1480" customFormat="false" ht="57.45" hidden="false" customHeight="false" outlineLevel="0" collapsed="false">
      <c r="A1480" s="13" t="s">
        <v>5292</v>
      </c>
      <c r="B1480" s="13" t="s">
        <v>5283</v>
      </c>
      <c r="C1480" s="13" t="n">
        <v>4</v>
      </c>
      <c r="D1480" s="13" t="s">
        <v>135</v>
      </c>
      <c r="E1480" s="13" t="s">
        <v>114</v>
      </c>
      <c r="F1480" s="13" t="s">
        <v>4009</v>
      </c>
      <c r="G1480" s="13" t="s">
        <v>2118</v>
      </c>
      <c r="H1480" s="13" t="s">
        <v>101</v>
      </c>
      <c r="I1480" s="21" t="s">
        <v>5293</v>
      </c>
      <c r="J1480" s="21" t="s">
        <v>2188</v>
      </c>
      <c r="K1480" s="21" t="s">
        <v>5294</v>
      </c>
      <c r="L1480" s="22" t="s">
        <v>36</v>
      </c>
      <c r="M1480" s="21" t="s">
        <v>120</v>
      </c>
      <c r="N1480" s="13" t="s">
        <v>106</v>
      </c>
      <c r="O1480" s="23" t="n">
        <v>10.43</v>
      </c>
      <c r="P1480" s="13" t="n">
        <v>1</v>
      </c>
      <c r="Q1480" s="24" t="n">
        <v>46311.1776041667</v>
      </c>
      <c r="R1480" s="22"/>
      <c r="S1480" s="13" t="s">
        <v>164</v>
      </c>
      <c r="T1480" s="13" t="str">
        <f aca="false">IF(S1480="Oui",IF(R1480=L1480,"Identique","Changé"),"")</f>
        <v/>
      </c>
    </row>
    <row r="1481" customFormat="false" ht="46.25" hidden="false" customHeight="false" outlineLevel="0" collapsed="false">
      <c r="A1481" s="13" t="s">
        <v>5295</v>
      </c>
      <c r="B1481" s="13" t="s">
        <v>5283</v>
      </c>
      <c r="C1481" s="13" t="n">
        <v>5</v>
      </c>
      <c r="D1481" s="13" t="s">
        <v>135</v>
      </c>
      <c r="E1481" s="13" t="s">
        <v>570</v>
      </c>
      <c r="F1481" s="13" t="s">
        <v>4009</v>
      </c>
      <c r="G1481" s="13" t="s">
        <v>1758</v>
      </c>
      <c r="H1481" s="13" t="s">
        <v>101</v>
      </c>
      <c r="I1481" s="21" t="s">
        <v>5296</v>
      </c>
      <c r="J1481" s="21" t="s">
        <v>5297</v>
      </c>
      <c r="K1481" s="21" t="s">
        <v>5298</v>
      </c>
      <c r="L1481" s="22" t="s">
        <v>36</v>
      </c>
      <c r="M1481" s="21" t="s">
        <v>235</v>
      </c>
      <c r="N1481" s="13" t="s">
        <v>106</v>
      </c>
      <c r="O1481" s="23" t="n">
        <v>11.32</v>
      </c>
      <c r="P1481" s="13" t="n">
        <v>1</v>
      </c>
      <c r="Q1481" s="24" t="n">
        <v>46311.1778472222</v>
      </c>
      <c r="R1481" s="22"/>
      <c r="S1481" s="13" t="s">
        <v>164</v>
      </c>
      <c r="T1481" s="13" t="str">
        <f aca="false">IF(S1481="Oui",IF(R1481=L1481,"Identique","Changé"),"")</f>
        <v/>
      </c>
    </row>
    <row r="1482" customFormat="false" ht="35.05" hidden="false" customHeight="false" outlineLevel="0" collapsed="false">
      <c r="A1482" s="13" t="s">
        <v>5299</v>
      </c>
      <c r="B1482" s="13" t="s">
        <v>5300</v>
      </c>
      <c r="C1482" s="13" t="n">
        <v>1</v>
      </c>
      <c r="D1482" s="13" t="s">
        <v>97</v>
      </c>
      <c r="E1482" s="13" t="s">
        <v>171</v>
      </c>
      <c r="F1482" s="13" t="s">
        <v>1473</v>
      </c>
      <c r="G1482" s="13" t="s">
        <v>2258</v>
      </c>
      <c r="H1482" s="13" t="s">
        <v>101</v>
      </c>
      <c r="I1482" s="21" t="s">
        <v>5301</v>
      </c>
      <c r="J1482" s="21" t="s">
        <v>2260</v>
      </c>
      <c r="K1482" s="21" t="s">
        <v>5302</v>
      </c>
      <c r="L1482" s="22" t="s">
        <v>39</v>
      </c>
      <c r="M1482" s="21" t="s">
        <v>565</v>
      </c>
      <c r="N1482" s="13" t="s">
        <v>106</v>
      </c>
      <c r="O1482" s="23" t="n">
        <v>10.91</v>
      </c>
      <c r="P1482" s="13" t="n">
        <v>1</v>
      </c>
      <c r="Q1482" s="24" t="n">
        <v>46311.178125</v>
      </c>
      <c r="R1482" s="22"/>
      <c r="S1482" s="13" t="s">
        <v>164</v>
      </c>
      <c r="T1482" s="13" t="str">
        <f aca="false">IF(S1482="Oui",IF(R1482=L1482,"Identique","Changé"),"")</f>
        <v/>
      </c>
    </row>
    <row r="1483" customFormat="false" ht="35.05" hidden="false" customHeight="false" outlineLevel="0" collapsed="false">
      <c r="A1483" s="13" t="s">
        <v>5303</v>
      </c>
      <c r="B1483" s="13" t="s">
        <v>5300</v>
      </c>
      <c r="C1483" s="13" t="n">
        <v>2</v>
      </c>
      <c r="D1483" s="13" t="s">
        <v>97</v>
      </c>
      <c r="E1483" s="13" t="s">
        <v>128</v>
      </c>
      <c r="F1483" s="13" t="s">
        <v>1473</v>
      </c>
      <c r="G1483" s="13" t="s">
        <v>2071</v>
      </c>
      <c r="H1483" s="13" t="s">
        <v>101</v>
      </c>
      <c r="I1483" s="21" t="s">
        <v>5304</v>
      </c>
      <c r="J1483" s="21" t="s">
        <v>195</v>
      </c>
      <c r="K1483" s="21" t="s">
        <v>5305</v>
      </c>
      <c r="L1483" s="22" t="s">
        <v>39</v>
      </c>
      <c r="M1483" s="21" t="s">
        <v>565</v>
      </c>
      <c r="N1483" s="13" t="s">
        <v>106</v>
      </c>
      <c r="O1483" s="23" t="n">
        <v>7.68</v>
      </c>
      <c r="P1483" s="13" t="n">
        <v>1</v>
      </c>
      <c r="Q1483" s="24" t="n">
        <v>46311.1783217593</v>
      </c>
      <c r="R1483" s="22"/>
      <c r="S1483" s="13" t="s">
        <v>164</v>
      </c>
      <c r="T1483" s="13" t="str">
        <f aca="false">IF(S1483="Oui",IF(R1483=L1483,"Identique","Changé"),"")</f>
        <v/>
      </c>
    </row>
    <row r="1484" customFormat="false" ht="91" hidden="false" customHeight="false" outlineLevel="0" collapsed="false">
      <c r="A1484" s="13" t="s">
        <v>5306</v>
      </c>
      <c r="B1484" s="13" t="s">
        <v>5300</v>
      </c>
      <c r="C1484" s="13" t="n">
        <v>3</v>
      </c>
      <c r="D1484" s="13" t="s">
        <v>97</v>
      </c>
      <c r="E1484" s="13" t="s">
        <v>570</v>
      </c>
      <c r="F1484" s="13" t="s">
        <v>167</v>
      </c>
      <c r="G1484" s="13" t="s">
        <v>639</v>
      </c>
      <c r="H1484" s="13" t="s">
        <v>152</v>
      </c>
      <c r="I1484" s="21" t="s">
        <v>5307</v>
      </c>
      <c r="J1484" s="21" t="s">
        <v>154</v>
      </c>
      <c r="K1484" s="21" t="s">
        <v>5308</v>
      </c>
      <c r="L1484" s="22" t="s">
        <v>40</v>
      </c>
      <c r="M1484" s="21" t="s">
        <v>156</v>
      </c>
      <c r="N1484" s="13" t="s">
        <v>106</v>
      </c>
      <c r="O1484" s="23" t="n">
        <v>25.22</v>
      </c>
      <c r="P1484" s="13" t="n">
        <v>1</v>
      </c>
      <c r="Q1484" s="24" t="n">
        <v>46311.1787152778</v>
      </c>
      <c r="R1484" s="22"/>
      <c r="S1484" s="13" t="s">
        <v>164</v>
      </c>
      <c r="T1484" s="13" t="str">
        <f aca="false">IF(S1484="Oui",IF(R1484=L1484,"Identique","Changé"),"")</f>
        <v/>
      </c>
    </row>
    <row r="1485" customFormat="false" ht="35.05" hidden="false" customHeight="false" outlineLevel="0" collapsed="false">
      <c r="A1485" s="13" t="s">
        <v>5309</v>
      </c>
      <c r="B1485" s="13" t="s">
        <v>5300</v>
      </c>
      <c r="C1485" s="13" t="n">
        <v>4</v>
      </c>
      <c r="D1485" s="13" t="s">
        <v>97</v>
      </c>
      <c r="E1485" s="13" t="s">
        <v>114</v>
      </c>
      <c r="F1485" s="13" t="s">
        <v>167</v>
      </c>
      <c r="G1485" s="13" t="s">
        <v>2200</v>
      </c>
      <c r="H1485" s="13" t="s">
        <v>101</v>
      </c>
      <c r="I1485" s="21" t="s">
        <v>5310</v>
      </c>
      <c r="J1485" s="21" t="s">
        <v>5311</v>
      </c>
      <c r="K1485" s="21" t="s">
        <v>5312</v>
      </c>
      <c r="L1485" s="22" t="s">
        <v>36</v>
      </c>
      <c r="M1485" s="21" t="s">
        <v>120</v>
      </c>
      <c r="N1485" s="13" t="s">
        <v>106</v>
      </c>
      <c r="O1485" s="23" t="n">
        <v>18.58</v>
      </c>
      <c r="P1485" s="13" t="n">
        <v>1</v>
      </c>
      <c r="Q1485" s="24" t="n">
        <v>46311.1790277778</v>
      </c>
      <c r="R1485" s="22"/>
      <c r="S1485" s="13" t="s">
        <v>164</v>
      </c>
      <c r="T1485" s="13" t="str">
        <f aca="false">IF(S1485="Oui",IF(R1485=L1485,"Identique","Changé"),"")</f>
        <v/>
      </c>
    </row>
    <row r="1486" customFormat="false" ht="35.05" hidden="false" customHeight="false" outlineLevel="0" collapsed="false">
      <c r="A1486" s="13" t="s">
        <v>5313</v>
      </c>
      <c r="B1486" s="13" t="s">
        <v>5300</v>
      </c>
      <c r="C1486" s="13" t="n">
        <v>5</v>
      </c>
      <c r="D1486" s="13" t="s">
        <v>97</v>
      </c>
      <c r="E1486" s="13" t="s">
        <v>171</v>
      </c>
      <c r="F1486" s="13" t="s">
        <v>1473</v>
      </c>
      <c r="G1486" s="13" t="s">
        <v>464</v>
      </c>
      <c r="H1486" s="13" t="s">
        <v>101</v>
      </c>
      <c r="I1486" s="21" t="s">
        <v>5314</v>
      </c>
      <c r="J1486" s="21" t="s">
        <v>496</v>
      </c>
      <c r="K1486" s="21" t="s">
        <v>5315</v>
      </c>
      <c r="L1486" s="22" t="s">
        <v>38</v>
      </c>
      <c r="M1486" s="21" t="s">
        <v>3401</v>
      </c>
      <c r="N1486" s="13" t="s">
        <v>106</v>
      </c>
      <c r="O1486" s="23" t="n">
        <v>15.56</v>
      </c>
      <c r="P1486" s="13" t="n">
        <v>1</v>
      </c>
      <c r="Q1486" s="24" t="n">
        <v>46311.1793171296</v>
      </c>
      <c r="R1486" s="22"/>
      <c r="S1486" s="13" t="s">
        <v>164</v>
      </c>
      <c r="T1486" s="13" t="str">
        <f aca="false">IF(S1486="Oui",IF(R1486=L1486,"Identique","Changé"),"")</f>
        <v/>
      </c>
    </row>
    <row r="1487" customFormat="false" ht="46.25" hidden="false" customHeight="false" outlineLevel="0" collapsed="false">
      <c r="A1487" s="13" t="s">
        <v>5316</v>
      </c>
      <c r="B1487" s="13" t="s">
        <v>5317</v>
      </c>
      <c r="C1487" s="13" t="n">
        <v>1</v>
      </c>
      <c r="D1487" s="13" t="s">
        <v>135</v>
      </c>
      <c r="E1487" s="13" t="s">
        <v>171</v>
      </c>
      <c r="F1487" s="13" t="s">
        <v>4044</v>
      </c>
      <c r="G1487" s="13" t="s">
        <v>1998</v>
      </c>
      <c r="H1487" s="13" t="s">
        <v>101</v>
      </c>
      <c r="I1487" s="21" t="s">
        <v>5318</v>
      </c>
      <c r="J1487" s="21" t="s">
        <v>5319</v>
      </c>
      <c r="K1487" s="21" t="s">
        <v>5320</v>
      </c>
      <c r="L1487" s="22" t="s">
        <v>36</v>
      </c>
      <c r="M1487" s="21" t="s">
        <v>120</v>
      </c>
      <c r="N1487" s="13" t="s">
        <v>106</v>
      </c>
      <c r="O1487" s="23" t="n">
        <v>31.87</v>
      </c>
      <c r="P1487" s="13" t="n">
        <v>1</v>
      </c>
      <c r="Q1487" s="24" t="n">
        <v>46311.1798726852</v>
      </c>
      <c r="R1487" s="22"/>
      <c r="S1487" s="13" t="s">
        <v>164</v>
      </c>
      <c r="T1487" s="13" t="str">
        <f aca="false">IF(S1487="Oui",IF(R1487=L1487,"Identique","Changé"),"")</f>
        <v/>
      </c>
    </row>
    <row r="1488" customFormat="false" ht="35.05" hidden="false" customHeight="false" outlineLevel="0" collapsed="false">
      <c r="A1488" s="13" t="s">
        <v>5321</v>
      </c>
      <c r="B1488" s="13" t="s">
        <v>5317</v>
      </c>
      <c r="C1488" s="13" t="n">
        <v>2</v>
      </c>
      <c r="D1488" s="13" t="s">
        <v>135</v>
      </c>
      <c r="E1488" s="13" t="s">
        <v>570</v>
      </c>
      <c r="F1488" s="13" t="s">
        <v>4044</v>
      </c>
      <c r="G1488" s="13" t="s">
        <v>1805</v>
      </c>
      <c r="H1488" s="13" t="s">
        <v>101</v>
      </c>
      <c r="I1488" s="21" t="s">
        <v>5322</v>
      </c>
      <c r="J1488" s="21" t="s">
        <v>284</v>
      </c>
      <c r="K1488" s="21" t="s">
        <v>5323</v>
      </c>
      <c r="L1488" s="22" t="s">
        <v>36</v>
      </c>
      <c r="M1488" s="21" t="s">
        <v>120</v>
      </c>
      <c r="N1488" s="13" t="s">
        <v>106</v>
      </c>
      <c r="O1488" s="23" t="n">
        <v>10</v>
      </c>
      <c r="P1488" s="13" t="n">
        <v>1</v>
      </c>
      <c r="Q1488" s="24" t="n">
        <v>46311.1801041667</v>
      </c>
      <c r="R1488" s="22"/>
      <c r="S1488" s="13" t="s">
        <v>164</v>
      </c>
      <c r="T1488" s="13" t="str">
        <f aca="false">IF(S1488="Oui",IF(R1488=L1488,"Identique","Changé"),"")</f>
        <v/>
      </c>
    </row>
    <row r="1489" customFormat="false" ht="35.05" hidden="false" customHeight="false" outlineLevel="0" collapsed="false">
      <c r="A1489" s="13" t="s">
        <v>5324</v>
      </c>
      <c r="B1489" s="13" t="s">
        <v>5317</v>
      </c>
      <c r="C1489" s="13" t="n">
        <v>3</v>
      </c>
      <c r="D1489" s="13" t="s">
        <v>135</v>
      </c>
      <c r="E1489" s="13" t="s">
        <v>122</v>
      </c>
      <c r="F1489" s="13" t="s">
        <v>4044</v>
      </c>
      <c r="G1489" s="13" t="s">
        <v>2216</v>
      </c>
      <c r="H1489" s="13" t="s">
        <v>101</v>
      </c>
      <c r="I1489" s="21" t="s">
        <v>5325</v>
      </c>
      <c r="J1489" s="21" t="s">
        <v>284</v>
      </c>
      <c r="K1489" s="21" t="s">
        <v>5326</v>
      </c>
      <c r="L1489" s="22" t="s">
        <v>36</v>
      </c>
      <c r="M1489" s="21" t="s">
        <v>120</v>
      </c>
      <c r="N1489" s="13" t="s">
        <v>106</v>
      </c>
      <c r="O1489" s="23" t="n">
        <v>9.72</v>
      </c>
      <c r="P1489" s="13" t="n">
        <v>1</v>
      </c>
      <c r="Q1489" s="24" t="n">
        <v>46311.1803240741</v>
      </c>
      <c r="R1489" s="22"/>
      <c r="S1489" s="13" t="s">
        <v>164</v>
      </c>
      <c r="T1489" s="13" t="str">
        <f aca="false">IF(S1489="Oui",IF(R1489=L1489,"Identique","Changé"),"")</f>
        <v/>
      </c>
    </row>
    <row r="1490" customFormat="false" ht="35.05" hidden="false" customHeight="false" outlineLevel="0" collapsed="false">
      <c r="A1490" s="13" t="s">
        <v>5327</v>
      </c>
      <c r="B1490" s="13" t="s">
        <v>5317</v>
      </c>
      <c r="C1490" s="13" t="n">
        <v>4</v>
      </c>
      <c r="D1490" s="13" t="s">
        <v>135</v>
      </c>
      <c r="E1490" s="13" t="s">
        <v>570</v>
      </c>
      <c r="F1490" s="13" t="s">
        <v>4044</v>
      </c>
      <c r="G1490" s="13" t="s">
        <v>1775</v>
      </c>
      <c r="H1490" s="13" t="s">
        <v>101</v>
      </c>
      <c r="I1490" s="21" t="s">
        <v>5328</v>
      </c>
      <c r="J1490" s="21" t="s">
        <v>1777</v>
      </c>
      <c r="K1490" s="21" t="s">
        <v>5329</v>
      </c>
      <c r="L1490" s="22" t="s">
        <v>36</v>
      </c>
      <c r="M1490" s="21" t="s">
        <v>120</v>
      </c>
      <c r="N1490" s="13" t="s">
        <v>106</v>
      </c>
      <c r="O1490" s="23" t="n">
        <v>9.01</v>
      </c>
      <c r="P1490" s="13" t="n">
        <v>1</v>
      </c>
      <c r="Q1490" s="24" t="n">
        <v>46311.1805324074</v>
      </c>
      <c r="R1490" s="22"/>
      <c r="S1490" s="13" t="s">
        <v>164</v>
      </c>
      <c r="T1490" s="13" t="str">
        <f aca="false">IF(S1490="Oui",IF(R1490=L1490,"Identique","Changé"),"")</f>
        <v/>
      </c>
    </row>
    <row r="1491" customFormat="false" ht="35.05" hidden="false" customHeight="false" outlineLevel="0" collapsed="false">
      <c r="A1491" s="13" t="s">
        <v>5330</v>
      </c>
      <c r="B1491" s="13" t="s">
        <v>5317</v>
      </c>
      <c r="C1491" s="13" t="n">
        <v>5</v>
      </c>
      <c r="D1491" s="13" t="s">
        <v>135</v>
      </c>
      <c r="E1491" s="13" t="s">
        <v>98</v>
      </c>
      <c r="F1491" s="13" t="s">
        <v>4044</v>
      </c>
      <c r="G1491" s="13" t="s">
        <v>151</v>
      </c>
      <c r="H1491" s="13" t="s">
        <v>101</v>
      </c>
      <c r="I1491" s="21" t="s">
        <v>5331</v>
      </c>
      <c r="J1491" s="21" t="s">
        <v>5332</v>
      </c>
      <c r="K1491" s="21" t="s">
        <v>5333</v>
      </c>
      <c r="L1491" s="22" t="s">
        <v>36</v>
      </c>
      <c r="M1491" s="21" t="s">
        <v>120</v>
      </c>
      <c r="N1491" s="13" t="s">
        <v>106</v>
      </c>
      <c r="O1491" s="23" t="n">
        <v>13.51</v>
      </c>
      <c r="P1491" s="13" t="n">
        <v>1</v>
      </c>
      <c r="Q1491" s="24" t="n">
        <v>46311.180787037</v>
      </c>
      <c r="R1491" s="22"/>
      <c r="S1491" s="13" t="s">
        <v>164</v>
      </c>
      <c r="T1491" s="13" t="str">
        <f aca="false">IF(S1491="Oui",IF(R1491=L1491,"Identique","Changé"),"")</f>
        <v/>
      </c>
    </row>
    <row r="1492" customFormat="false" ht="46.25" hidden="false" customHeight="false" outlineLevel="0" collapsed="false">
      <c r="A1492" s="13" t="s">
        <v>5334</v>
      </c>
      <c r="B1492" s="13" t="s">
        <v>5335</v>
      </c>
      <c r="C1492" s="13" t="n">
        <v>1</v>
      </c>
      <c r="D1492" s="13" t="s">
        <v>97</v>
      </c>
      <c r="E1492" s="13" t="s">
        <v>570</v>
      </c>
      <c r="F1492" s="13" t="s">
        <v>1151</v>
      </c>
      <c r="G1492" s="13" t="s">
        <v>1790</v>
      </c>
      <c r="H1492" s="13" t="s">
        <v>101</v>
      </c>
      <c r="I1492" s="21" t="s">
        <v>5336</v>
      </c>
      <c r="J1492" s="21" t="s">
        <v>512</v>
      </c>
      <c r="K1492" s="21" t="s">
        <v>5337</v>
      </c>
      <c r="L1492" s="22" t="s">
        <v>36</v>
      </c>
      <c r="M1492" s="21" t="s">
        <v>120</v>
      </c>
      <c r="N1492" s="13" t="s">
        <v>106</v>
      </c>
      <c r="O1492" s="23" t="n">
        <v>29.53</v>
      </c>
      <c r="P1492" s="13" t="n">
        <v>1</v>
      </c>
      <c r="Q1492" s="24" t="n">
        <v>46311.1813078704</v>
      </c>
      <c r="R1492" s="22"/>
      <c r="S1492" s="13" t="s">
        <v>164</v>
      </c>
      <c r="T1492" s="13" t="str">
        <f aca="false">IF(S1492="Oui",IF(R1492=L1492,"Identique","Changé"),"")</f>
        <v/>
      </c>
    </row>
    <row r="1493" customFormat="false" ht="79.85" hidden="false" customHeight="false" outlineLevel="0" collapsed="false">
      <c r="A1493" s="13" t="s">
        <v>5338</v>
      </c>
      <c r="B1493" s="13" t="s">
        <v>5335</v>
      </c>
      <c r="C1493" s="13" t="n">
        <v>2</v>
      </c>
      <c r="D1493" s="13" t="s">
        <v>97</v>
      </c>
      <c r="E1493" s="13" t="s">
        <v>1730</v>
      </c>
      <c r="F1493" s="13" t="s">
        <v>1151</v>
      </c>
      <c r="G1493" s="13" t="s">
        <v>2098</v>
      </c>
      <c r="H1493" s="13" t="s">
        <v>101</v>
      </c>
      <c r="I1493" s="21" t="s">
        <v>5339</v>
      </c>
      <c r="J1493" s="21" t="s">
        <v>4755</v>
      </c>
      <c r="K1493" s="21" t="s">
        <v>5340</v>
      </c>
      <c r="L1493" s="22" t="s">
        <v>36</v>
      </c>
      <c r="M1493" s="21" t="s">
        <v>120</v>
      </c>
      <c r="N1493" s="13" t="s">
        <v>106</v>
      </c>
      <c r="O1493" s="23" t="n">
        <v>9.76</v>
      </c>
      <c r="P1493" s="13" t="n">
        <v>1</v>
      </c>
      <c r="Q1493" s="24" t="n">
        <v>46311.1815162037</v>
      </c>
      <c r="R1493" s="22"/>
      <c r="S1493" s="13" t="s">
        <v>164</v>
      </c>
      <c r="T1493" s="13" t="str">
        <f aca="false">IF(S1493="Oui",IF(R1493=L1493,"Identique","Changé"),"")</f>
        <v/>
      </c>
    </row>
    <row r="1494" customFormat="false" ht="35.05" hidden="false" customHeight="false" outlineLevel="0" collapsed="false">
      <c r="A1494" s="13" t="s">
        <v>5341</v>
      </c>
      <c r="B1494" s="13" t="s">
        <v>5335</v>
      </c>
      <c r="C1494" s="13" t="n">
        <v>3</v>
      </c>
      <c r="D1494" s="13" t="s">
        <v>97</v>
      </c>
      <c r="E1494" s="13" t="s">
        <v>128</v>
      </c>
      <c r="F1494" s="13" t="s">
        <v>627</v>
      </c>
      <c r="G1494" s="13" t="s">
        <v>204</v>
      </c>
      <c r="H1494" s="13" t="s">
        <v>101</v>
      </c>
      <c r="I1494" s="21" t="s">
        <v>5342</v>
      </c>
      <c r="J1494" s="21" t="s">
        <v>206</v>
      </c>
      <c r="K1494" s="21" t="s">
        <v>5343</v>
      </c>
      <c r="L1494" s="22" t="s">
        <v>36</v>
      </c>
      <c r="M1494" s="21" t="s">
        <v>120</v>
      </c>
      <c r="N1494" s="13" t="s">
        <v>106</v>
      </c>
      <c r="O1494" s="23" t="n">
        <v>17.11</v>
      </c>
      <c r="P1494" s="13" t="n">
        <v>1</v>
      </c>
      <c r="Q1494" s="24" t="n">
        <v>46311.1818287037</v>
      </c>
      <c r="R1494" s="22"/>
      <c r="S1494" s="13" t="s">
        <v>164</v>
      </c>
      <c r="T1494" s="13" t="str">
        <f aca="false">IF(S1494="Oui",IF(R1494=L1494,"Identique","Changé"),"")</f>
        <v/>
      </c>
    </row>
    <row r="1495" customFormat="false" ht="57.45" hidden="false" customHeight="false" outlineLevel="0" collapsed="false">
      <c r="A1495" s="13" t="s">
        <v>5344</v>
      </c>
      <c r="B1495" s="13" t="s">
        <v>5335</v>
      </c>
      <c r="C1495" s="13" t="n">
        <v>4</v>
      </c>
      <c r="D1495" s="13" t="s">
        <v>97</v>
      </c>
      <c r="E1495" s="13" t="s">
        <v>122</v>
      </c>
      <c r="F1495" s="13" t="s">
        <v>627</v>
      </c>
      <c r="G1495" s="13" t="s">
        <v>2036</v>
      </c>
      <c r="H1495" s="13" t="s">
        <v>152</v>
      </c>
      <c r="I1495" s="21" t="s">
        <v>5345</v>
      </c>
      <c r="J1495" s="21" t="s">
        <v>154</v>
      </c>
      <c r="K1495" s="21" t="s">
        <v>5346</v>
      </c>
      <c r="L1495" s="22" t="s">
        <v>40</v>
      </c>
      <c r="M1495" s="21" t="s">
        <v>156</v>
      </c>
      <c r="N1495" s="13" t="s">
        <v>106</v>
      </c>
      <c r="O1495" s="23" t="n">
        <v>13.03</v>
      </c>
      <c r="P1495" s="13" t="n">
        <v>1</v>
      </c>
      <c r="Q1495" s="24" t="n">
        <v>46311.1820833333</v>
      </c>
      <c r="R1495" s="22"/>
      <c r="S1495" s="13" t="s">
        <v>164</v>
      </c>
      <c r="T1495" s="13" t="str">
        <f aca="false">IF(S1495="Oui",IF(R1495=L1495,"Identique","Changé"),"")</f>
        <v/>
      </c>
    </row>
    <row r="1496" customFormat="false" ht="46.25" hidden="false" customHeight="false" outlineLevel="0" collapsed="false">
      <c r="A1496" s="13" t="s">
        <v>5347</v>
      </c>
      <c r="B1496" s="13" t="s">
        <v>5335</v>
      </c>
      <c r="C1496" s="13" t="n">
        <v>5</v>
      </c>
      <c r="D1496" s="13" t="s">
        <v>97</v>
      </c>
      <c r="E1496" s="13" t="s">
        <v>114</v>
      </c>
      <c r="F1496" s="13" t="s">
        <v>1151</v>
      </c>
      <c r="G1496" s="13" t="s">
        <v>2195</v>
      </c>
      <c r="H1496" s="13" t="s">
        <v>101</v>
      </c>
      <c r="I1496" s="21" t="s">
        <v>5348</v>
      </c>
      <c r="J1496" s="21" t="s">
        <v>2197</v>
      </c>
      <c r="K1496" s="21" t="s">
        <v>5349</v>
      </c>
      <c r="L1496" s="22" t="s">
        <v>36</v>
      </c>
      <c r="M1496" s="21" t="s">
        <v>120</v>
      </c>
      <c r="N1496" s="13" t="s">
        <v>106</v>
      </c>
      <c r="O1496" s="23" t="n">
        <v>10.2</v>
      </c>
      <c r="P1496" s="13" t="n">
        <v>1</v>
      </c>
      <c r="Q1496" s="24" t="n">
        <v>46311.1823032407</v>
      </c>
      <c r="R1496" s="22"/>
      <c r="S1496" s="13" t="s">
        <v>164</v>
      </c>
      <c r="T1496" s="13" t="str">
        <f aca="false">IF(S1496="Oui",IF(R1496=L1496,"Identique","Changé"),"")</f>
        <v/>
      </c>
    </row>
    <row r="1497" customFormat="false" ht="35.05" hidden="false" customHeight="false" outlineLevel="0" collapsed="false">
      <c r="A1497" s="13" t="s">
        <v>5350</v>
      </c>
      <c r="B1497" s="13" t="s">
        <v>5351</v>
      </c>
      <c r="C1497" s="13" t="n">
        <v>1</v>
      </c>
      <c r="D1497" s="13" t="s">
        <v>135</v>
      </c>
      <c r="E1497" s="13" t="s">
        <v>570</v>
      </c>
      <c r="F1497" s="13" t="s">
        <v>5352</v>
      </c>
      <c r="G1497" s="13" t="s">
        <v>1780</v>
      </c>
      <c r="H1497" s="13" t="s">
        <v>101</v>
      </c>
      <c r="I1497" s="21" t="s">
        <v>5353</v>
      </c>
      <c r="J1497" s="21" t="s">
        <v>512</v>
      </c>
      <c r="K1497" s="21" t="s">
        <v>5354</v>
      </c>
      <c r="L1497" s="22" t="s">
        <v>39</v>
      </c>
      <c r="M1497" s="21" t="s">
        <v>565</v>
      </c>
      <c r="N1497" s="13" t="s">
        <v>106</v>
      </c>
      <c r="O1497" s="23" t="n">
        <v>12.8</v>
      </c>
      <c r="P1497" s="13" t="n">
        <v>1</v>
      </c>
      <c r="Q1497" s="24" t="n">
        <v>46311.1826273148</v>
      </c>
      <c r="R1497" s="22"/>
      <c r="S1497" s="13" t="s">
        <v>164</v>
      </c>
      <c r="T1497" s="13" t="str">
        <f aca="false">IF(S1497="Oui",IF(R1497=L1497,"Identique","Changé"),"")</f>
        <v/>
      </c>
    </row>
    <row r="1498" customFormat="false" ht="147" hidden="false" customHeight="false" outlineLevel="0" collapsed="false">
      <c r="A1498" s="13" t="s">
        <v>5355</v>
      </c>
      <c r="B1498" s="13" t="s">
        <v>5351</v>
      </c>
      <c r="C1498" s="13" t="n">
        <v>2</v>
      </c>
      <c r="D1498" s="13" t="s">
        <v>135</v>
      </c>
      <c r="E1498" s="13" t="s">
        <v>570</v>
      </c>
      <c r="F1498" s="13" t="s">
        <v>5352</v>
      </c>
      <c r="G1498" s="13" t="s">
        <v>1785</v>
      </c>
      <c r="H1498" s="13" t="s">
        <v>101</v>
      </c>
      <c r="I1498" s="21" t="s">
        <v>5356</v>
      </c>
      <c r="J1498" s="21" t="s">
        <v>1741</v>
      </c>
      <c r="K1498" s="21" t="s">
        <v>5357</v>
      </c>
      <c r="L1498" s="22" t="s">
        <v>39</v>
      </c>
      <c r="M1498" s="21" t="s">
        <v>4391</v>
      </c>
      <c r="N1498" s="13" t="s">
        <v>1085</v>
      </c>
      <c r="O1498" s="23" t="n">
        <v>8.25</v>
      </c>
      <c r="P1498" s="13" t="n">
        <v>1</v>
      </c>
      <c r="Q1498" s="24" t="n">
        <v>46311.1828240741</v>
      </c>
      <c r="R1498" s="22"/>
      <c r="S1498" s="13" t="s">
        <v>164</v>
      </c>
      <c r="T1498" s="13" t="str">
        <f aca="false">IF(S1498="Oui",IF(R1498=L1498,"Identique","Changé"),"")</f>
        <v/>
      </c>
    </row>
    <row r="1499" customFormat="false" ht="23.85" hidden="false" customHeight="false" outlineLevel="0" collapsed="false">
      <c r="A1499" s="13" t="s">
        <v>5358</v>
      </c>
      <c r="B1499" s="13" t="s">
        <v>5351</v>
      </c>
      <c r="C1499" s="13" t="n">
        <v>3</v>
      </c>
      <c r="D1499" s="13" t="s">
        <v>135</v>
      </c>
      <c r="E1499" s="13" t="s">
        <v>128</v>
      </c>
      <c r="F1499" s="13" t="s">
        <v>3146</v>
      </c>
      <c r="G1499" s="13" t="s">
        <v>2024</v>
      </c>
      <c r="H1499" s="13" t="s">
        <v>101</v>
      </c>
      <c r="I1499" s="21" t="s">
        <v>5359</v>
      </c>
      <c r="J1499" s="21" t="s">
        <v>131</v>
      </c>
      <c r="K1499" s="21" t="s">
        <v>1105</v>
      </c>
      <c r="L1499" s="22" t="s">
        <v>37</v>
      </c>
      <c r="M1499" s="21" t="s">
        <v>163</v>
      </c>
      <c r="N1499" s="13" t="s">
        <v>106</v>
      </c>
      <c r="O1499" s="23" t="n">
        <v>45.78</v>
      </c>
      <c r="P1499" s="13" t="n">
        <v>1</v>
      </c>
      <c r="Q1499" s="24" t="n">
        <v>46311.1834606482</v>
      </c>
      <c r="R1499" s="22"/>
      <c r="S1499" s="13" t="s">
        <v>164</v>
      </c>
      <c r="T1499" s="13" t="str">
        <f aca="false">IF(S1499="Oui",IF(R1499=L1499,"Identique","Changé"),"")</f>
        <v/>
      </c>
    </row>
    <row r="1500" customFormat="false" ht="35.05" hidden="false" customHeight="false" outlineLevel="0" collapsed="false">
      <c r="A1500" s="13" t="s">
        <v>5360</v>
      </c>
      <c r="B1500" s="13" t="s">
        <v>5351</v>
      </c>
      <c r="C1500" s="13" t="n">
        <v>4</v>
      </c>
      <c r="D1500" s="13" t="s">
        <v>135</v>
      </c>
      <c r="E1500" s="13" t="s">
        <v>185</v>
      </c>
      <c r="F1500" s="13" t="s">
        <v>3146</v>
      </c>
      <c r="G1500" s="13" t="s">
        <v>2173</v>
      </c>
      <c r="H1500" s="13" t="s">
        <v>101</v>
      </c>
      <c r="I1500" s="21" t="s">
        <v>5361</v>
      </c>
      <c r="J1500" s="21" t="s">
        <v>5362</v>
      </c>
      <c r="K1500" s="21" t="s">
        <v>5363</v>
      </c>
      <c r="L1500" s="22" t="s">
        <v>36</v>
      </c>
      <c r="M1500" s="21" t="s">
        <v>2135</v>
      </c>
      <c r="N1500" s="13" t="s">
        <v>106</v>
      </c>
      <c r="O1500" s="23" t="n">
        <v>19.03</v>
      </c>
      <c r="P1500" s="13" t="n">
        <v>1</v>
      </c>
      <c r="Q1500" s="24" t="n">
        <v>46311.1837847222</v>
      </c>
      <c r="R1500" s="22"/>
      <c r="S1500" s="13" t="s">
        <v>164</v>
      </c>
      <c r="T1500" s="13" t="str">
        <f aca="false">IF(S1500="Oui",IF(R1500=L1500,"Identique","Changé"),"")</f>
        <v/>
      </c>
    </row>
    <row r="1501" customFormat="false" ht="57.45" hidden="false" customHeight="false" outlineLevel="0" collapsed="false">
      <c r="A1501" s="13" t="s">
        <v>5364</v>
      </c>
      <c r="B1501" s="13" t="s">
        <v>5351</v>
      </c>
      <c r="C1501" s="13" t="n">
        <v>5</v>
      </c>
      <c r="D1501" s="13" t="s">
        <v>135</v>
      </c>
      <c r="E1501" s="13" t="s">
        <v>122</v>
      </c>
      <c r="F1501" s="13" t="s">
        <v>5352</v>
      </c>
      <c r="G1501" s="13" t="s">
        <v>1848</v>
      </c>
      <c r="H1501" s="13" t="s">
        <v>101</v>
      </c>
      <c r="I1501" s="21" t="s">
        <v>5365</v>
      </c>
      <c r="J1501" s="21" t="s">
        <v>3790</v>
      </c>
      <c r="K1501" s="21" t="s">
        <v>5366</v>
      </c>
      <c r="L1501" s="22" t="s">
        <v>36</v>
      </c>
      <c r="M1501" s="21" t="s">
        <v>235</v>
      </c>
      <c r="N1501" s="13" t="s">
        <v>106</v>
      </c>
      <c r="O1501" s="23" t="n">
        <v>10.93</v>
      </c>
      <c r="P1501" s="13" t="n">
        <v>1</v>
      </c>
      <c r="Q1501" s="24" t="n">
        <v>46311.1840162037</v>
      </c>
      <c r="R1501" s="22"/>
      <c r="S1501" s="13" t="s">
        <v>164</v>
      </c>
      <c r="T1501" s="13" t="str">
        <f aca="false">IF(S1501="Oui",IF(R1501=L1501,"Identique","Changé"),"")</f>
        <v/>
      </c>
    </row>
  </sheetData>
  <conditionalFormatting sqref="L2:L1501">
    <cfRule type="cellIs" priority="2" operator="equal" aboveAverage="0" equalAverage="0" bottom="0" percent="0" rank="0" text="" dxfId="11">
      <formula>"Correct"</formula>
    </cfRule>
    <cfRule type="cellIs" priority="3" operator="equal" aboveAverage="0" equalAverage="0" bottom="0" percent="0" rank="0" text="" dxfId="12">
      <formula>"Pas d’info à tort"</formula>
    </cfRule>
    <cfRule type="cellIs" priority="4" operator="equal" aboveAverage="0" equalAverage="0" bottom="0" percent="0" rank="0" text="" dxfId="13">
      <formula>"Incorrect"</formula>
    </cfRule>
    <cfRule type="cellIs" priority="5" operator="equal" aboveAverage="0" equalAverage="0" bottom="0" percent="0" rank="0" text="" dxfId="14">
      <formula>"Hors sujet"</formula>
    </cfRule>
    <cfRule type="cellIs" priority="6" operator="equal" aboveAverage="0" equalAverage="0" bottom="0" percent="0" rank="0" text="" dxfId="15">
      <formula>"Abstention correcte"</formula>
    </cfRule>
    <cfRule type="cellIs" priority="7" operator="equal" aboveAverage="0" equalAverage="0" bottom="0" percent="0" rank="0" text="" dxfId="16">
      <formula>"Valeur sur cellule vide"</formula>
    </cfRule>
    <cfRule type="cellIs" priority="8" operator="equal" aboveAverage="0" equalAverage="0" bottom="0" percent="0" rank="0" text="" dxfId="17">
      <formula>"Échec technique"</formula>
    </cfRule>
    <cfRule type="cellIs" priority="9" operator="equal" aboveAverage="0" equalAverage="0" bottom="0" percent="0" rank="0" text="" dxfId="18">
      <formula>"Non capturé"</formula>
    </cfRule>
  </conditionalFormatting>
  <conditionalFormatting sqref="R2:R1501">
    <cfRule type="cellIs" priority="10" operator="equal" aboveAverage="0" equalAverage="0" bottom="0" percent="0" rank="0" text="" dxfId="11">
      <formula>"Correct"</formula>
    </cfRule>
    <cfRule type="cellIs" priority="11" operator="equal" aboveAverage="0" equalAverage="0" bottom="0" percent="0" rank="0" text="" dxfId="12">
      <formula>"Pas d’info à tort"</formula>
    </cfRule>
    <cfRule type="cellIs" priority="12" operator="equal" aboveAverage="0" equalAverage="0" bottom="0" percent="0" rank="0" text="" dxfId="13">
      <formula>"Incorrect"</formula>
    </cfRule>
    <cfRule type="cellIs" priority="13" operator="equal" aboveAverage="0" equalAverage="0" bottom="0" percent="0" rank="0" text="" dxfId="14">
      <formula>"Hors sujet"</formula>
    </cfRule>
    <cfRule type="cellIs" priority="14" operator="equal" aboveAverage="0" equalAverage="0" bottom="0" percent="0" rank="0" text="" dxfId="15">
      <formula>"Abstention correcte"</formula>
    </cfRule>
    <cfRule type="cellIs" priority="15" operator="equal" aboveAverage="0" equalAverage="0" bottom="0" percent="0" rank="0" text="" dxfId="16">
      <formula>"Valeur sur cellule vide"</formula>
    </cfRule>
    <cfRule type="cellIs" priority="16" operator="equal" aboveAverage="0" equalAverage="0" bottom="0" percent="0" rank="0" text="" dxfId="17">
      <formula>"Échec technique"</formula>
    </cfRule>
    <cfRule type="cellIs" priority="17" operator="equal" aboveAverage="0" equalAverage="0" bottom="0" percent="0" rank="0" text="" dxfId="18">
      <formula>"Non capturé"</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9"/>
    <col collapsed="false" customWidth="true" hidden="false" outlineLevel="0" max="4" min="4" style="0" width="13"/>
    <col collapsed="false" customWidth="true" hidden="false" outlineLevel="0" max="5" min="5" style="0" width="11"/>
    <col collapsed="false" customWidth="true" hidden="false" outlineLevel="0" max="7" min="6" style="0" width="10"/>
    <col collapsed="false" customWidth="true" hidden="false" outlineLevel="0" max="8" min="8" style="0" width="11"/>
    <col collapsed="false" customWidth="true" hidden="false" outlineLevel="0" max="9" min="9" style="0" width="9"/>
    <col collapsed="false" customWidth="true" hidden="false" outlineLevel="0" max="10" min="10" style="0" width="10"/>
    <col collapsed="false" customWidth="true" hidden="false" outlineLevel="0" max="11" min="11" style="0" width="11"/>
  </cols>
  <sheetData>
    <row r="1" customFormat="false" ht="18.55" hidden="false" customHeight="false" outlineLevel="0" collapsed="false">
      <c r="A1" s="1" t="s">
        <v>5367</v>
      </c>
    </row>
    <row r="2" customFormat="false" ht="15" hidden="false" customHeight="false" outlineLevel="0" collapsed="false">
      <c r="A2" s="2" t="s">
        <v>5368</v>
      </c>
    </row>
    <row r="4" customFormat="false" ht="23.85" hidden="false" customHeight="false" outlineLevel="0" collapsed="false">
      <c r="A4" s="3" t="s">
        <v>81</v>
      </c>
      <c r="B4" s="3" t="s">
        <v>5369</v>
      </c>
      <c r="C4" s="3" t="s">
        <v>36</v>
      </c>
      <c r="D4" s="3" t="s">
        <v>5370</v>
      </c>
      <c r="E4" s="3" t="s">
        <v>5371</v>
      </c>
      <c r="F4" s="3" t="s">
        <v>39</v>
      </c>
      <c r="G4" s="3" t="s">
        <v>5372</v>
      </c>
      <c r="H4" s="3" t="s">
        <v>5373</v>
      </c>
      <c r="I4" s="3" t="s">
        <v>5374</v>
      </c>
      <c r="J4" s="3" t="s">
        <v>5375</v>
      </c>
      <c r="K4" s="3" t="s">
        <v>5376</v>
      </c>
    </row>
    <row r="5" customFormat="false" ht="15" hidden="false" customHeight="false" outlineLevel="0" collapsed="false">
      <c r="A5" s="4" t="s">
        <v>158</v>
      </c>
      <c r="B5" s="4" t="n">
        <f aca="false">COUNTIFS(DONNEES!$H$2:$H$1501,"NOTABLE",DONNEES!$L$2:$L$1501,"Correct",DONNEES!$E$2:$E$1501,$A5)+COUNTIFS(DONNEES!$H$2:$H$1501,"NOTABLE",DONNEES!$L$2:$L$1501,"Pas d’info à tort",DONNEES!$E$2:$E$1501,$A5)+COUNTIFS(DONNEES!$H$2:$H$1501,"NOTABLE",DONNEES!$L$2:$L$1501,"Incorrect",DONNEES!$E$2:$E$1501,$A5)+COUNTIFS(DONNEES!$H$2:$H$1501,"NOTABLE",DONNEES!$L$2:$L$1501,"Hors sujet",DONNEES!$E$2:$E$1501,$A5)</f>
        <v>110</v>
      </c>
      <c r="C5" s="4" t="n">
        <f aca="false">COUNTIFS(DONNEES!$H$2:$H$1501,"NOTABLE",DONNEES!$L$2:$L$1501,"Correct",DONNEES!$E$2:$E$1501,$A5)</f>
        <v>53</v>
      </c>
      <c r="D5" s="4" t="n">
        <f aca="false">COUNTIFS(DONNEES!$H$2:$H$1501,"NOTABLE",DONNEES!$L$2:$L$1501,"Pas d’info à tort",DONNEES!$E$2:$E$1501,$A5)</f>
        <v>56</v>
      </c>
      <c r="E5" s="4" t="n">
        <f aca="false">COUNTIFS(DONNEES!$H$2:$H$1501,"NOTABLE",DONNEES!$L$2:$L$1501,"Incorrect",DONNEES!$E$2:$E$1501,$A5)</f>
        <v>0</v>
      </c>
      <c r="F5" s="4" t="n">
        <f aca="false">COUNTIFS(DONNEES!$H$2:$H$1501,"NOTABLE",DONNEES!$L$2:$L$1501,"Hors sujet",DONNEES!$E$2:$E$1501,$A5)</f>
        <v>1</v>
      </c>
      <c r="G5" s="25" t="n">
        <f aca="false">IF($B5=0,"",C5/$B5)</f>
        <v>0.481818181818182</v>
      </c>
      <c r="H5" s="25" t="n">
        <f aca="false">IF($B5=0,"",D5/$B5)</f>
        <v>0.509090909090909</v>
      </c>
      <c r="I5" s="25" t="n">
        <f aca="false">IF($B5=0,"",E5/$B5)</f>
        <v>0</v>
      </c>
      <c r="J5" s="25" t="n">
        <f aca="false">IF($B5=0,"",F5/$B5)</f>
        <v>0.00909090909090909</v>
      </c>
      <c r="K5" s="26" t="n">
        <f aca="false">IFERROR(AVERAGEIFS(DONNEES!$O$2:$O$1501,DONNEES!$E$2:$E$1501,$A5),"")</f>
        <v>20.2672727272727</v>
      </c>
    </row>
    <row r="6" customFormat="false" ht="15" hidden="false" customHeight="false" outlineLevel="0" collapsed="false">
      <c r="A6" s="4" t="s">
        <v>122</v>
      </c>
      <c r="B6" s="4" t="n">
        <f aca="false">COUNTIFS(DONNEES!$H$2:$H$1501,"NOTABLE",DONNEES!$L$2:$L$1501,"Correct",DONNEES!$E$2:$E$1501,$A6)+COUNTIFS(DONNEES!$H$2:$H$1501,"NOTABLE",DONNEES!$L$2:$L$1501,"Pas d’info à tort",DONNEES!$E$2:$E$1501,$A6)+COUNTIFS(DONNEES!$H$2:$H$1501,"NOTABLE",DONNEES!$L$2:$L$1501,"Incorrect",DONNEES!$E$2:$E$1501,$A6)+COUNTIFS(DONNEES!$H$2:$H$1501,"NOTABLE",DONNEES!$L$2:$L$1501,"Hors sujet",DONNEES!$E$2:$E$1501,$A6)</f>
        <v>262</v>
      </c>
      <c r="C6" s="4" t="n">
        <f aca="false">COUNTIFS(DONNEES!$H$2:$H$1501,"NOTABLE",DONNEES!$L$2:$L$1501,"Correct",DONNEES!$E$2:$E$1501,$A6)</f>
        <v>203</v>
      </c>
      <c r="D6" s="4" t="n">
        <f aca="false">COUNTIFS(DONNEES!$H$2:$H$1501,"NOTABLE",DONNEES!$L$2:$L$1501,"Pas d’info à tort",DONNEES!$E$2:$E$1501,$A6)</f>
        <v>38</v>
      </c>
      <c r="E6" s="4" t="n">
        <f aca="false">COUNTIFS(DONNEES!$H$2:$H$1501,"NOTABLE",DONNEES!$L$2:$L$1501,"Incorrect",DONNEES!$E$2:$E$1501,$A6)</f>
        <v>17</v>
      </c>
      <c r="F6" s="4" t="n">
        <f aca="false">COUNTIFS(DONNEES!$H$2:$H$1501,"NOTABLE",DONNEES!$L$2:$L$1501,"Hors sujet",DONNEES!$E$2:$E$1501,$A6)</f>
        <v>4</v>
      </c>
      <c r="G6" s="25" t="n">
        <f aca="false">IF($B6=0,"",C6/$B6)</f>
        <v>0.774809160305344</v>
      </c>
      <c r="H6" s="25" t="n">
        <f aca="false">IF($B6=0,"",D6/$B6)</f>
        <v>0.145038167938931</v>
      </c>
      <c r="I6" s="25" t="n">
        <f aca="false">IF($B6=0,"",E6/$B6)</f>
        <v>0.0648854961832061</v>
      </c>
      <c r="J6" s="25" t="n">
        <f aca="false">IF($B6=0,"",F6/$B6)</f>
        <v>0.0152671755725191</v>
      </c>
      <c r="K6" s="26" t="n">
        <f aca="false">IFERROR(AVERAGEIFS(DONNEES!$O$2:$O$1501,DONNEES!$E$2:$E$1501,$A6),"")</f>
        <v>18.1374906367041</v>
      </c>
    </row>
    <row r="7" customFormat="false" ht="15" hidden="false" customHeight="false" outlineLevel="0" collapsed="false">
      <c r="A7" s="4" t="s">
        <v>171</v>
      </c>
      <c r="B7" s="4" t="n">
        <f aca="false">COUNTIFS(DONNEES!$H$2:$H$1501,"NOTABLE",DONNEES!$L$2:$L$1501,"Correct",DONNEES!$E$2:$E$1501,$A7)+COUNTIFS(DONNEES!$H$2:$H$1501,"NOTABLE",DONNEES!$L$2:$L$1501,"Pas d’info à tort",DONNEES!$E$2:$E$1501,$A7)+COUNTIFS(DONNEES!$H$2:$H$1501,"NOTABLE",DONNEES!$L$2:$L$1501,"Incorrect",DONNEES!$E$2:$E$1501,$A7)+COUNTIFS(DONNEES!$H$2:$H$1501,"NOTABLE",DONNEES!$L$2:$L$1501,"Hors sujet",DONNEES!$E$2:$E$1501,$A7)</f>
        <v>135</v>
      </c>
      <c r="C7" s="4" t="n">
        <f aca="false">COUNTIFS(DONNEES!$H$2:$H$1501,"NOTABLE",DONNEES!$L$2:$L$1501,"Correct",DONNEES!$E$2:$E$1501,$A7)</f>
        <v>107</v>
      </c>
      <c r="D7" s="4" t="n">
        <f aca="false">COUNTIFS(DONNEES!$H$2:$H$1501,"NOTABLE",DONNEES!$L$2:$L$1501,"Pas d’info à tort",DONNEES!$E$2:$E$1501,$A7)</f>
        <v>22</v>
      </c>
      <c r="E7" s="4" t="n">
        <f aca="false">COUNTIFS(DONNEES!$H$2:$H$1501,"NOTABLE",DONNEES!$L$2:$L$1501,"Incorrect",DONNEES!$E$2:$E$1501,$A7)</f>
        <v>4</v>
      </c>
      <c r="F7" s="4" t="n">
        <f aca="false">COUNTIFS(DONNEES!$H$2:$H$1501,"NOTABLE",DONNEES!$L$2:$L$1501,"Hors sujet",DONNEES!$E$2:$E$1501,$A7)</f>
        <v>2</v>
      </c>
      <c r="G7" s="25" t="n">
        <f aca="false">IF($B7=0,"",C7/$B7)</f>
        <v>0.792592592592593</v>
      </c>
      <c r="H7" s="25" t="n">
        <f aca="false">IF($B7=0,"",D7/$B7)</f>
        <v>0.162962962962963</v>
      </c>
      <c r="I7" s="25" t="n">
        <f aca="false">IF($B7=0,"",E7/$B7)</f>
        <v>0.0296296296296296</v>
      </c>
      <c r="J7" s="25" t="n">
        <f aca="false">IF($B7=0,"",F7/$B7)</f>
        <v>0.0148148148148148</v>
      </c>
      <c r="K7" s="26" t="n">
        <f aca="false">IFERROR(AVERAGEIFS(DONNEES!$O$2:$O$1501,DONNEES!$E$2:$E$1501,$A7),"")</f>
        <v>19.5008148148148</v>
      </c>
    </row>
    <row r="8" customFormat="false" ht="15" hidden="false" customHeight="false" outlineLevel="0" collapsed="false">
      <c r="A8" s="4" t="s">
        <v>570</v>
      </c>
      <c r="B8" s="4" t="n">
        <f aca="false">COUNTIFS(DONNEES!$H$2:$H$1501,"NOTABLE",DONNEES!$L$2:$L$1501,"Correct",DONNEES!$E$2:$E$1501,$A8)+COUNTIFS(DONNEES!$H$2:$H$1501,"NOTABLE",DONNEES!$L$2:$L$1501,"Pas d’info à tort",DONNEES!$E$2:$E$1501,$A8)+COUNTIFS(DONNEES!$H$2:$H$1501,"NOTABLE",DONNEES!$L$2:$L$1501,"Incorrect",DONNEES!$E$2:$E$1501,$A8)+COUNTIFS(DONNEES!$H$2:$H$1501,"NOTABLE",DONNEES!$L$2:$L$1501,"Hors sujet",DONNEES!$E$2:$E$1501,$A8)</f>
        <v>192</v>
      </c>
      <c r="C8" s="4" t="n">
        <f aca="false">COUNTIFS(DONNEES!$H$2:$H$1501,"NOTABLE",DONNEES!$L$2:$L$1501,"Correct",DONNEES!$E$2:$E$1501,$A8)</f>
        <v>159</v>
      </c>
      <c r="D8" s="4" t="n">
        <f aca="false">COUNTIFS(DONNEES!$H$2:$H$1501,"NOTABLE",DONNEES!$L$2:$L$1501,"Pas d’info à tort",DONNEES!$E$2:$E$1501,$A8)</f>
        <v>16</v>
      </c>
      <c r="E8" s="4" t="n">
        <f aca="false">COUNTIFS(DONNEES!$H$2:$H$1501,"NOTABLE",DONNEES!$L$2:$L$1501,"Incorrect",DONNEES!$E$2:$E$1501,$A8)</f>
        <v>14</v>
      </c>
      <c r="F8" s="4" t="n">
        <f aca="false">COUNTIFS(DONNEES!$H$2:$H$1501,"NOTABLE",DONNEES!$L$2:$L$1501,"Hors sujet",DONNEES!$E$2:$E$1501,$A8)</f>
        <v>3</v>
      </c>
      <c r="G8" s="25" t="n">
        <f aca="false">IF($B8=0,"",C8/$B8)</f>
        <v>0.828125</v>
      </c>
      <c r="H8" s="25" t="n">
        <f aca="false">IF($B8=0,"",D8/$B8)</f>
        <v>0.0833333333333333</v>
      </c>
      <c r="I8" s="25" t="n">
        <f aca="false">IF($B8=0,"",E8/$B8)</f>
        <v>0.0729166666666667</v>
      </c>
      <c r="J8" s="25" t="n">
        <f aca="false">IF($B8=0,"",F8/$B8)</f>
        <v>0.015625</v>
      </c>
      <c r="K8" s="26" t="n">
        <f aca="false">IFERROR(AVERAGEIFS(DONNEES!$O$2:$O$1501,DONNEES!$E$2:$E$1501,$A8),"")</f>
        <v>17.708</v>
      </c>
    </row>
    <row r="9" customFormat="false" ht="15" hidden="false" customHeight="false" outlineLevel="0" collapsed="false">
      <c r="A9" s="4" t="s">
        <v>1730</v>
      </c>
      <c r="B9" s="4" t="n">
        <f aca="false">COUNTIFS(DONNEES!$H$2:$H$1501,"NOTABLE",DONNEES!$L$2:$L$1501,"Correct",DONNEES!$E$2:$E$1501,$A9)+COUNTIFS(DONNEES!$H$2:$H$1501,"NOTABLE",DONNEES!$L$2:$L$1501,"Pas d’info à tort",DONNEES!$E$2:$E$1501,$A9)+COUNTIFS(DONNEES!$H$2:$H$1501,"NOTABLE",DONNEES!$L$2:$L$1501,"Incorrect",DONNEES!$E$2:$E$1501,$A9)+COUNTIFS(DONNEES!$H$2:$H$1501,"NOTABLE",DONNEES!$L$2:$L$1501,"Hors sujet",DONNEES!$E$2:$E$1501,$A9)</f>
        <v>79</v>
      </c>
      <c r="C9" s="4" t="n">
        <f aca="false">COUNTIFS(DONNEES!$H$2:$H$1501,"NOTABLE",DONNEES!$L$2:$L$1501,"Correct",DONNEES!$E$2:$E$1501,$A9)</f>
        <v>66</v>
      </c>
      <c r="D9" s="4" t="n">
        <f aca="false">COUNTIFS(DONNEES!$H$2:$H$1501,"NOTABLE",DONNEES!$L$2:$L$1501,"Pas d’info à tort",DONNEES!$E$2:$E$1501,$A9)</f>
        <v>11</v>
      </c>
      <c r="E9" s="4" t="n">
        <f aca="false">COUNTIFS(DONNEES!$H$2:$H$1501,"NOTABLE",DONNEES!$L$2:$L$1501,"Incorrect",DONNEES!$E$2:$E$1501,$A9)</f>
        <v>1</v>
      </c>
      <c r="F9" s="4" t="n">
        <f aca="false">COUNTIFS(DONNEES!$H$2:$H$1501,"NOTABLE",DONNEES!$L$2:$L$1501,"Hors sujet",DONNEES!$E$2:$E$1501,$A9)</f>
        <v>1</v>
      </c>
      <c r="G9" s="25" t="n">
        <f aca="false">IF($B9=0,"",C9/$B9)</f>
        <v>0.835443037974684</v>
      </c>
      <c r="H9" s="25" t="n">
        <f aca="false">IF($B9=0,"",D9/$B9)</f>
        <v>0.139240506329114</v>
      </c>
      <c r="I9" s="25" t="n">
        <f aca="false">IF($B9=0,"",E9/$B9)</f>
        <v>0.0126582278481013</v>
      </c>
      <c r="J9" s="25" t="n">
        <f aca="false">IF($B9=0,"",F9/$B9)</f>
        <v>0.0126582278481013</v>
      </c>
      <c r="K9" s="26" t="n">
        <f aca="false">IFERROR(AVERAGEIFS(DONNEES!$O$2:$O$1501,DONNEES!$E$2:$E$1501,$A9),"")</f>
        <v>17.494</v>
      </c>
    </row>
    <row r="10" customFormat="false" ht="15" hidden="false" customHeight="false" outlineLevel="0" collapsed="false">
      <c r="A10" s="4" t="s">
        <v>114</v>
      </c>
      <c r="B10" s="4" t="n">
        <f aca="false">COUNTIFS(DONNEES!$H$2:$H$1501,"NOTABLE",DONNEES!$L$2:$L$1501,"Correct",DONNEES!$E$2:$E$1501,$A10)+COUNTIFS(DONNEES!$H$2:$H$1501,"NOTABLE",DONNEES!$L$2:$L$1501,"Pas d’info à tort",DONNEES!$E$2:$E$1501,$A10)+COUNTIFS(DONNEES!$H$2:$H$1501,"NOTABLE",DONNEES!$L$2:$L$1501,"Incorrect",DONNEES!$E$2:$E$1501,$A10)+COUNTIFS(DONNEES!$H$2:$H$1501,"NOTABLE",DONNEES!$L$2:$L$1501,"Hors sujet",DONNEES!$E$2:$E$1501,$A10)</f>
        <v>172</v>
      </c>
      <c r="C10" s="4" t="n">
        <f aca="false">COUNTIFS(DONNEES!$H$2:$H$1501,"NOTABLE",DONNEES!$L$2:$L$1501,"Correct",DONNEES!$E$2:$E$1501,$A10)</f>
        <v>149</v>
      </c>
      <c r="D10" s="4" t="n">
        <f aca="false">COUNTIFS(DONNEES!$H$2:$H$1501,"NOTABLE",DONNEES!$L$2:$L$1501,"Pas d’info à tort",DONNEES!$E$2:$E$1501,$A10)</f>
        <v>13</v>
      </c>
      <c r="E10" s="4" t="n">
        <f aca="false">COUNTIFS(DONNEES!$H$2:$H$1501,"NOTABLE",DONNEES!$L$2:$L$1501,"Incorrect",DONNEES!$E$2:$E$1501,$A10)</f>
        <v>6</v>
      </c>
      <c r="F10" s="4" t="n">
        <f aca="false">COUNTIFS(DONNEES!$H$2:$H$1501,"NOTABLE",DONNEES!$L$2:$L$1501,"Hors sujet",DONNEES!$E$2:$E$1501,$A10)</f>
        <v>4</v>
      </c>
      <c r="G10" s="25" t="n">
        <f aca="false">IF($B10=0,"",C10/$B10)</f>
        <v>0.866279069767442</v>
      </c>
      <c r="H10" s="25" t="n">
        <f aca="false">IF($B10=0,"",D10/$B10)</f>
        <v>0.0755813953488372</v>
      </c>
      <c r="I10" s="25" t="n">
        <f aca="false">IF($B10=0,"",E10/$B10)</f>
        <v>0.0348837209302326</v>
      </c>
      <c r="J10" s="25" t="n">
        <f aca="false">IF($B10=0,"",F10/$B10)</f>
        <v>0.0232558139534884</v>
      </c>
      <c r="K10" s="26" t="n">
        <f aca="false">IFERROR(AVERAGEIFS(DONNEES!$O$2:$O$1501,DONNEES!$E$2:$E$1501,$A10),"")</f>
        <v>16.4390173410405</v>
      </c>
    </row>
    <row r="11" customFormat="false" ht="15" hidden="false" customHeight="false" outlineLevel="0" collapsed="false">
      <c r="A11" s="4" t="s">
        <v>260</v>
      </c>
      <c r="B11" s="4" t="n">
        <f aca="false">COUNTIFS(DONNEES!$H$2:$H$1501,"NOTABLE",DONNEES!$L$2:$L$1501,"Correct",DONNEES!$E$2:$E$1501,$A11)+COUNTIFS(DONNEES!$H$2:$H$1501,"NOTABLE",DONNEES!$L$2:$L$1501,"Pas d’info à tort",DONNEES!$E$2:$E$1501,$A11)+COUNTIFS(DONNEES!$H$2:$H$1501,"NOTABLE",DONNEES!$L$2:$L$1501,"Incorrect",DONNEES!$E$2:$E$1501,$A11)+COUNTIFS(DONNEES!$H$2:$H$1501,"NOTABLE",DONNEES!$L$2:$L$1501,"Hors sujet",DONNEES!$E$2:$E$1501,$A11)</f>
        <v>68</v>
      </c>
      <c r="C11" s="4" t="n">
        <f aca="false">COUNTIFS(DONNEES!$H$2:$H$1501,"NOTABLE",DONNEES!$L$2:$L$1501,"Correct",DONNEES!$E$2:$E$1501,$A11)</f>
        <v>59</v>
      </c>
      <c r="D11" s="4" t="n">
        <f aca="false">COUNTIFS(DONNEES!$H$2:$H$1501,"NOTABLE",DONNEES!$L$2:$L$1501,"Pas d’info à tort",DONNEES!$E$2:$E$1501,$A11)</f>
        <v>7</v>
      </c>
      <c r="E11" s="4" t="n">
        <f aca="false">COUNTIFS(DONNEES!$H$2:$H$1501,"NOTABLE",DONNEES!$L$2:$L$1501,"Incorrect",DONNEES!$E$2:$E$1501,$A11)</f>
        <v>1</v>
      </c>
      <c r="F11" s="4" t="n">
        <f aca="false">COUNTIFS(DONNEES!$H$2:$H$1501,"NOTABLE",DONNEES!$L$2:$L$1501,"Hors sujet",DONNEES!$E$2:$E$1501,$A11)</f>
        <v>1</v>
      </c>
      <c r="G11" s="25" t="n">
        <f aca="false">IF($B11=0,"",C11/$B11)</f>
        <v>0.867647058823529</v>
      </c>
      <c r="H11" s="25" t="n">
        <f aca="false">IF($B11=0,"",D11/$B11)</f>
        <v>0.102941176470588</v>
      </c>
      <c r="I11" s="25" t="n">
        <f aca="false">IF($B11=0,"",E11/$B11)</f>
        <v>0.0147058823529412</v>
      </c>
      <c r="J11" s="25" t="n">
        <f aca="false">IF($B11=0,"",F11/$B11)</f>
        <v>0.0147058823529412</v>
      </c>
      <c r="K11" s="26" t="n">
        <f aca="false">IFERROR(AVERAGEIFS(DONNEES!$O$2:$O$1501,DONNEES!$E$2:$E$1501,$A11),"")</f>
        <v>16.235</v>
      </c>
    </row>
    <row r="12" customFormat="false" ht="15" hidden="false" customHeight="false" outlineLevel="0" collapsed="false">
      <c r="A12" s="4" t="s">
        <v>128</v>
      </c>
      <c r="B12" s="4" t="n">
        <f aca="false">COUNTIFS(DONNEES!$H$2:$H$1501,"NOTABLE",DONNEES!$L$2:$L$1501,"Correct",DONNEES!$E$2:$E$1501,$A12)+COUNTIFS(DONNEES!$H$2:$H$1501,"NOTABLE",DONNEES!$L$2:$L$1501,"Pas d’info à tort",DONNEES!$E$2:$E$1501,$A12)+COUNTIFS(DONNEES!$H$2:$H$1501,"NOTABLE",DONNEES!$L$2:$L$1501,"Incorrect",DONNEES!$E$2:$E$1501,$A12)+COUNTIFS(DONNEES!$H$2:$H$1501,"NOTABLE",DONNEES!$L$2:$L$1501,"Hors sujet",DONNEES!$E$2:$E$1501,$A12)</f>
        <v>186</v>
      </c>
      <c r="C12" s="4" t="n">
        <f aca="false">COUNTIFS(DONNEES!$H$2:$H$1501,"NOTABLE",DONNEES!$L$2:$L$1501,"Correct",DONNEES!$E$2:$E$1501,$A12)</f>
        <v>164</v>
      </c>
      <c r="D12" s="4" t="n">
        <f aca="false">COUNTIFS(DONNEES!$H$2:$H$1501,"NOTABLE",DONNEES!$L$2:$L$1501,"Pas d’info à tort",DONNEES!$E$2:$E$1501,$A12)</f>
        <v>15</v>
      </c>
      <c r="E12" s="4" t="n">
        <f aca="false">COUNTIFS(DONNEES!$H$2:$H$1501,"NOTABLE",DONNEES!$L$2:$L$1501,"Incorrect",DONNEES!$E$2:$E$1501,$A12)</f>
        <v>3</v>
      </c>
      <c r="F12" s="4" t="n">
        <f aca="false">COUNTIFS(DONNEES!$H$2:$H$1501,"NOTABLE",DONNEES!$L$2:$L$1501,"Hors sujet",DONNEES!$E$2:$E$1501,$A12)</f>
        <v>4</v>
      </c>
      <c r="G12" s="25" t="n">
        <f aca="false">IF($B12=0,"",C12/$B12)</f>
        <v>0.881720430107527</v>
      </c>
      <c r="H12" s="25" t="n">
        <f aca="false">IF($B12=0,"",D12/$B12)</f>
        <v>0.0806451612903226</v>
      </c>
      <c r="I12" s="25" t="n">
        <f aca="false">IF($B12=0,"",E12/$B12)</f>
        <v>0.0161290322580645</v>
      </c>
      <c r="J12" s="25" t="n">
        <f aca="false">IF($B12=0,"",F12/$B12)</f>
        <v>0.021505376344086</v>
      </c>
      <c r="K12" s="26" t="n">
        <f aca="false">IFERROR(AVERAGEIFS(DONNEES!$O$2:$O$1501,DONNEES!$E$2:$E$1501,$A12),"")</f>
        <v>20.8129411764706</v>
      </c>
    </row>
    <row r="13" customFormat="false" ht="15" hidden="false" customHeight="false" outlineLevel="0" collapsed="false">
      <c r="A13" s="4" t="s">
        <v>185</v>
      </c>
      <c r="B13" s="4" t="n">
        <f aca="false">COUNTIFS(DONNEES!$H$2:$H$1501,"NOTABLE",DONNEES!$L$2:$L$1501,"Correct",DONNEES!$E$2:$E$1501,$A13)+COUNTIFS(DONNEES!$H$2:$H$1501,"NOTABLE",DONNEES!$L$2:$L$1501,"Pas d’info à tort",DONNEES!$E$2:$E$1501,$A13)+COUNTIFS(DONNEES!$H$2:$H$1501,"NOTABLE",DONNEES!$L$2:$L$1501,"Incorrect",DONNEES!$E$2:$E$1501,$A13)+COUNTIFS(DONNEES!$H$2:$H$1501,"NOTABLE",DONNEES!$L$2:$L$1501,"Hors sujet",DONNEES!$E$2:$E$1501,$A13)</f>
        <v>52</v>
      </c>
      <c r="C13" s="4" t="n">
        <f aca="false">COUNTIFS(DONNEES!$H$2:$H$1501,"NOTABLE",DONNEES!$L$2:$L$1501,"Correct",DONNEES!$E$2:$E$1501,$A13)</f>
        <v>46</v>
      </c>
      <c r="D13" s="4" t="n">
        <f aca="false">COUNTIFS(DONNEES!$H$2:$H$1501,"NOTABLE",DONNEES!$L$2:$L$1501,"Pas d’info à tort",DONNEES!$E$2:$E$1501,$A13)</f>
        <v>3</v>
      </c>
      <c r="E13" s="4" t="n">
        <f aca="false">COUNTIFS(DONNEES!$H$2:$H$1501,"NOTABLE",DONNEES!$L$2:$L$1501,"Incorrect",DONNEES!$E$2:$E$1501,$A13)</f>
        <v>1</v>
      </c>
      <c r="F13" s="4" t="n">
        <f aca="false">COUNTIFS(DONNEES!$H$2:$H$1501,"NOTABLE",DONNEES!$L$2:$L$1501,"Hors sujet",DONNEES!$E$2:$E$1501,$A13)</f>
        <v>2</v>
      </c>
      <c r="G13" s="25" t="n">
        <f aca="false">IF($B13=0,"",C13/$B13)</f>
        <v>0.884615384615385</v>
      </c>
      <c r="H13" s="25" t="n">
        <f aca="false">IF($B13=0,"",D13/$B13)</f>
        <v>0.0576923076923077</v>
      </c>
      <c r="I13" s="25" t="n">
        <f aca="false">IF($B13=0,"",E13/$B13)</f>
        <v>0.0192307692307692</v>
      </c>
      <c r="J13" s="25" t="n">
        <f aca="false">IF($B13=0,"",F13/$B13)</f>
        <v>0.0384615384615385</v>
      </c>
      <c r="K13" s="26" t="n">
        <f aca="false">IFERROR(AVERAGEIFS(DONNEES!$O$2:$O$1501,DONNEES!$E$2:$E$1501,$A13),"")</f>
        <v>15.6603797468354</v>
      </c>
    </row>
    <row r="14" customFormat="false" ht="15" hidden="false" customHeight="false" outlineLevel="0" collapsed="false">
      <c r="A14" s="4" t="s">
        <v>401</v>
      </c>
      <c r="B14" s="4" t="n">
        <f aca="false">COUNTIFS(DONNEES!$H$2:$H$1501,"NOTABLE",DONNEES!$L$2:$L$1501,"Correct",DONNEES!$E$2:$E$1501,$A14)+COUNTIFS(DONNEES!$H$2:$H$1501,"NOTABLE",DONNEES!$L$2:$L$1501,"Pas d’info à tort",DONNEES!$E$2:$E$1501,$A14)+COUNTIFS(DONNEES!$H$2:$H$1501,"NOTABLE",DONNEES!$L$2:$L$1501,"Incorrect",DONNEES!$E$2:$E$1501,$A14)+COUNTIFS(DONNEES!$H$2:$H$1501,"NOTABLE",DONNEES!$L$2:$L$1501,"Hors sujet",DONNEES!$E$2:$E$1501,$A14)</f>
        <v>21</v>
      </c>
      <c r="C14" s="4" t="n">
        <f aca="false">COUNTIFS(DONNEES!$H$2:$H$1501,"NOTABLE",DONNEES!$L$2:$L$1501,"Correct",DONNEES!$E$2:$E$1501,$A14)</f>
        <v>19</v>
      </c>
      <c r="D14" s="4" t="n">
        <f aca="false">COUNTIFS(DONNEES!$H$2:$H$1501,"NOTABLE",DONNEES!$L$2:$L$1501,"Pas d’info à tort",DONNEES!$E$2:$E$1501,$A14)</f>
        <v>1</v>
      </c>
      <c r="E14" s="4" t="n">
        <f aca="false">COUNTIFS(DONNEES!$H$2:$H$1501,"NOTABLE",DONNEES!$L$2:$L$1501,"Incorrect",DONNEES!$E$2:$E$1501,$A14)</f>
        <v>1</v>
      </c>
      <c r="F14" s="4" t="n">
        <f aca="false">COUNTIFS(DONNEES!$H$2:$H$1501,"NOTABLE",DONNEES!$L$2:$L$1501,"Hors sujet",DONNEES!$E$2:$E$1501,$A14)</f>
        <v>0</v>
      </c>
      <c r="G14" s="25" t="n">
        <f aca="false">IF($B14=0,"",C14/$B14)</f>
        <v>0.904761904761905</v>
      </c>
      <c r="H14" s="25" t="n">
        <f aca="false">IF($B14=0,"",D14/$B14)</f>
        <v>0.0476190476190476</v>
      </c>
      <c r="I14" s="25" t="n">
        <f aca="false">IF($B14=0,"",E14/$B14)</f>
        <v>0.0476190476190476</v>
      </c>
      <c r="J14" s="25" t="n">
        <f aca="false">IF($B14=0,"",F14/$B14)</f>
        <v>0</v>
      </c>
      <c r="K14" s="26" t="n">
        <f aca="false">IFERROR(AVERAGEIFS(DONNEES!$O$2:$O$1501,DONNEES!$E$2:$E$1501,$A14),"")</f>
        <v>14.6244</v>
      </c>
    </row>
    <row r="15" customFormat="false" ht="15" hidden="false" customHeight="false" outlineLevel="0" collapsed="false">
      <c r="A15" s="4" t="s">
        <v>98</v>
      </c>
      <c r="B15" s="4" t="n">
        <f aca="false">COUNTIFS(DONNEES!$H$2:$H$1501,"NOTABLE",DONNEES!$L$2:$L$1501,"Correct",DONNEES!$E$2:$E$1501,$A15)+COUNTIFS(DONNEES!$H$2:$H$1501,"NOTABLE",DONNEES!$L$2:$L$1501,"Pas d’info à tort",DONNEES!$E$2:$E$1501,$A15)+COUNTIFS(DONNEES!$H$2:$H$1501,"NOTABLE",DONNEES!$L$2:$L$1501,"Incorrect",DONNEES!$E$2:$E$1501,$A15)+COUNTIFS(DONNEES!$H$2:$H$1501,"NOTABLE",DONNEES!$L$2:$L$1501,"Hors sujet",DONNEES!$E$2:$E$1501,$A15)</f>
        <v>88</v>
      </c>
      <c r="C15" s="4" t="n">
        <f aca="false">COUNTIFS(DONNEES!$H$2:$H$1501,"NOTABLE",DONNEES!$L$2:$L$1501,"Correct",DONNEES!$E$2:$E$1501,$A15)</f>
        <v>82</v>
      </c>
      <c r="D15" s="4" t="n">
        <f aca="false">COUNTIFS(DONNEES!$H$2:$H$1501,"NOTABLE",DONNEES!$L$2:$L$1501,"Pas d’info à tort",DONNEES!$E$2:$E$1501,$A15)</f>
        <v>4</v>
      </c>
      <c r="E15" s="4" t="n">
        <f aca="false">COUNTIFS(DONNEES!$H$2:$H$1501,"NOTABLE",DONNEES!$L$2:$L$1501,"Incorrect",DONNEES!$E$2:$E$1501,$A15)</f>
        <v>1</v>
      </c>
      <c r="F15" s="4" t="n">
        <f aca="false">COUNTIFS(DONNEES!$H$2:$H$1501,"NOTABLE",DONNEES!$L$2:$L$1501,"Hors sujet",DONNEES!$E$2:$E$1501,$A15)</f>
        <v>1</v>
      </c>
      <c r="G15" s="25" t="n">
        <f aca="false">IF($B15=0,"",C15/$B15)</f>
        <v>0.931818181818182</v>
      </c>
      <c r="H15" s="25" t="n">
        <f aca="false">IF($B15=0,"",D15/$B15)</f>
        <v>0.0454545454545455</v>
      </c>
      <c r="I15" s="25" t="n">
        <f aca="false">IF($B15=0,"",E15/$B15)</f>
        <v>0.0113636363636364</v>
      </c>
      <c r="J15" s="25" t="n">
        <f aca="false">IF($B15=0,"",F15/$B15)</f>
        <v>0.0113636363636364</v>
      </c>
      <c r="K15" s="26" t="n">
        <f aca="false">IFERROR(AVERAGEIFS(DONNEES!$O$2:$O$1501,DONNEES!$E$2:$E$1501,$A15),"")</f>
        <v>22.289603960396</v>
      </c>
    </row>
  </sheetData>
  <conditionalFormatting sqref="G5:G15">
    <cfRule type="colorScale" priority="2">
      <colorScale>
        <cfvo type="num" val="0.4"/>
        <cfvo type="num" val="0.8"/>
        <cfvo type="num" val="1"/>
        <color rgb="FFF6D5D5"/>
        <color rgb="FFFFFFFF"/>
        <color rgb="FFD9F2E8"/>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9"/>
    <col collapsed="false" customWidth="true" hidden="false" outlineLevel="0" max="4" min="4" style="0" width="13"/>
    <col collapsed="false" customWidth="true" hidden="false" outlineLevel="0" max="5" min="5" style="0" width="11"/>
    <col collapsed="false" customWidth="true" hidden="false" outlineLevel="0" max="7" min="6" style="0" width="10"/>
    <col collapsed="false" customWidth="true" hidden="false" outlineLevel="0" max="8" min="8" style="0" width="11"/>
    <col collapsed="false" customWidth="true" hidden="false" outlineLevel="0" max="9" min="9" style="0" width="9"/>
    <col collapsed="false" customWidth="true" hidden="false" outlineLevel="0" max="10" min="10" style="0" width="10"/>
    <col collapsed="false" customWidth="true" hidden="false" outlineLevel="0" max="11" min="11" style="0" width="11"/>
  </cols>
  <sheetData>
    <row r="1" customFormat="false" ht="18.55" hidden="false" customHeight="false" outlineLevel="0" collapsed="false">
      <c r="A1" s="1" t="s">
        <v>5377</v>
      </c>
    </row>
    <row r="2" customFormat="false" ht="15" hidden="false" customHeight="false" outlineLevel="0" collapsed="false">
      <c r="A2" s="2" t="s">
        <v>5378</v>
      </c>
    </row>
    <row r="4" customFormat="false" ht="23.85" hidden="false" customHeight="false" outlineLevel="0" collapsed="false">
      <c r="A4" s="3" t="s">
        <v>79</v>
      </c>
      <c r="B4" s="3" t="s">
        <v>5369</v>
      </c>
      <c r="C4" s="3" t="s">
        <v>36</v>
      </c>
      <c r="D4" s="3" t="s">
        <v>5370</v>
      </c>
      <c r="E4" s="3" t="s">
        <v>5371</v>
      </c>
      <c r="F4" s="3" t="s">
        <v>39</v>
      </c>
      <c r="G4" s="3" t="s">
        <v>5372</v>
      </c>
      <c r="H4" s="3" t="s">
        <v>5373</v>
      </c>
      <c r="I4" s="3" t="s">
        <v>5374</v>
      </c>
      <c r="J4" s="3" t="s">
        <v>5375</v>
      </c>
      <c r="K4" s="3" t="s">
        <v>5376</v>
      </c>
    </row>
    <row r="5" customFormat="false" ht="15" hidden="false" customHeight="false" outlineLevel="0" collapsed="false">
      <c r="A5" s="4" t="n">
        <v>1</v>
      </c>
      <c r="B5" s="4" t="n">
        <f aca="false">COUNTIFS(DONNEES!$H$2:$H$1501,"NOTABLE",DONNEES!$L$2:$L$1501,"Correct",DONNEES!$C$2:$C$1501,$A5)+COUNTIFS(DONNEES!$H$2:$H$1501,"NOTABLE",DONNEES!$L$2:$L$1501,"Pas d’info à tort",DONNEES!$C$2:$C$1501,$A5)+COUNTIFS(DONNEES!$H$2:$H$1501,"NOTABLE",DONNEES!$L$2:$L$1501,"Incorrect",DONNEES!$C$2:$C$1501,$A5)+COUNTIFS(DONNEES!$H$2:$H$1501,"NOTABLE",DONNEES!$L$2:$L$1501,"Hors sujet",DONNEES!$C$2:$C$1501,$A5)</f>
        <v>296</v>
      </c>
      <c r="C5" s="4" t="n">
        <f aca="false">COUNTIFS(DONNEES!$H$2:$H$1501,"NOTABLE",DONNEES!$L$2:$L$1501,"Correct",DONNEES!$C$2:$C$1501,$A5)</f>
        <v>235</v>
      </c>
      <c r="D5" s="4" t="n">
        <f aca="false">COUNTIFS(DONNEES!$H$2:$H$1501,"NOTABLE",DONNEES!$L$2:$L$1501,"Pas d’info à tort",DONNEES!$C$2:$C$1501,$A5)</f>
        <v>43</v>
      </c>
      <c r="E5" s="4" t="n">
        <f aca="false">COUNTIFS(DONNEES!$H$2:$H$1501,"NOTABLE",DONNEES!$L$2:$L$1501,"Incorrect",DONNEES!$C$2:$C$1501,$A5)</f>
        <v>9</v>
      </c>
      <c r="F5" s="4" t="n">
        <f aca="false">COUNTIFS(DONNEES!$H$2:$H$1501,"NOTABLE",DONNEES!$L$2:$L$1501,"Hors sujet",DONNEES!$C$2:$C$1501,$A5)</f>
        <v>9</v>
      </c>
      <c r="G5" s="25" t="n">
        <f aca="false">IF($B5=0,"",C5/$B5)</f>
        <v>0.793918918918919</v>
      </c>
      <c r="H5" s="25" t="n">
        <f aca="false">IF($B5=0,"",D5/$B5)</f>
        <v>0.14527027027027</v>
      </c>
      <c r="I5" s="25" t="n">
        <f aca="false">IF($B5=0,"",E5/$B5)</f>
        <v>0.0304054054054054</v>
      </c>
      <c r="J5" s="25" t="n">
        <f aca="false">IF($B5=0,"",F5/$B5)</f>
        <v>0.0304054054054054</v>
      </c>
      <c r="K5" s="26" t="n">
        <f aca="false">IFERROR(AVERAGEIFS(DONNEES!$O$2:$O$1501,DONNEES!$C$2:$C$1501,$A5),"")</f>
        <v>38.2718181818182</v>
      </c>
    </row>
    <row r="6" customFormat="false" ht="15" hidden="false" customHeight="false" outlineLevel="0" collapsed="false">
      <c r="A6" s="4" t="n">
        <v>2</v>
      </c>
      <c r="B6" s="4" t="n">
        <f aca="false">COUNTIFS(DONNEES!$H$2:$H$1501,"NOTABLE",DONNEES!$L$2:$L$1501,"Correct",DONNEES!$C$2:$C$1501,$A6)+COUNTIFS(DONNEES!$H$2:$H$1501,"NOTABLE",DONNEES!$L$2:$L$1501,"Pas d’info à tort",DONNEES!$C$2:$C$1501,$A6)+COUNTIFS(DONNEES!$H$2:$H$1501,"NOTABLE",DONNEES!$L$2:$L$1501,"Incorrect",DONNEES!$C$2:$C$1501,$A6)+COUNTIFS(DONNEES!$H$2:$H$1501,"NOTABLE",DONNEES!$L$2:$L$1501,"Hors sujet",DONNEES!$C$2:$C$1501,$A6)</f>
        <v>297</v>
      </c>
      <c r="C6" s="4" t="n">
        <f aca="false">COUNTIFS(DONNEES!$H$2:$H$1501,"NOTABLE",DONNEES!$L$2:$L$1501,"Correct",DONNEES!$C$2:$C$1501,$A6)</f>
        <v>237</v>
      </c>
      <c r="D6" s="4" t="n">
        <f aca="false">COUNTIFS(DONNEES!$H$2:$H$1501,"NOTABLE",DONNEES!$L$2:$L$1501,"Pas d’info à tort",DONNEES!$C$2:$C$1501,$A6)</f>
        <v>40</v>
      </c>
      <c r="E6" s="4" t="n">
        <f aca="false">COUNTIFS(DONNEES!$H$2:$H$1501,"NOTABLE",DONNEES!$L$2:$L$1501,"Incorrect",DONNEES!$C$2:$C$1501,$A6)</f>
        <v>11</v>
      </c>
      <c r="F6" s="4" t="n">
        <f aca="false">COUNTIFS(DONNEES!$H$2:$H$1501,"NOTABLE",DONNEES!$L$2:$L$1501,"Hors sujet",DONNEES!$C$2:$C$1501,$A6)</f>
        <v>9</v>
      </c>
      <c r="G6" s="25" t="n">
        <f aca="false">IF($B6=0,"",C6/$B6)</f>
        <v>0.797979797979798</v>
      </c>
      <c r="H6" s="25" t="n">
        <f aca="false">IF($B6=0,"",D6/$B6)</f>
        <v>0.134680134680135</v>
      </c>
      <c r="I6" s="25" t="n">
        <f aca="false">IF($B6=0,"",E6/$B6)</f>
        <v>0.037037037037037</v>
      </c>
      <c r="J6" s="25" t="n">
        <f aca="false">IF($B6=0,"",F6/$B6)</f>
        <v>0.0303030303030303</v>
      </c>
      <c r="K6" s="26" t="n">
        <f aca="false">IFERROR(AVERAGEIFS(DONNEES!$O$2:$O$1501,DONNEES!$C$2:$C$1501,$A6),"")</f>
        <v>12.8151851851852</v>
      </c>
    </row>
    <row r="7" customFormat="false" ht="15" hidden="false" customHeight="false" outlineLevel="0" collapsed="false">
      <c r="A7" s="4" t="n">
        <v>3</v>
      </c>
      <c r="B7" s="4" t="n">
        <f aca="false">COUNTIFS(DONNEES!$H$2:$H$1501,"NOTABLE",DONNEES!$L$2:$L$1501,"Correct",DONNEES!$C$2:$C$1501,$A7)+COUNTIFS(DONNEES!$H$2:$H$1501,"NOTABLE",DONNEES!$L$2:$L$1501,"Pas d’info à tort",DONNEES!$C$2:$C$1501,$A7)+COUNTIFS(DONNEES!$H$2:$H$1501,"NOTABLE",DONNEES!$L$2:$L$1501,"Incorrect",DONNEES!$C$2:$C$1501,$A7)+COUNTIFS(DONNEES!$H$2:$H$1501,"NOTABLE",DONNEES!$L$2:$L$1501,"Hors sujet",DONNEES!$C$2:$C$1501,$A7)</f>
        <v>256</v>
      </c>
      <c r="C7" s="4" t="n">
        <f aca="false">COUNTIFS(DONNEES!$H$2:$H$1501,"NOTABLE",DONNEES!$L$2:$L$1501,"Correct",DONNEES!$C$2:$C$1501,$A7)</f>
        <v>201</v>
      </c>
      <c r="D7" s="4" t="n">
        <f aca="false">COUNTIFS(DONNEES!$H$2:$H$1501,"NOTABLE",DONNEES!$L$2:$L$1501,"Pas d’info à tort",DONNEES!$C$2:$C$1501,$A7)</f>
        <v>46</v>
      </c>
      <c r="E7" s="4" t="n">
        <f aca="false">COUNTIFS(DONNEES!$H$2:$H$1501,"NOTABLE",DONNEES!$L$2:$L$1501,"Incorrect",DONNEES!$C$2:$C$1501,$A7)</f>
        <v>8</v>
      </c>
      <c r="F7" s="4" t="n">
        <f aca="false">COUNTIFS(DONNEES!$H$2:$H$1501,"NOTABLE",DONNEES!$L$2:$L$1501,"Hors sujet",DONNEES!$C$2:$C$1501,$A7)</f>
        <v>1</v>
      </c>
      <c r="G7" s="25" t="n">
        <f aca="false">IF($B7=0,"",C7/$B7)</f>
        <v>0.78515625</v>
      </c>
      <c r="H7" s="25" t="n">
        <f aca="false">IF($B7=0,"",D7/$B7)</f>
        <v>0.1796875</v>
      </c>
      <c r="I7" s="25" t="n">
        <f aca="false">IF($B7=0,"",E7/$B7)</f>
        <v>0.03125</v>
      </c>
      <c r="J7" s="25" t="n">
        <f aca="false">IF($B7=0,"",F7/$B7)</f>
        <v>0.00390625</v>
      </c>
      <c r="K7" s="26" t="n">
        <f aca="false">IFERROR(AVERAGEIFS(DONNEES!$O$2:$O$1501,DONNEES!$C$2:$C$1501,$A7),"")</f>
        <v>15.6160606060606</v>
      </c>
    </row>
    <row r="8" customFormat="false" ht="15" hidden="false" customHeight="false" outlineLevel="0" collapsed="false">
      <c r="A8" s="4" t="n">
        <v>4</v>
      </c>
      <c r="B8" s="4" t="n">
        <f aca="false">COUNTIFS(DONNEES!$H$2:$H$1501,"NOTABLE",DONNEES!$L$2:$L$1501,"Correct",DONNEES!$C$2:$C$1501,$A8)+COUNTIFS(DONNEES!$H$2:$H$1501,"NOTABLE",DONNEES!$L$2:$L$1501,"Pas d’info à tort",DONNEES!$C$2:$C$1501,$A8)+COUNTIFS(DONNEES!$H$2:$H$1501,"NOTABLE",DONNEES!$L$2:$L$1501,"Incorrect",DONNEES!$C$2:$C$1501,$A8)+COUNTIFS(DONNEES!$H$2:$H$1501,"NOTABLE",DONNEES!$L$2:$L$1501,"Hors sujet",DONNEES!$C$2:$C$1501,$A8)</f>
        <v>219</v>
      </c>
      <c r="C8" s="4" t="n">
        <f aca="false">COUNTIFS(DONNEES!$H$2:$H$1501,"NOTABLE",DONNEES!$L$2:$L$1501,"Correct",DONNEES!$C$2:$C$1501,$A8)</f>
        <v>186</v>
      </c>
      <c r="D8" s="4" t="n">
        <f aca="false">COUNTIFS(DONNEES!$H$2:$H$1501,"NOTABLE",DONNEES!$L$2:$L$1501,"Pas d’info à tort",DONNEES!$C$2:$C$1501,$A8)</f>
        <v>25</v>
      </c>
      <c r="E8" s="4" t="n">
        <f aca="false">COUNTIFS(DONNEES!$H$2:$H$1501,"NOTABLE",DONNEES!$L$2:$L$1501,"Incorrect",DONNEES!$C$2:$C$1501,$A8)</f>
        <v>6</v>
      </c>
      <c r="F8" s="4" t="n">
        <f aca="false">COUNTIFS(DONNEES!$H$2:$H$1501,"NOTABLE",DONNEES!$L$2:$L$1501,"Hors sujet",DONNEES!$C$2:$C$1501,$A8)</f>
        <v>2</v>
      </c>
      <c r="G8" s="25" t="n">
        <f aca="false">IF($B8=0,"",C8/$B8)</f>
        <v>0.849315068493151</v>
      </c>
      <c r="H8" s="25" t="n">
        <f aca="false">IF($B8=0,"",D8/$B8)</f>
        <v>0.114155251141553</v>
      </c>
      <c r="I8" s="25" t="n">
        <f aca="false">IF($B8=0,"",E8/$B8)</f>
        <v>0.0273972602739726</v>
      </c>
      <c r="J8" s="25" t="n">
        <f aca="false">IF($B8=0,"",F8/$B8)</f>
        <v>0.0091324200913242</v>
      </c>
      <c r="K8" s="26" t="n">
        <f aca="false">IFERROR(AVERAGEIFS(DONNEES!$O$2:$O$1501,DONNEES!$C$2:$C$1501,$A8),"")</f>
        <v>12.3351178451178</v>
      </c>
    </row>
    <row r="9" customFormat="false" ht="15" hidden="false" customHeight="false" outlineLevel="0" collapsed="false">
      <c r="A9" s="4" t="n">
        <v>5</v>
      </c>
      <c r="B9" s="4" t="n">
        <f aca="false">COUNTIFS(DONNEES!$H$2:$H$1501,"NOTABLE",DONNEES!$L$2:$L$1501,"Correct",DONNEES!$C$2:$C$1501,$A9)+COUNTIFS(DONNEES!$H$2:$H$1501,"NOTABLE",DONNEES!$L$2:$L$1501,"Pas d’info à tort",DONNEES!$C$2:$C$1501,$A9)+COUNTIFS(DONNEES!$H$2:$H$1501,"NOTABLE",DONNEES!$L$2:$L$1501,"Incorrect",DONNEES!$C$2:$C$1501,$A9)+COUNTIFS(DONNEES!$H$2:$H$1501,"NOTABLE",DONNEES!$L$2:$L$1501,"Hors sujet",DONNEES!$C$2:$C$1501,$A9)</f>
        <v>297</v>
      </c>
      <c r="C9" s="4" t="n">
        <f aca="false">COUNTIFS(DONNEES!$H$2:$H$1501,"NOTABLE",DONNEES!$L$2:$L$1501,"Correct",DONNEES!$C$2:$C$1501,$A9)</f>
        <v>248</v>
      </c>
      <c r="D9" s="4" t="n">
        <f aca="false">COUNTIFS(DONNEES!$H$2:$H$1501,"NOTABLE",DONNEES!$L$2:$L$1501,"Pas d’info à tort",DONNEES!$C$2:$C$1501,$A9)</f>
        <v>32</v>
      </c>
      <c r="E9" s="4" t="n">
        <f aca="false">COUNTIFS(DONNEES!$H$2:$H$1501,"NOTABLE",DONNEES!$L$2:$L$1501,"Incorrect",DONNEES!$C$2:$C$1501,$A9)</f>
        <v>15</v>
      </c>
      <c r="F9" s="4" t="n">
        <f aca="false">COUNTIFS(DONNEES!$H$2:$H$1501,"NOTABLE",DONNEES!$L$2:$L$1501,"Hors sujet",DONNEES!$C$2:$C$1501,$A9)</f>
        <v>2</v>
      </c>
      <c r="G9" s="25" t="n">
        <f aca="false">IF($B9=0,"",C9/$B9)</f>
        <v>0.835016835016835</v>
      </c>
      <c r="H9" s="25" t="n">
        <f aca="false">IF($B9=0,"",D9/$B9)</f>
        <v>0.107744107744108</v>
      </c>
      <c r="I9" s="25" t="n">
        <f aca="false">IF($B9=0,"",E9/$B9)</f>
        <v>0.0505050505050505</v>
      </c>
      <c r="J9" s="25" t="n">
        <f aca="false">IF($B9=0,"",F9/$B9)</f>
        <v>0.00673400673400673</v>
      </c>
      <c r="K9" s="26" t="n">
        <f aca="false">IFERROR(AVERAGEIFS(DONNEES!$O$2:$O$1501,DONNEES!$C$2:$C$1501,$A9),"")</f>
        <v>13.2254545454545</v>
      </c>
    </row>
  </sheetData>
  <conditionalFormatting sqref="G5:G9">
    <cfRule type="colorScale" priority="2">
      <colorScale>
        <cfvo type="num" val="0.4"/>
        <cfvo type="num" val="0.8"/>
        <cfvo type="num" val="1"/>
        <color rgb="FFF6D5D5"/>
        <color rgb="FFFFFFFF"/>
        <color rgb="FFD9F2E8"/>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3" min="2" style="0" width="9"/>
    <col collapsed="false" customWidth="true" hidden="false" outlineLevel="0" max="4" min="4" style="0" width="13"/>
    <col collapsed="false" customWidth="true" hidden="false" outlineLevel="0" max="5" min="5" style="0" width="11"/>
    <col collapsed="false" customWidth="true" hidden="false" outlineLevel="0" max="7" min="6" style="0" width="10"/>
    <col collapsed="false" customWidth="true" hidden="false" outlineLevel="0" max="8" min="8" style="0" width="11"/>
    <col collapsed="false" customWidth="true" hidden="false" outlineLevel="0" max="9" min="9" style="0" width="9"/>
    <col collapsed="false" customWidth="true" hidden="false" outlineLevel="0" max="10" min="10" style="0" width="10"/>
    <col collapsed="false" customWidth="true" hidden="false" outlineLevel="0" max="11" min="11" style="0" width="11"/>
  </cols>
  <sheetData>
    <row r="1" customFormat="false" ht="18.55" hidden="false" customHeight="false" outlineLevel="0" collapsed="false">
      <c r="A1" s="1" t="s">
        <v>5379</v>
      </c>
    </row>
    <row r="2" customFormat="false" ht="15" hidden="false" customHeight="false" outlineLevel="0" collapsed="false">
      <c r="A2" s="2" t="s">
        <v>5380</v>
      </c>
    </row>
    <row r="4" customFormat="false" ht="23.85" hidden="false" customHeight="false" outlineLevel="0" collapsed="false">
      <c r="A4" s="3" t="s">
        <v>83</v>
      </c>
      <c r="B4" s="3" t="s">
        <v>5369</v>
      </c>
      <c r="C4" s="3" t="s">
        <v>36</v>
      </c>
      <c r="D4" s="3" t="s">
        <v>5370</v>
      </c>
      <c r="E4" s="3" t="s">
        <v>5371</v>
      </c>
      <c r="F4" s="3" t="s">
        <v>39</v>
      </c>
      <c r="G4" s="3" t="s">
        <v>5372</v>
      </c>
      <c r="H4" s="3" t="s">
        <v>5373</v>
      </c>
      <c r="I4" s="3" t="s">
        <v>5374</v>
      </c>
      <c r="J4" s="3" t="s">
        <v>5375</v>
      </c>
      <c r="K4" s="3" t="s">
        <v>5376</v>
      </c>
    </row>
    <row r="5" customFormat="false" ht="15" hidden="false" customHeight="false" outlineLevel="0" collapsed="false">
      <c r="A5" s="4" t="s">
        <v>343</v>
      </c>
      <c r="B5" s="4" t="n">
        <f aca="false">COUNTIFS(DONNEES!$H$2:$H$1501,"NOTABLE",DONNEES!$L$2:$L$1501,"Correct",DONNEES!$G$2:$G$1501,$A5)+COUNTIFS(DONNEES!$H$2:$H$1501,"NOTABLE",DONNEES!$L$2:$L$1501,"Pas d’info à tort",DONNEES!$G$2:$G$1501,$A5)+COUNTIFS(DONNEES!$H$2:$H$1501,"NOTABLE",DONNEES!$L$2:$L$1501,"Incorrect",DONNEES!$G$2:$G$1501,$A5)+COUNTIFS(DONNEES!$H$2:$H$1501,"NOTABLE",DONNEES!$L$2:$L$1501,"Hors sujet",DONNEES!$G$2:$G$1501,$A5)</f>
        <v>18</v>
      </c>
      <c r="C5" s="4" t="n">
        <f aca="false">COUNTIFS(DONNEES!$H$2:$H$1501,"NOTABLE",DONNEES!$L$2:$L$1501,"Correct",DONNEES!$G$2:$G$1501,$A5)</f>
        <v>3</v>
      </c>
      <c r="D5" s="4" t="n">
        <f aca="false">COUNTIFS(DONNEES!$H$2:$H$1501,"NOTABLE",DONNEES!$L$2:$L$1501,"Pas d’info à tort",DONNEES!$G$2:$G$1501,$A5)</f>
        <v>15</v>
      </c>
      <c r="E5" s="4" t="n">
        <f aca="false">COUNTIFS(DONNEES!$H$2:$H$1501,"NOTABLE",DONNEES!$L$2:$L$1501,"Incorrect",DONNEES!$G$2:$G$1501,$A5)</f>
        <v>0</v>
      </c>
      <c r="F5" s="4" t="n">
        <f aca="false">COUNTIFS(DONNEES!$H$2:$H$1501,"NOTABLE",DONNEES!$L$2:$L$1501,"Hors sujet",DONNEES!$G$2:$G$1501,$A5)</f>
        <v>0</v>
      </c>
      <c r="G5" s="25" t="n">
        <f aca="false">IF($B5=0,"",C5/$B5)</f>
        <v>0.166666666666667</v>
      </c>
      <c r="H5" s="25" t="n">
        <f aca="false">IF($B5=0,"",D5/$B5)</f>
        <v>0.833333333333333</v>
      </c>
      <c r="I5" s="25" t="n">
        <f aca="false">IF($B5=0,"",E5/$B5)</f>
        <v>0</v>
      </c>
      <c r="J5" s="25" t="n">
        <f aca="false">IF($B5=0,"",F5/$B5)</f>
        <v>0</v>
      </c>
      <c r="K5" s="26" t="n">
        <f aca="false">IFERROR(AVERAGEIFS(DONNEES!$O$2:$O$1501,DONNEES!$G$2:$G$1501,$A5),"")</f>
        <v>26.3777777777778</v>
      </c>
    </row>
    <row r="6" customFormat="false" ht="15" hidden="false" customHeight="false" outlineLevel="0" collapsed="false">
      <c r="A6" s="4" t="s">
        <v>1905</v>
      </c>
      <c r="B6" s="4" t="n">
        <f aca="false">COUNTIFS(DONNEES!$H$2:$H$1501,"NOTABLE",DONNEES!$L$2:$L$1501,"Correct",DONNEES!$G$2:$G$1501,$A6)+COUNTIFS(DONNEES!$H$2:$H$1501,"NOTABLE",DONNEES!$L$2:$L$1501,"Pas d’info à tort",DONNEES!$G$2:$G$1501,$A6)+COUNTIFS(DONNEES!$H$2:$H$1501,"NOTABLE",DONNEES!$L$2:$L$1501,"Incorrect",DONNEES!$G$2:$G$1501,$A6)+COUNTIFS(DONNEES!$H$2:$H$1501,"NOTABLE",DONNEES!$L$2:$L$1501,"Hors sujet",DONNEES!$G$2:$G$1501,$A6)</f>
        <v>14</v>
      </c>
      <c r="C6" s="4" t="n">
        <f aca="false">COUNTIFS(DONNEES!$H$2:$H$1501,"NOTABLE",DONNEES!$L$2:$L$1501,"Correct",DONNEES!$G$2:$G$1501,$A6)</f>
        <v>3</v>
      </c>
      <c r="D6" s="4" t="n">
        <f aca="false">COUNTIFS(DONNEES!$H$2:$H$1501,"NOTABLE",DONNEES!$L$2:$L$1501,"Pas d’info à tort",DONNEES!$G$2:$G$1501,$A6)</f>
        <v>7</v>
      </c>
      <c r="E6" s="4" t="n">
        <f aca="false">COUNTIFS(DONNEES!$H$2:$H$1501,"NOTABLE",DONNEES!$L$2:$L$1501,"Incorrect",DONNEES!$G$2:$G$1501,$A6)</f>
        <v>4</v>
      </c>
      <c r="F6" s="4" t="n">
        <f aca="false">COUNTIFS(DONNEES!$H$2:$H$1501,"NOTABLE",DONNEES!$L$2:$L$1501,"Hors sujet",DONNEES!$G$2:$G$1501,$A6)</f>
        <v>0</v>
      </c>
      <c r="G6" s="25" t="n">
        <f aca="false">IF($B6=0,"",C6/$B6)</f>
        <v>0.214285714285714</v>
      </c>
      <c r="H6" s="25" t="n">
        <f aca="false">IF($B6=0,"",D6/$B6)</f>
        <v>0.5</v>
      </c>
      <c r="I6" s="25" t="n">
        <f aca="false">IF($B6=0,"",E6/$B6)</f>
        <v>0.285714285714286</v>
      </c>
      <c r="J6" s="25" t="n">
        <f aca="false">IF($B6=0,"",F6/$B6)</f>
        <v>0</v>
      </c>
      <c r="K6" s="26" t="n">
        <f aca="false">IFERROR(AVERAGEIFS(DONNEES!$O$2:$O$1501,DONNEES!$G$2:$G$1501,$A6),"")</f>
        <v>16.8278571428571</v>
      </c>
    </row>
    <row r="7" customFormat="false" ht="15" hidden="false" customHeight="false" outlineLevel="0" collapsed="false">
      <c r="A7" s="4" t="s">
        <v>1909</v>
      </c>
      <c r="B7" s="4" t="n">
        <f aca="false">COUNTIFS(DONNEES!$H$2:$H$1501,"NOTABLE",DONNEES!$L$2:$L$1501,"Correct",DONNEES!$G$2:$G$1501,$A7)+COUNTIFS(DONNEES!$H$2:$H$1501,"NOTABLE",DONNEES!$L$2:$L$1501,"Pas d’info à tort",DONNEES!$G$2:$G$1501,$A7)+COUNTIFS(DONNEES!$H$2:$H$1501,"NOTABLE",DONNEES!$L$2:$L$1501,"Incorrect",DONNEES!$G$2:$G$1501,$A7)+COUNTIFS(DONNEES!$H$2:$H$1501,"NOTABLE",DONNEES!$L$2:$L$1501,"Hors sujet",DONNEES!$G$2:$G$1501,$A7)</f>
        <v>14</v>
      </c>
      <c r="C7" s="4" t="n">
        <f aca="false">COUNTIFS(DONNEES!$H$2:$H$1501,"NOTABLE",DONNEES!$L$2:$L$1501,"Correct",DONNEES!$G$2:$G$1501,$A7)</f>
        <v>3</v>
      </c>
      <c r="D7" s="4" t="n">
        <f aca="false">COUNTIFS(DONNEES!$H$2:$H$1501,"NOTABLE",DONNEES!$L$2:$L$1501,"Pas d’info à tort",DONNEES!$G$2:$G$1501,$A7)</f>
        <v>10</v>
      </c>
      <c r="E7" s="4" t="n">
        <f aca="false">COUNTIFS(DONNEES!$H$2:$H$1501,"NOTABLE",DONNEES!$L$2:$L$1501,"Incorrect",DONNEES!$G$2:$G$1501,$A7)</f>
        <v>0</v>
      </c>
      <c r="F7" s="4" t="n">
        <f aca="false">COUNTIFS(DONNEES!$H$2:$H$1501,"NOTABLE",DONNEES!$L$2:$L$1501,"Hors sujet",DONNEES!$G$2:$G$1501,$A7)</f>
        <v>1</v>
      </c>
      <c r="G7" s="25" t="n">
        <f aca="false">IF($B7=0,"",C7/$B7)</f>
        <v>0.214285714285714</v>
      </c>
      <c r="H7" s="25" t="n">
        <f aca="false">IF($B7=0,"",D7/$B7)</f>
        <v>0.714285714285714</v>
      </c>
      <c r="I7" s="25" t="n">
        <f aca="false">IF($B7=0,"",E7/$B7)</f>
        <v>0</v>
      </c>
      <c r="J7" s="25" t="n">
        <f aca="false">IF($B7=0,"",F7/$B7)</f>
        <v>0.0714285714285714</v>
      </c>
      <c r="K7" s="26" t="n">
        <f aca="false">IFERROR(AVERAGEIFS(DONNEES!$O$2:$O$1501,DONNEES!$G$2:$G$1501,$A7),"")</f>
        <v>14.0007142857143</v>
      </c>
    </row>
    <row r="8" customFormat="false" ht="15" hidden="false" customHeight="false" outlineLevel="0" collapsed="false">
      <c r="A8" s="4" t="s">
        <v>1794</v>
      </c>
      <c r="B8" s="4" t="n">
        <f aca="false">COUNTIFS(DONNEES!$H$2:$H$1501,"NOTABLE",DONNEES!$L$2:$L$1501,"Correct",DONNEES!$G$2:$G$1501,$A8)+COUNTIFS(DONNEES!$H$2:$H$1501,"NOTABLE",DONNEES!$L$2:$L$1501,"Pas d’info à tort",DONNEES!$G$2:$G$1501,$A8)+COUNTIFS(DONNEES!$H$2:$H$1501,"NOTABLE",DONNEES!$L$2:$L$1501,"Incorrect",DONNEES!$G$2:$G$1501,$A8)+COUNTIFS(DONNEES!$H$2:$H$1501,"NOTABLE",DONNEES!$L$2:$L$1501,"Hors sujet",DONNEES!$G$2:$G$1501,$A8)</f>
        <v>15</v>
      </c>
      <c r="C8" s="4" t="n">
        <f aca="false">COUNTIFS(DONNEES!$H$2:$H$1501,"NOTABLE",DONNEES!$L$2:$L$1501,"Correct",DONNEES!$G$2:$G$1501,$A8)</f>
        <v>4</v>
      </c>
      <c r="D8" s="4" t="n">
        <f aca="false">COUNTIFS(DONNEES!$H$2:$H$1501,"NOTABLE",DONNEES!$L$2:$L$1501,"Pas d’info à tort",DONNEES!$G$2:$G$1501,$A8)</f>
        <v>2</v>
      </c>
      <c r="E8" s="4" t="n">
        <f aca="false">COUNTIFS(DONNEES!$H$2:$H$1501,"NOTABLE",DONNEES!$L$2:$L$1501,"Incorrect",DONNEES!$G$2:$G$1501,$A8)</f>
        <v>9</v>
      </c>
      <c r="F8" s="4" t="n">
        <f aca="false">COUNTIFS(DONNEES!$H$2:$H$1501,"NOTABLE",DONNEES!$L$2:$L$1501,"Hors sujet",DONNEES!$G$2:$G$1501,$A8)</f>
        <v>0</v>
      </c>
      <c r="G8" s="25" t="n">
        <f aca="false">IF($B8=0,"",C8/$B8)</f>
        <v>0.266666666666667</v>
      </c>
      <c r="H8" s="25" t="n">
        <f aca="false">IF($B8=0,"",D8/$B8)</f>
        <v>0.133333333333333</v>
      </c>
      <c r="I8" s="25" t="n">
        <f aca="false">IF($B8=0,"",E8/$B8)</f>
        <v>0.6</v>
      </c>
      <c r="J8" s="25" t="n">
        <f aca="false">IF($B8=0,"",F8/$B8)</f>
        <v>0</v>
      </c>
      <c r="K8" s="26" t="n">
        <f aca="false">IFERROR(AVERAGEIFS(DONNEES!$O$2:$O$1501,DONNEES!$G$2:$G$1501,$A8),"")</f>
        <v>25.740625</v>
      </c>
    </row>
    <row r="9" customFormat="false" ht="15" hidden="false" customHeight="false" outlineLevel="0" collapsed="false">
      <c r="A9" s="4" t="s">
        <v>159</v>
      </c>
      <c r="B9" s="4" t="n">
        <f aca="false">COUNTIFS(DONNEES!$H$2:$H$1501,"NOTABLE",DONNEES!$L$2:$L$1501,"Correct",DONNEES!$G$2:$G$1501,$A9)+COUNTIFS(DONNEES!$H$2:$H$1501,"NOTABLE",DONNEES!$L$2:$L$1501,"Pas d’info à tort",DONNEES!$G$2:$G$1501,$A9)+COUNTIFS(DONNEES!$H$2:$H$1501,"NOTABLE",DONNEES!$L$2:$L$1501,"Incorrect",DONNEES!$G$2:$G$1501,$A9)+COUNTIFS(DONNEES!$H$2:$H$1501,"NOTABLE",DONNEES!$L$2:$L$1501,"Hors sujet",DONNEES!$G$2:$G$1501,$A9)</f>
        <v>37</v>
      </c>
      <c r="C9" s="4" t="n">
        <f aca="false">COUNTIFS(DONNEES!$H$2:$H$1501,"NOTABLE",DONNEES!$L$2:$L$1501,"Correct",DONNEES!$G$2:$G$1501,$A9)</f>
        <v>10</v>
      </c>
      <c r="D9" s="4" t="n">
        <f aca="false">COUNTIFS(DONNEES!$H$2:$H$1501,"NOTABLE",DONNEES!$L$2:$L$1501,"Pas d’info à tort",DONNEES!$G$2:$G$1501,$A9)</f>
        <v>27</v>
      </c>
      <c r="E9" s="4" t="n">
        <f aca="false">COUNTIFS(DONNEES!$H$2:$H$1501,"NOTABLE",DONNEES!$L$2:$L$1501,"Incorrect",DONNEES!$G$2:$G$1501,$A9)</f>
        <v>0</v>
      </c>
      <c r="F9" s="4" t="n">
        <f aca="false">COUNTIFS(DONNEES!$H$2:$H$1501,"NOTABLE",DONNEES!$L$2:$L$1501,"Hors sujet",DONNEES!$G$2:$G$1501,$A9)</f>
        <v>0</v>
      </c>
      <c r="G9" s="25" t="n">
        <f aca="false">IF($B9=0,"",C9/$B9)</f>
        <v>0.27027027027027</v>
      </c>
      <c r="H9" s="25" t="n">
        <f aca="false">IF($B9=0,"",D9/$B9)</f>
        <v>0.72972972972973</v>
      </c>
      <c r="I9" s="25" t="n">
        <f aca="false">IF($B9=0,"",E9/$B9)</f>
        <v>0</v>
      </c>
      <c r="J9" s="25" t="n">
        <f aca="false">IF($B9=0,"",F9/$B9)</f>
        <v>0</v>
      </c>
      <c r="K9" s="26" t="n">
        <f aca="false">IFERROR(AVERAGEIFS(DONNEES!$O$2:$O$1501,DONNEES!$G$2:$G$1501,$A9),"")</f>
        <v>21.3808108108108</v>
      </c>
    </row>
    <row r="10" customFormat="false" ht="15" hidden="false" customHeight="false" outlineLevel="0" collapsed="false">
      <c r="A10" s="4" t="s">
        <v>519</v>
      </c>
      <c r="B10" s="4" t="n">
        <f aca="false">COUNTIFS(DONNEES!$H$2:$H$1501,"NOTABLE",DONNEES!$L$2:$L$1501,"Correct",DONNEES!$G$2:$G$1501,$A10)+COUNTIFS(DONNEES!$H$2:$H$1501,"NOTABLE",DONNEES!$L$2:$L$1501,"Pas d’info à tort",DONNEES!$G$2:$G$1501,$A10)+COUNTIFS(DONNEES!$H$2:$H$1501,"NOTABLE",DONNEES!$L$2:$L$1501,"Incorrect",DONNEES!$G$2:$G$1501,$A10)+COUNTIFS(DONNEES!$H$2:$H$1501,"NOTABLE",DONNEES!$L$2:$L$1501,"Hors sujet",DONNEES!$G$2:$G$1501,$A10)</f>
        <v>15</v>
      </c>
      <c r="C10" s="4" t="n">
        <f aca="false">COUNTIFS(DONNEES!$H$2:$H$1501,"NOTABLE",DONNEES!$L$2:$L$1501,"Correct",DONNEES!$G$2:$G$1501,$A10)</f>
        <v>5</v>
      </c>
      <c r="D10" s="4" t="n">
        <f aca="false">COUNTIFS(DONNEES!$H$2:$H$1501,"NOTABLE",DONNEES!$L$2:$L$1501,"Pas d’info à tort",DONNEES!$G$2:$G$1501,$A10)</f>
        <v>9</v>
      </c>
      <c r="E10" s="4" t="n">
        <f aca="false">COUNTIFS(DONNEES!$H$2:$H$1501,"NOTABLE",DONNEES!$L$2:$L$1501,"Incorrect",DONNEES!$G$2:$G$1501,$A10)</f>
        <v>0</v>
      </c>
      <c r="F10" s="4" t="n">
        <f aca="false">COUNTIFS(DONNEES!$H$2:$H$1501,"NOTABLE",DONNEES!$L$2:$L$1501,"Hors sujet",DONNEES!$G$2:$G$1501,$A10)</f>
        <v>1</v>
      </c>
      <c r="G10" s="25" t="n">
        <f aca="false">IF($B10=0,"",C10/$B10)</f>
        <v>0.333333333333333</v>
      </c>
      <c r="H10" s="25" t="n">
        <f aca="false">IF($B10=0,"",D10/$B10)</f>
        <v>0.6</v>
      </c>
      <c r="I10" s="25" t="n">
        <f aca="false">IF($B10=0,"",E10/$B10)</f>
        <v>0</v>
      </c>
      <c r="J10" s="25" t="n">
        <f aca="false">IF($B10=0,"",F10/$B10)</f>
        <v>0.0666666666666667</v>
      </c>
      <c r="K10" s="26" t="n">
        <f aca="false">IFERROR(AVERAGEIFS(DONNEES!$O$2:$O$1501,DONNEES!$G$2:$G$1501,$A10),"")</f>
        <v>15.3513333333333</v>
      </c>
    </row>
    <row r="11" customFormat="false" ht="15" hidden="false" customHeight="false" outlineLevel="0" collapsed="false">
      <c r="A11" s="4" t="s">
        <v>1840</v>
      </c>
      <c r="B11" s="4" t="n">
        <f aca="false">COUNTIFS(DONNEES!$H$2:$H$1501,"NOTABLE",DONNEES!$L$2:$L$1501,"Correct",DONNEES!$G$2:$G$1501,$A11)+COUNTIFS(DONNEES!$H$2:$H$1501,"NOTABLE",DONNEES!$L$2:$L$1501,"Pas d’info à tort",DONNEES!$G$2:$G$1501,$A11)+COUNTIFS(DONNEES!$H$2:$H$1501,"NOTABLE",DONNEES!$L$2:$L$1501,"Incorrect",DONNEES!$G$2:$G$1501,$A11)+COUNTIFS(DONNEES!$H$2:$H$1501,"NOTABLE",DONNEES!$L$2:$L$1501,"Hors sujet",DONNEES!$G$2:$G$1501,$A11)</f>
        <v>14</v>
      </c>
      <c r="C11" s="4" t="n">
        <f aca="false">COUNTIFS(DONNEES!$H$2:$H$1501,"NOTABLE",DONNEES!$L$2:$L$1501,"Correct",DONNEES!$G$2:$G$1501,$A11)</f>
        <v>5</v>
      </c>
      <c r="D11" s="4" t="n">
        <f aca="false">COUNTIFS(DONNEES!$H$2:$H$1501,"NOTABLE",DONNEES!$L$2:$L$1501,"Pas d’info à tort",DONNEES!$G$2:$G$1501,$A11)</f>
        <v>7</v>
      </c>
      <c r="E11" s="4" t="n">
        <f aca="false">COUNTIFS(DONNEES!$H$2:$H$1501,"NOTABLE",DONNEES!$L$2:$L$1501,"Incorrect",DONNEES!$G$2:$G$1501,$A11)</f>
        <v>2</v>
      </c>
      <c r="F11" s="4" t="n">
        <f aca="false">COUNTIFS(DONNEES!$H$2:$H$1501,"NOTABLE",DONNEES!$L$2:$L$1501,"Hors sujet",DONNEES!$G$2:$G$1501,$A11)</f>
        <v>0</v>
      </c>
      <c r="G11" s="25" t="n">
        <f aca="false">IF($B11=0,"",C11/$B11)</f>
        <v>0.357142857142857</v>
      </c>
      <c r="H11" s="25" t="n">
        <f aca="false">IF($B11=0,"",D11/$B11)</f>
        <v>0.5</v>
      </c>
      <c r="I11" s="25" t="n">
        <f aca="false">IF($B11=0,"",E11/$B11)</f>
        <v>0.142857142857143</v>
      </c>
      <c r="J11" s="25" t="n">
        <f aca="false">IF($B11=0,"",F11/$B11)</f>
        <v>0</v>
      </c>
      <c r="K11" s="26" t="n">
        <f aca="false">IFERROR(AVERAGEIFS(DONNEES!$O$2:$O$1501,DONNEES!$G$2:$G$1501,$A11),"")</f>
        <v>25.4207142857143</v>
      </c>
    </row>
    <row r="12" customFormat="false" ht="15" hidden="false" customHeight="false" outlineLevel="0" collapsed="false">
      <c r="A12" s="4" t="s">
        <v>2123</v>
      </c>
      <c r="B12" s="4" t="n">
        <f aca="false">COUNTIFS(DONNEES!$H$2:$H$1501,"NOTABLE",DONNEES!$L$2:$L$1501,"Correct",DONNEES!$G$2:$G$1501,$A12)+COUNTIFS(DONNEES!$H$2:$H$1501,"NOTABLE",DONNEES!$L$2:$L$1501,"Pas d’info à tort",DONNEES!$G$2:$G$1501,$A12)+COUNTIFS(DONNEES!$H$2:$H$1501,"NOTABLE",DONNEES!$L$2:$L$1501,"Incorrect",DONNEES!$G$2:$G$1501,$A12)+COUNTIFS(DONNEES!$H$2:$H$1501,"NOTABLE",DONNEES!$L$2:$L$1501,"Hors sujet",DONNEES!$G$2:$G$1501,$A12)</f>
        <v>10</v>
      </c>
      <c r="C12" s="4" t="n">
        <f aca="false">COUNTIFS(DONNEES!$H$2:$H$1501,"NOTABLE",DONNEES!$L$2:$L$1501,"Correct",DONNEES!$G$2:$G$1501,$A12)</f>
        <v>4</v>
      </c>
      <c r="D12" s="4" t="n">
        <f aca="false">COUNTIFS(DONNEES!$H$2:$H$1501,"NOTABLE",DONNEES!$L$2:$L$1501,"Pas d’info à tort",DONNEES!$G$2:$G$1501,$A12)</f>
        <v>3</v>
      </c>
      <c r="E12" s="4" t="n">
        <f aca="false">COUNTIFS(DONNEES!$H$2:$H$1501,"NOTABLE",DONNEES!$L$2:$L$1501,"Incorrect",DONNEES!$G$2:$G$1501,$A12)</f>
        <v>3</v>
      </c>
      <c r="F12" s="4" t="n">
        <f aca="false">COUNTIFS(DONNEES!$H$2:$H$1501,"NOTABLE",DONNEES!$L$2:$L$1501,"Hors sujet",DONNEES!$G$2:$G$1501,$A12)</f>
        <v>0</v>
      </c>
      <c r="G12" s="25" t="n">
        <f aca="false">IF($B12=0,"",C12/$B12)</f>
        <v>0.4</v>
      </c>
      <c r="H12" s="25" t="n">
        <f aca="false">IF($B12=0,"",D12/$B12)</f>
        <v>0.3</v>
      </c>
      <c r="I12" s="25" t="n">
        <f aca="false">IF($B12=0,"",E12/$B12)</f>
        <v>0.3</v>
      </c>
      <c r="J12" s="25" t="n">
        <f aca="false">IF($B12=0,"",F12/$B12)</f>
        <v>0</v>
      </c>
      <c r="K12" s="26" t="n">
        <f aca="false">IFERROR(AVERAGEIFS(DONNEES!$O$2:$O$1501,DONNEES!$G$2:$G$1501,$A12),"")</f>
        <v>15.499</v>
      </c>
    </row>
    <row r="13" customFormat="false" ht="15" hidden="false" customHeight="false" outlineLevel="0" collapsed="false">
      <c r="A13" s="4" t="s">
        <v>968</v>
      </c>
      <c r="B13" s="4" t="n">
        <f aca="false">COUNTIFS(DONNEES!$H$2:$H$1501,"NOTABLE",DONNEES!$L$2:$L$1501,"Correct",DONNEES!$G$2:$G$1501,$A13)+COUNTIFS(DONNEES!$H$2:$H$1501,"NOTABLE",DONNEES!$L$2:$L$1501,"Pas d’info à tort",DONNEES!$G$2:$G$1501,$A13)+COUNTIFS(DONNEES!$H$2:$H$1501,"NOTABLE",DONNEES!$L$2:$L$1501,"Incorrect",DONNEES!$G$2:$G$1501,$A13)+COUNTIFS(DONNEES!$H$2:$H$1501,"NOTABLE",DONNEES!$L$2:$L$1501,"Hors sujet",DONNEES!$G$2:$G$1501,$A13)</f>
        <v>9</v>
      </c>
      <c r="C13" s="4" t="n">
        <f aca="false">COUNTIFS(DONNEES!$H$2:$H$1501,"NOTABLE",DONNEES!$L$2:$L$1501,"Correct",DONNEES!$G$2:$G$1501,$A13)</f>
        <v>5</v>
      </c>
      <c r="D13" s="4" t="n">
        <f aca="false">COUNTIFS(DONNEES!$H$2:$H$1501,"NOTABLE",DONNEES!$L$2:$L$1501,"Pas d’info à tort",DONNEES!$G$2:$G$1501,$A13)</f>
        <v>1</v>
      </c>
      <c r="E13" s="4" t="n">
        <f aca="false">COUNTIFS(DONNEES!$H$2:$H$1501,"NOTABLE",DONNEES!$L$2:$L$1501,"Incorrect",DONNEES!$G$2:$G$1501,$A13)</f>
        <v>3</v>
      </c>
      <c r="F13" s="4" t="n">
        <f aca="false">COUNTIFS(DONNEES!$H$2:$H$1501,"NOTABLE",DONNEES!$L$2:$L$1501,"Hors sujet",DONNEES!$G$2:$G$1501,$A13)</f>
        <v>0</v>
      </c>
      <c r="G13" s="25" t="n">
        <f aca="false">IF($B13=0,"",C13/$B13)</f>
        <v>0.555555555555556</v>
      </c>
      <c r="H13" s="25" t="n">
        <f aca="false">IF($B13=0,"",D13/$B13)</f>
        <v>0.111111111111111</v>
      </c>
      <c r="I13" s="25" t="n">
        <f aca="false">IF($B13=0,"",E13/$B13)</f>
        <v>0.333333333333333</v>
      </c>
      <c r="J13" s="25" t="n">
        <f aca="false">IF($B13=0,"",F13/$B13)</f>
        <v>0</v>
      </c>
      <c r="K13" s="26" t="n">
        <f aca="false">IFERROR(AVERAGEIFS(DONNEES!$O$2:$O$1501,DONNEES!$G$2:$G$1501,$A13),"")</f>
        <v>25.498</v>
      </c>
    </row>
    <row r="14" customFormat="false" ht="15" hidden="false" customHeight="false" outlineLevel="0" collapsed="false">
      <c r="A14" s="4" t="s">
        <v>1819</v>
      </c>
      <c r="B14" s="4" t="n">
        <f aca="false">COUNTIFS(DONNEES!$H$2:$H$1501,"NOTABLE",DONNEES!$L$2:$L$1501,"Correct",DONNEES!$G$2:$G$1501,$A14)+COUNTIFS(DONNEES!$H$2:$H$1501,"NOTABLE",DONNEES!$L$2:$L$1501,"Pas d’info à tort",DONNEES!$G$2:$G$1501,$A14)+COUNTIFS(DONNEES!$H$2:$H$1501,"NOTABLE",DONNEES!$L$2:$L$1501,"Incorrect",DONNEES!$G$2:$G$1501,$A14)+COUNTIFS(DONNEES!$H$2:$H$1501,"NOTABLE",DONNEES!$L$2:$L$1501,"Hors sujet",DONNEES!$G$2:$G$1501,$A14)</f>
        <v>14</v>
      </c>
      <c r="C14" s="4" t="n">
        <f aca="false">COUNTIFS(DONNEES!$H$2:$H$1501,"NOTABLE",DONNEES!$L$2:$L$1501,"Correct",DONNEES!$G$2:$G$1501,$A14)</f>
        <v>8</v>
      </c>
      <c r="D14" s="4" t="n">
        <f aca="false">COUNTIFS(DONNEES!$H$2:$H$1501,"NOTABLE",DONNEES!$L$2:$L$1501,"Pas d’info à tort",DONNEES!$G$2:$G$1501,$A14)</f>
        <v>0</v>
      </c>
      <c r="E14" s="4" t="n">
        <f aca="false">COUNTIFS(DONNEES!$H$2:$H$1501,"NOTABLE",DONNEES!$L$2:$L$1501,"Incorrect",DONNEES!$G$2:$G$1501,$A14)</f>
        <v>5</v>
      </c>
      <c r="F14" s="4" t="n">
        <f aca="false">COUNTIFS(DONNEES!$H$2:$H$1501,"NOTABLE",DONNEES!$L$2:$L$1501,"Hors sujet",DONNEES!$G$2:$G$1501,$A14)</f>
        <v>1</v>
      </c>
      <c r="G14" s="25" t="n">
        <f aca="false">IF($B14=0,"",C14/$B14)</f>
        <v>0.571428571428571</v>
      </c>
      <c r="H14" s="25" t="n">
        <f aca="false">IF($B14=0,"",D14/$B14)</f>
        <v>0</v>
      </c>
      <c r="I14" s="25" t="n">
        <f aca="false">IF($B14=0,"",E14/$B14)</f>
        <v>0.357142857142857</v>
      </c>
      <c r="J14" s="25" t="n">
        <f aca="false">IF($B14=0,"",F14/$B14)</f>
        <v>0.0714285714285714</v>
      </c>
      <c r="K14" s="26" t="n">
        <f aca="false">IFERROR(AVERAGEIFS(DONNEES!$O$2:$O$1501,DONNEES!$G$2:$G$1501,$A14),"")</f>
        <v>14.965</v>
      </c>
    </row>
    <row r="15" customFormat="false" ht="15" hidden="false" customHeight="false" outlineLevel="0" collapsed="false">
      <c r="A15" s="4" t="s">
        <v>2085</v>
      </c>
      <c r="B15" s="4" t="n">
        <f aca="false">COUNTIFS(DONNEES!$H$2:$H$1501,"NOTABLE",DONNEES!$L$2:$L$1501,"Correct",DONNEES!$G$2:$G$1501,$A15)+COUNTIFS(DONNEES!$H$2:$H$1501,"NOTABLE",DONNEES!$L$2:$L$1501,"Pas d’info à tort",DONNEES!$G$2:$G$1501,$A15)+COUNTIFS(DONNEES!$H$2:$H$1501,"NOTABLE",DONNEES!$L$2:$L$1501,"Incorrect",DONNEES!$G$2:$G$1501,$A15)+COUNTIFS(DONNEES!$H$2:$H$1501,"NOTABLE",DONNEES!$L$2:$L$1501,"Hors sujet",DONNEES!$G$2:$G$1501,$A15)</f>
        <v>10</v>
      </c>
      <c r="C15" s="4" t="n">
        <f aca="false">COUNTIFS(DONNEES!$H$2:$H$1501,"NOTABLE",DONNEES!$L$2:$L$1501,"Correct",DONNEES!$G$2:$G$1501,$A15)</f>
        <v>6</v>
      </c>
      <c r="D15" s="4" t="n">
        <f aca="false">COUNTIFS(DONNEES!$H$2:$H$1501,"NOTABLE",DONNEES!$L$2:$L$1501,"Pas d’info à tort",DONNEES!$G$2:$G$1501,$A15)</f>
        <v>1</v>
      </c>
      <c r="E15" s="4" t="n">
        <f aca="false">COUNTIFS(DONNEES!$H$2:$H$1501,"NOTABLE",DONNEES!$L$2:$L$1501,"Incorrect",DONNEES!$G$2:$G$1501,$A15)</f>
        <v>2</v>
      </c>
      <c r="F15" s="4" t="n">
        <f aca="false">COUNTIFS(DONNEES!$H$2:$H$1501,"NOTABLE",DONNEES!$L$2:$L$1501,"Hors sujet",DONNEES!$G$2:$G$1501,$A15)</f>
        <v>1</v>
      </c>
      <c r="G15" s="25" t="n">
        <f aca="false">IF($B15=0,"",C15/$B15)</f>
        <v>0.6</v>
      </c>
      <c r="H15" s="25" t="n">
        <f aca="false">IF($B15=0,"",D15/$B15)</f>
        <v>0.1</v>
      </c>
      <c r="I15" s="25" t="n">
        <f aca="false">IF($B15=0,"",E15/$B15)</f>
        <v>0.2</v>
      </c>
      <c r="J15" s="25" t="n">
        <f aca="false">IF($B15=0,"",F15/$B15)</f>
        <v>0.1</v>
      </c>
      <c r="K15" s="26" t="n">
        <f aca="false">IFERROR(AVERAGEIFS(DONNEES!$O$2:$O$1501,DONNEES!$G$2:$G$1501,$A15),"")</f>
        <v>11.929</v>
      </c>
    </row>
    <row r="16" customFormat="false" ht="15" hidden="false" customHeight="false" outlineLevel="0" collapsed="false">
      <c r="A16" s="4" t="s">
        <v>2415</v>
      </c>
      <c r="B16" s="4" t="n">
        <f aca="false">COUNTIFS(DONNEES!$H$2:$H$1501,"NOTABLE",DONNEES!$L$2:$L$1501,"Correct",DONNEES!$G$2:$G$1501,$A16)+COUNTIFS(DONNEES!$H$2:$H$1501,"NOTABLE",DONNEES!$L$2:$L$1501,"Pas d’info à tort",DONNEES!$G$2:$G$1501,$A16)+COUNTIFS(DONNEES!$H$2:$H$1501,"NOTABLE",DONNEES!$L$2:$L$1501,"Incorrect",DONNEES!$G$2:$G$1501,$A16)+COUNTIFS(DONNEES!$H$2:$H$1501,"NOTABLE",DONNEES!$L$2:$L$1501,"Hors sujet",DONNEES!$G$2:$G$1501,$A16)</f>
        <v>5</v>
      </c>
      <c r="C16" s="4" t="n">
        <f aca="false">COUNTIFS(DONNEES!$H$2:$H$1501,"NOTABLE",DONNEES!$L$2:$L$1501,"Correct",DONNEES!$G$2:$G$1501,$A16)</f>
        <v>3</v>
      </c>
      <c r="D16" s="4" t="n">
        <f aca="false">COUNTIFS(DONNEES!$H$2:$H$1501,"NOTABLE",DONNEES!$L$2:$L$1501,"Pas d’info à tort",DONNEES!$G$2:$G$1501,$A16)</f>
        <v>1</v>
      </c>
      <c r="E16" s="4" t="n">
        <f aca="false">COUNTIFS(DONNEES!$H$2:$H$1501,"NOTABLE",DONNEES!$L$2:$L$1501,"Incorrect",DONNEES!$G$2:$G$1501,$A16)</f>
        <v>1</v>
      </c>
      <c r="F16" s="4" t="n">
        <f aca="false">COUNTIFS(DONNEES!$H$2:$H$1501,"NOTABLE",DONNEES!$L$2:$L$1501,"Hors sujet",DONNEES!$G$2:$G$1501,$A16)</f>
        <v>0</v>
      </c>
      <c r="G16" s="25" t="n">
        <f aca="false">IF($B16=0,"",C16/$B16)</f>
        <v>0.6</v>
      </c>
      <c r="H16" s="25" t="n">
        <f aca="false">IF($B16=0,"",D16/$B16)</f>
        <v>0.2</v>
      </c>
      <c r="I16" s="25" t="n">
        <f aca="false">IF($B16=0,"",E16/$B16)</f>
        <v>0.2</v>
      </c>
      <c r="J16" s="25" t="n">
        <f aca="false">IF($B16=0,"",F16/$B16)</f>
        <v>0</v>
      </c>
      <c r="K16" s="26" t="n">
        <f aca="false">IFERROR(AVERAGEIFS(DONNEES!$O$2:$O$1501,DONNEES!$G$2:$G$1501,$A16),"")</f>
        <v>14.32</v>
      </c>
    </row>
    <row r="17" customFormat="false" ht="15" hidden="false" customHeight="false" outlineLevel="0" collapsed="false">
      <c r="A17" s="4" t="s">
        <v>282</v>
      </c>
      <c r="B17" s="4" t="n">
        <f aca="false">COUNTIFS(DONNEES!$H$2:$H$1501,"NOTABLE",DONNEES!$L$2:$L$1501,"Correct",DONNEES!$G$2:$G$1501,$A17)+COUNTIFS(DONNEES!$H$2:$H$1501,"NOTABLE",DONNEES!$L$2:$L$1501,"Pas d’info à tort",DONNEES!$G$2:$G$1501,$A17)+COUNTIFS(DONNEES!$H$2:$H$1501,"NOTABLE",DONNEES!$L$2:$L$1501,"Incorrect",DONNEES!$G$2:$G$1501,$A17)+COUNTIFS(DONNEES!$H$2:$H$1501,"NOTABLE",DONNEES!$L$2:$L$1501,"Hors sujet",DONNEES!$G$2:$G$1501,$A17)</f>
        <v>23</v>
      </c>
      <c r="C17" s="4" t="n">
        <f aca="false">COUNTIFS(DONNEES!$H$2:$H$1501,"NOTABLE",DONNEES!$L$2:$L$1501,"Correct",DONNEES!$G$2:$G$1501,$A17)</f>
        <v>14</v>
      </c>
      <c r="D17" s="4" t="n">
        <f aca="false">COUNTIFS(DONNEES!$H$2:$H$1501,"NOTABLE",DONNEES!$L$2:$L$1501,"Pas d’info à tort",DONNEES!$G$2:$G$1501,$A17)</f>
        <v>7</v>
      </c>
      <c r="E17" s="4" t="n">
        <f aca="false">COUNTIFS(DONNEES!$H$2:$H$1501,"NOTABLE",DONNEES!$L$2:$L$1501,"Incorrect",DONNEES!$G$2:$G$1501,$A17)</f>
        <v>2</v>
      </c>
      <c r="F17" s="4" t="n">
        <f aca="false">COUNTIFS(DONNEES!$H$2:$H$1501,"NOTABLE",DONNEES!$L$2:$L$1501,"Hors sujet",DONNEES!$G$2:$G$1501,$A17)</f>
        <v>0</v>
      </c>
      <c r="G17" s="25" t="n">
        <f aca="false">IF($B17=0,"",C17/$B17)</f>
        <v>0.608695652173913</v>
      </c>
      <c r="H17" s="25" t="n">
        <f aca="false">IF($B17=0,"",D17/$B17)</f>
        <v>0.304347826086957</v>
      </c>
      <c r="I17" s="25" t="n">
        <f aca="false">IF($B17=0,"",E17/$B17)</f>
        <v>0.0869565217391304</v>
      </c>
      <c r="J17" s="25" t="n">
        <f aca="false">IF($B17=0,"",F17/$B17)</f>
        <v>0</v>
      </c>
      <c r="K17" s="26" t="n">
        <f aca="false">IFERROR(AVERAGEIFS(DONNEES!$O$2:$O$1501,DONNEES!$G$2:$G$1501,$A17),"")</f>
        <v>22.1308695652174</v>
      </c>
    </row>
    <row r="18" customFormat="false" ht="15" hidden="false" customHeight="false" outlineLevel="0" collapsed="false">
      <c r="A18" s="4" t="s">
        <v>464</v>
      </c>
      <c r="B18" s="4" t="n">
        <f aca="false">COUNTIFS(DONNEES!$H$2:$H$1501,"NOTABLE",DONNEES!$L$2:$L$1501,"Correct",DONNEES!$G$2:$G$1501,$A18)+COUNTIFS(DONNEES!$H$2:$H$1501,"NOTABLE",DONNEES!$L$2:$L$1501,"Pas d’info à tort",DONNEES!$G$2:$G$1501,$A18)+COUNTIFS(DONNEES!$H$2:$H$1501,"NOTABLE",DONNEES!$L$2:$L$1501,"Incorrect",DONNEES!$G$2:$G$1501,$A18)+COUNTIFS(DONNEES!$H$2:$H$1501,"NOTABLE",DONNEES!$L$2:$L$1501,"Hors sujet",DONNEES!$G$2:$G$1501,$A18)</f>
        <v>11</v>
      </c>
      <c r="C18" s="4" t="n">
        <f aca="false">COUNTIFS(DONNEES!$H$2:$H$1501,"NOTABLE",DONNEES!$L$2:$L$1501,"Correct",DONNEES!$G$2:$G$1501,$A18)</f>
        <v>7</v>
      </c>
      <c r="D18" s="4" t="n">
        <f aca="false">COUNTIFS(DONNEES!$H$2:$H$1501,"NOTABLE",DONNEES!$L$2:$L$1501,"Pas d’info à tort",DONNEES!$G$2:$G$1501,$A18)</f>
        <v>1</v>
      </c>
      <c r="E18" s="4" t="n">
        <f aca="false">COUNTIFS(DONNEES!$H$2:$H$1501,"NOTABLE",DONNEES!$L$2:$L$1501,"Incorrect",DONNEES!$G$2:$G$1501,$A18)</f>
        <v>3</v>
      </c>
      <c r="F18" s="4" t="n">
        <f aca="false">COUNTIFS(DONNEES!$H$2:$H$1501,"NOTABLE",DONNEES!$L$2:$L$1501,"Hors sujet",DONNEES!$G$2:$G$1501,$A18)</f>
        <v>0</v>
      </c>
      <c r="G18" s="25" t="n">
        <f aca="false">IF($B18=0,"",C18/$B18)</f>
        <v>0.636363636363636</v>
      </c>
      <c r="H18" s="25" t="n">
        <f aca="false">IF($B18=0,"",D18/$B18)</f>
        <v>0.0909090909090909</v>
      </c>
      <c r="I18" s="25" t="n">
        <f aca="false">IF($B18=0,"",E18/$B18)</f>
        <v>0.272727272727273</v>
      </c>
      <c r="J18" s="25" t="n">
        <f aca="false">IF($B18=0,"",F18/$B18)</f>
        <v>0</v>
      </c>
      <c r="K18" s="26" t="n">
        <f aca="false">IFERROR(AVERAGEIFS(DONNEES!$O$2:$O$1501,DONNEES!$G$2:$G$1501,$A18),"")</f>
        <v>20.6672727272727</v>
      </c>
    </row>
    <row r="19" customFormat="false" ht="15" hidden="false" customHeight="false" outlineLevel="0" collapsed="false">
      <c r="A19" s="4" t="s">
        <v>2024</v>
      </c>
      <c r="B19" s="4" t="n">
        <f aca="false">COUNTIFS(DONNEES!$H$2:$H$1501,"NOTABLE",DONNEES!$L$2:$L$1501,"Correct",DONNEES!$G$2:$G$1501,$A19)+COUNTIFS(DONNEES!$H$2:$H$1501,"NOTABLE",DONNEES!$L$2:$L$1501,"Pas d’info à tort",DONNEES!$G$2:$G$1501,$A19)+COUNTIFS(DONNEES!$H$2:$H$1501,"NOTABLE",DONNEES!$L$2:$L$1501,"Incorrect",DONNEES!$G$2:$G$1501,$A19)+COUNTIFS(DONNEES!$H$2:$H$1501,"NOTABLE",DONNEES!$L$2:$L$1501,"Hors sujet",DONNEES!$G$2:$G$1501,$A19)</f>
        <v>10</v>
      </c>
      <c r="C19" s="4" t="n">
        <f aca="false">COUNTIFS(DONNEES!$H$2:$H$1501,"NOTABLE",DONNEES!$L$2:$L$1501,"Correct",DONNEES!$G$2:$G$1501,$A19)</f>
        <v>7</v>
      </c>
      <c r="D19" s="4" t="n">
        <f aca="false">COUNTIFS(DONNEES!$H$2:$H$1501,"NOTABLE",DONNEES!$L$2:$L$1501,"Pas d’info à tort",DONNEES!$G$2:$G$1501,$A19)</f>
        <v>2</v>
      </c>
      <c r="E19" s="4" t="n">
        <f aca="false">COUNTIFS(DONNEES!$H$2:$H$1501,"NOTABLE",DONNEES!$L$2:$L$1501,"Incorrect",DONNEES!$G$2:$G$1501,$A19)</f>
        <v>0</v>
      </c>
      <c r="F19" s="4" t="n">
        <f aca="false">COUNTIFS(DONNEES!$H$2:$H$1501,"NOTABLE",DONNEES!$L$2:$L$1501,"Hors sujet",DONNEES!$G$2:$G$1501,$A19)</f>
        <v>1</v>
      </c>
      <c r="G19" s="25" t="n">
        <f aca="false">IF($B19=0,"",C19/$B19)</f>
        <v>0.7</v>
      </c>
      <c r="H19" s="25" t="n">
        <f aca="false">IF($B19=0,"",D19/$B19)</f>
        <v>0.2</v>
      </c>
      <c r="I19" s="25" t="n">
        <f aca="false">IF($B19=0,"",E19/$B19)</f>
        <v>0</v>
      </c>
      <c r="J19" s="25" t="n">
        <f aca="false">IF($B19=0,"",F19/$B19)</f>
        <v>0.1</v>
      </c>
      <c r="K19" s="26" t="n">
        <f aca="false">IFERROR(AVERAGEIFS(DONNEES!$O$2:$O$1501,DONNEES!$G$2:$G$1501,$A19),"")</f>
        <v>24.529</v>
      </c>
    </row>
    <row r="20" customFormat="false" ht="15" hidden="false" customHeight="false" outlineLevel="0" collapsed="false">
      <c r="A20" s="4" t="s">
        <v>172</v>
      </c>
      <c r="B20" s="4" t="n">
        <f aca="false">COUNTIFS(DONNEES!$H$2:$H$1501,"NOTABLE",DONNEES!$L$2:$L$1501,"Correct",DONNEES!$G$2:$G$1501,$A20)+COUNTIFS(DONNEES!$H$2:$H$1501,"NOTABLE",DONNEES!$L$2:$L$1501,"Pas d’info à tort",DONNEES!$G$2:$G$1501,$A20)+COUNTIFS(DONNEES!$H$2:$H$1501,"NOTABLE",DONNEES!$L$2:$L$1501,"Incorrect",DONNEES!$G$2:$G$1501,$A20)+COUNTIFS(DONNEES!$H$2:$H$1501,"NOTABLE",DONNEES!$L$2:$L$1501,"Hors sujet",DONNEES!$G$2:$G$1501,$A20)</f>
        <v>34</v>
      </c>
      <c r="C20" s="4" t="n">
        <f aca="false">COUNTIFS(DONNEES!$H$2:$H$1501,"NOTABLE",DONNEES!$L$2:$L$1501,"Correct",DONNEES!$G$2:$G$1501,$A20)</f>
        <v>24</v>
      </c>
      <c r="D20" s="4" t="n">
        <f aca="false">COUNTIFS(DONNEES!$H$2:$H$1501,"NOTABLE",DONNEES!$L$2:$L$1501,"Pas d’info à tort",DONNEES!$G$2:$G$1501,$A20)</f>
        <v>10</v>
      </c>
      <c r="E20" s="4" t="n">
        <f aca="false">COUNTIFS(DONNEES!$H$2:$H$1501,"NOTABLE",DONNEES!$L$2:$L$1501,"Incorrect",DONNEES!$G$2:$G$1501,$A20)</f>
        <v>0</v>
      </c>
      <c r="F20" s="4" t="n">
        <f aca="false">COUNTIFS(DONNEES!$H$2:$H$1501,"NOTABLE",DONNEES!$L$2:$L$1501,"Hors sujet",DONNEES!$G$2:$G$1501,$A20)</f>
        <v>0</v>
      </c>
      <c r="G20" s="25" t="n">
        <f aca="false">IF($B20=0,"",C20/$B20)</f>
        <v>0.705882352941177</v>
      </c>
      <c r="H20" s="25" t="n">
        <f aca="false">IF($B20=0,"",D20/$B20)</f>
        <v>0.294117647058824</v>
      </c>
      <c r="I20" s="25" t="n">
        <f aca="false">IF($B20=0,"",E20/$B20)</f>
        <v>0</v>
      </c>
      <c r="J20" s="25" t="n">
        <f aca="false">IF($B20=0,"",F20/$B20)</f>
        <v>0</v>
      </c>
      <c r="K20" s="26" t="n">
        <f aca="false">IFERROR(AVERAGEIFS(DONNEES!$O$2:$O$1501,DONNEES!$G$2:$G$1501,$A20),"")</f>
        <v>19.2526470588235</v>
      </c>
    </row>
    <row r="21" customFormat="false" ht="15" hidden="false" customHeight="false" outlineLevel="0" collapsed="false">
      <c r="A21" s="4" t="s">
        <v>1891</v>
      </c>
      <c r="B21" s="4" t="n">
        <f aca="false">COUNTIFS(DONNEES!$H$2:$H$1501,"NOTABLE",DONNEES!$L$2:$L$1501,"Correct",DONNEES!$G$2:$G$1501,$A21)+COUNTIFS(DONNEES!$H$2:$H$1501,"NOTABLE",DONNEES!$L$2:$L$1501,"Pas d’info à tort",DONNEES!$G$2:$G$1501,$A21)+COUNTIFS(DONNEES!$H$2:$H$1501,"NOTABLE",DONNEES!$L$2:$L$1501,"Incorrect",DONNEES!$G$2:$G$1501,$A21)+COUNTIFS(DONNEES!$H$2:$H$1501,"NOTABLE",DONNEES!$L$2:$L$1501,"Hors sujet",DONNEES!$G$2:$G$1501,$A21)</f>
        <v>14</v>
      </c>
      <c r="C21" s="4" t="n">
        <f aca="false">COUNTIFS(DONNEES!$H$2:$H$1501,"NOTABLE",DONNEES!$L$2:$L$1501,"Correct",DONNEES!$G$2:$G$1501,$A21)</f>
        <v>10</v>
      </c>
      <c r="D21" s="4" t="n">
        <f aca="false">COUNTIFS(DONNEES!$H$2:$H$1501,"NOTABLE",DONNEES!$L$2:$L$1501,"Pas d’info à tort",DONNEES!$G$2:$G$1501,$A21)</f>
        <v>2</v>
      </c>
      <c r="E21" s="4" t="n">
        <f aca="false">COUNTIFS(DONNEES!$H$2:$H$1501,"NOTABLE",DONNEES!$L$2:$L$1501,"Incorrect",DONNEES!$G$2:$G$1501,$A21)</f>
        <v>1</v>
      </c>
      <c r="F21" s="4" t="n">
        <f aca="false">COUNTIFS(DONNEES!$H$2:$H$1501,"NOTABLE",DONNEES!$L$2:$L$1501,"Hors sujet",DONNEES!$G$2:$G$1501,$A21)</f>
        <v>1</v>
      </c>
      <c r="G21" s="25" t="n">
        <f aca="false">IF($B21=0,"",C21/$B21)</f>
        <v>0.714285714285714</v>
      </c>
      <c r="H21" s="25" t="n">
        <f aca="false">IF($B21=0,"",D21/$B21)</f>
        <v>0.142857142857143</v>
      </c>
      <c r="I21" s="25" t="n">
        <f aca="false">IF($B21=0,"",E21/$B21)</f>
        <v>0.0714285714285714</v>
      </c>
      <c r="J21" s="25" t="n">
        <f aca="false">IF($B21=0,"",F21/$B21)</f>
        <v>0.0714285714285714</v>
      </c>
      <c r="K21" s="26" t="n">
        <f aca="false">IFERROR(AVERAGEIFS(DONNEES!$O$2:$O$1501,DONNEES!$G$2:$G$1501,$A21),"")</f>
        <v>14.9621428571429</v>
      </c>
    </row>
    <row r="22" customFormat="false" ht="15" hidden="false" customHeight="false" outlineLevel="0" collapsed="false">
      <c r="A22" s="4" t="s">
        <v>1887</v>
      </c>
      <c r="B22" s="4" t="n">
        <f aca="false">COUNTIFS(DONNEES!$H$2:$H$1501,"NOTABLE",DONNEES!$L$2:$L$1501,"Correct",DONNEES!$G$2:$G$1501,$A22)+COUNTIFS(DONNEES!$H$2:$H$1501,"NOTABLE",DONNEES!$L$2:$L$1501,"Pas d’info à tort",DONNEES!$G$2:$G$1501,$A22)+COUNTIFS(DONNEES!$H$2:$H$1501,"NOTABLE",DONNEES!$L$2:$L$1501,"Incorrect",DONNEES!$G$2:$G$1501,$A22)+COUNTIFS(DONNEES!$H$2:$H$1501,"NOTABLE",DONNEES!$L$2:$L$1501,"Hors sujet",DONNEES!$G$2:$G$1501,$A22)</f>
        <v>14</v>
      </c>
      <c r="C22" s="4" t="n">
        <f aca="false">COUNTIFS(DONNEES!$H$2:$H$1501,"NOTABLE",DONNEES!$L$2:$L$1501,"Correct",DONNEES!$G$2:$G$1501,$A22)</f>
        <v>10</v>
      </c>
      <c r="D22" s="4" t="n">
        <f aca="false">COUNTIFS(DONNEES!$H$2:$H$1501,"NOTABLE",DONNEES!$L$2:$L$1501,"Pas d’info à tort",DONNEES!$G$2:$G$1501,$A22)</f>
        <v>2</v>
      </c>
      <c r="E22" s="4" t="n">
        <f aca="false">COUNTIFS(DONNEES!$H$2:$H$1501,"NOTABLE",DONNEES!$L$2:$L$1501,"Incorrect",DONNEES!$G$2:$G$1501,$A22)</f>
        <v>0</v>
      </c>
      <c r="F22" s="4" t="n">
        <f aca="false">COUNTIFS(DONNEES!$H$2:$H$1501,"NOTABLE",DONNEES!$L$2:$L$1501,"Hors sujet",DONNEES!$G$2:$G$1501,$A22)</f>
        <v>2</v>
      </c>
      <c r="G22" s="25" t="n">
        <f aca="false">IF($B22=0,"",C22/$B22)</f>
        <v>0.714285714285714</v>
      </c>
      <c r="H22" s="25" t="n">
        <f aca="false">IF($B22=0,"",D22/$B22)</f>
        <v>0.142857142857143</v>
      </c>
      <c r="I22" s="25" t="n">
        <f aca="false">IF($B22=0,"",E22/$B22)</f>
        <v>0</v>
      </c>
      <c r="J22" s="25" t="n">
        <f aca="false">IF($B22=0,"",F22/$B22)</f>
        <v>0.142857142857143</v>
      </c>
      <c r="K22" s="26" t="n">
        <f aca="false">IFERROR(AVERAGEIFS(DONNEES!$O$2:$O$1501,DONNEES!$G$2:$G$1501,$A22),"")</f>
        <v>11.4492857142857</v>
      </c>
    </row>
    <row r="23" customFormat="false" ht="15" hidden="false" customHeight="false" outlineLevel="0" collapsed="false">
      <c r="A23" s="4" t="s">
        <v>1785</v>
      </c>
      <c r="B23" s="4" t="n">
        <f aca="false">COUNTIFS(DONNEES!$H$2:$H$1501,"NOTABLE",DONNEES!$L$2:$L$1501,"Correct",DONNEES!$G$2:$G$1501,$A23)+COUNTIFS(DONNEES!$H$2:$H$1501,"NOTABLE",DONNEES!$L$2:$L$1501,"Pas d’info à tort",DONNEES!$G$2:$G$1501,$A23)+COUNTIFS(DONNEES!$H$2:$H$1501,"NOTABLE",DONNEES!$L$2:$L$1501,"Incorrect",DONNEES!$G$2:$G$1501,$A23)+COUNTIFS(DONNEES!$H$2:$H$1501,"NOTABLE",DONNEES!$L$2:$L$1501,"Hors sujet",DONNEES!$G$2:$G$1501,$A23)</f>
        <v>16</v>
      </c>
      <c r="C23" s="4" t="n">
        <f aca="false">COUNTIFS(DONNEES!$H$2:$H$1501,"NOTABLE",DONNEES!$L$2:$L$1501,"Correct",DONNEES!$G$2:$G$1501,$A23)</f>
        <v>12</v>
      </c>
      <c r="D23" s="4" t="n">
        <f aca="false">COUNTIFS(DONNEES!$H$2:$H$1501,"NOTABLE",DONNEES!$L$2:$L$1501,"Pas d’info à tort",DONNEES!$G$2:$G$1501,$A23)</f>
        <v>2</v>
      </c>
      <c r="E23" s="4" t="n">
        <f aca="false">COUNTIFS(DONNEES!$H$2:$H$1501,"NOTABLE",DONNEES!$L$2:$L$1501,"Incorrect",DONNEES!$G$2:$G$1501,$A23)</f>
        <v>1</v>
      </c>
      <c r="F23" s="4" t="n">
        <f aca="false">COUNTIFS(DONNEES!$H$2:$H$1501,"NOTABLE",DONNEES!$L$2:$L$1501,"Hors sujet",DONNEES!$G$2:$G$1501,$A23)</f>
        <v>1</v>
      </c>
      <c r="G23" s="25" t="n">
        <f aca="false">IF($B23=0,"",C23/$B23)</f>
        <v>0.75</v>
      </c>
      <c r="H23" s="25" t="n">
        <f aca="false">IF($B23=0,"",D23/$B23)</f>
        <v>0.125</v>
      </c>
      <c r="I23" s="25" t="n">
        <f aca="false">IF($B23=0,"",E23/$B23)</f>
        <v>0.0625</v>
      </c>
      <c r="J23" s="25" t="n">
        <f aca="false">IF($B23=0,"",F23/$B23)</f>
        <v>0.0625</v>
      </c>
      <c r="K23" s="26" t="n">
        <f aca="false">IFERROR(AVERAGEIFS(DONNEES!$O$2:$O$1501,DONNEES!$G$2:$G$1501,$A23),"")</f>
        <v>18.800625</v>
      </c>
    </row>
    <row r="24" customFormat="false" ht="15" hidden="false" customHeight="false" outlineLevel="0" collapsed="false">
      <c r="A24" s="4" t="s">
        <v>2009</v>
      </c>
      <c r="B24" s="4" t="n">
        <f aca="false">COUNTIFS(DONNEES!$H$2:$H$1501,"NOTABLE",DONNEES!$L$2:$L$1501,"Correct",DONNEES!$G$2:$G$1501,$A24)+COUNTIFS(DONNEES!$H$2:$H$1501,"NOTABLE",DONNEES!$L$2:$L$1501,"Pas d’info à tort",DONNEES!$G$2:$G$1501,$A24)+COUNTIFS(DONNEES!$H$2:$H$1501,"NOTABLE",DONNEES!$L$2:$L$1501,"Incorrect",DONNEES!$G$2:$G$1501,$A24)+COUNTIFS(DONNEES!$H$2:$H$1501,"NOTABLE",DONNEES!$L$2:$L$1501,"Hors sujet",DONNEES!$G$2:$G$1501,$A24)</f>
        <v>12</v>
      </c>
      <c r="C24" s="4" t="n">
        <f aca="false">COUNTIFS(DONNEES!$H$2:$H$1501,"NOTABLE",DONNEES!$L$2:$L$1501,"Correct",DONNEES!$G$2:$G$1501,$A24)</f>
        <v>9</v>
      </c>
      <c r="D24" s="4" t="n">
        <f aca="false">COUNTIFS(DONNEES!$H$2:$H$1501,"NOTABLE",DONNEES!$L$2:$L$1501,"Pas d’info à tort",DONNEES!$G$2:$G$1501,$A24)</f>
        <v>3</v>
      </c>
      <c r="E24" s="4" t="n">
        <f aca="false">COUNTIFS(DONNEES!$H$2:$H$1501,"NOTABLE",DONNEES!$L$2:$L$1501,"Incorrect",DONNEES!$G$2:$G$1501,$A24)</f>
        <v>0</v>
      </c>
      <c r="F24" s="4" t="n">
        <f aca="false">COUNTIFS(DONNEES!$H$2:$H$1501,"NOTABLE",DONNEES!$L$2:$L$1501,"Hors sujet",DONNEES!$G$2:$G$1501,$A24)</f>
        <v>0</v>
      </c>
      <c r="G24" s="25" t="n">
        <f aca="false">IF($B24=0,"",C24/$B24)</f>
        <v>0.75</v>
      </c>
      <c r="H24" s="25" t="n">
        <f aca="false">IF($B24=0,"",D24/$B24)</f>
        <v>0.25</v>
      </c>
      <c r="I24" s="25" t="n">
        <f aca="false">IF($B24=0,"",E24/$B24)</f>
        <v>0</v>
      </c>
      <c r="J24" s="25" t="n">
        <f aca="false">IF($B24=0,"",F24/$B24)</f>
        <v>0</v>
      </c>
      <c r="K24" s="26" t="n">
        <f aca="false">IFERROR(AVERAGEIFS(DONNEES!$O$2:$O$1501,DONNEES!$G$2:$G$1501,$A24),"")</f>
        <v>18.9416666666667</v>
      </c>
    </row>
    <row r="25" customFormat="false" ht="15" hidden="false" customHeight="false" outlineLevel="0" collapsed="false">
      <c r="A25" s="4" t="s">
        <v>2003</v>
      </c>
      <c r="B25" s="4" t="n">
        <f aca="false">COUNTIFS(DONNEES!$H$2:$H$1501,"NOTABLE",DONNEES!$L$2:$L$1501,"Correct",DONNEES!$G$2:$G$1501,$A25)+COUNTIFS(DONNEES!$H$2:$H$1501,"NOTABLE",DONNEES!$L$2:$L$1501,"Pas d’info à tort",DONNEES!$G$2:$G$1501,$A25)+COUNTIFS(DONNEES!$H$2:$H$1501,"NOTABLE",DONNEES!$L$2:$L$1501,"Incorrect",DONNEES!$G$2:$G$1501,$A25)+COUNTIFS(DONNEES!$H$2:$H$1501,"NOTABLE",DONNEES!$L$2:$L$1501,"Hors sujet",DONNEES!$G$2:$G$1501,$A25)</f>
        <v>12</v>
      </c>
      <c r="C25" s="4" t="n">
        <f aca="false">COUNTIFS(DONNEES!$H$2:$H$1501,"NOTABLE",DONNEES!$L$2:$L$1501,"Correct",DONNEES!$G$2:$G$1501,$A25)</f>
        <v>9</v>
      </c>
      <c r="D25" s="4" t="n">
        <f aca="false">COUNTIFS(DONNEES!$H$2:$H$1501,"NOTABLE",DONNEES!$L$2:$L$1501,"Pas d’info à tort",DONNEES!$G$2:$G$1501,$A25)</f>
        <v>3</v>
      </c>
      <c r="E25" s="4" t="n">
        <f aca="false">COUNTIFS(DONNEES!$H$2:$H$1501,"NOTABLE",DONNEES!$L$2:$L$1501,"Incorrect",DONNEES!$G$2:$G$1501,$A25)</f>
        <v>0</v>
      </c>
      <c r="F25" s="4" t="n">
        <f aca="false">COUNTIFS(DONNEES!$H$2:$H$1501,"NOTABLE",DONNEES!$L$2:$L$1501,"Hors sujet",DONNEES!$G$2:$G$1501,$A25)</f>
        <v>0</v>
      </c>
      <c r="G25" s="25" t="n">
        <f aca="false">IF($B25=0,"",C25/$B25)</f>
        <v>0.75</v>
      </c>
      <c r="H25" s="25" t="n">
        <f aca="false">IF($B25=0,"",D25/$B25)</f>
        <v>0.25</v>
      </c>
      <c r="I25" s="25" t="n">
        <f aca="false">IF($B25=0,"",E25/$B25)</f>
        <v>0</v>
      </c>
      <c r="J25" s="25" t="n">
        <f aca="false">IF($B25=0,"",F25/$B25)</f>
        <v>0</v>
      </c>
      <c r="K25" s="26" t="n">
        <f aca="false">IFERROR(AVERAGEIFS(DONNEES!$O$2:$O$1501,DONNEES!$G$2:$G$1501,$A25),"")</f>
        <v>15.3541666666667</v>
      </c>
    </row>
    <row r="26" customFormat="false" ht="15" hidden="false" customHeight="false" outlineLevel="0" collapsed="false">
      <c r="A26" s="4" t="s">
        <v>2166</v>
      </c>
      <c r="B26" s="4" t="n">
        <f aca="false">COUNTIFS(DONNEES!$H$2:$H$1501,"NOTABLE",DONNEES!$L$2:$L$1501,"Correct",DONNEES!$G$2:$G$1501,$A26)+COUNTIFS(DONNEES!$H$2:$H$1501,"NOTABLE",DONNEES!$L$2:$L$1501,"Pas d’info à tort",DONNEES!$G$2:$G$1501,$A26)+COUNTIFS(DONNEES!$H$2:$H$1501,"NOTABLE",DONNEES!$L$2:$L$1501,"Incorrect",DONNEES!$G$2:$G$1501,$A26)+COUNTIFS(DONNEES!$H$2:$H$1501,"NOTABLE",DONNEES!$L$2:$L$1501,"Hors sujet",DONNEES!$G$2:$G$1501,$A26)</f>
        <v>8</v>
      </c>
      <c r="C26" s="4" t="n">
        <f aca="false">COUNTIFS(DONNEES!$H$2:$H$1501,"NOTABLE",DONNEES!$L$2:$L$1501,"Correct",DONNEES!$G$2:$G$1501,$A26)</f>
        <v>6</v>
      </c>
      <c r="D26" s="4" t="n">
        <f aca="false">COUNTIFS(DONNEES!$H$2:$H$1501,"NOTABLE",DONNEES!$L$2:$L$1501,"Pas d’info à tort",DONNEES!$G$2:$G$1501,$A26)</f>
        <v>2</v>
      </c>
      <c r="E26" s="4" t="n">
        <f aca="false">COUNTIFS(DONNEES!$H$2:$H$1501,"NOTABLE",DONNEES!$L$2:$L$1501,"Incorrect",DONNEES!$G$2:$G$1501,$A26)</f>
        <v>0</v>
      </c>
      <c r="F26" s="4" t="n">
        <f aca="false">COUNTIFS(DONNEES!$H$2:$H$1501,"NOTABLE",DONNEES!$L$2:$L$1501,"Hors sujet",DONNEES!$G$2:$G$1501,$A26)</f>
        <v>0</v>
      </c>
      <c r="G26" s="25" t="n">
        <f aca="false">IF($B26=0,"",C26/$B26)</f>
        <v>0.75</v>
      </c>
      <c r="H26" s="25" t="n">
        <f aca="false">IF($B26=0,"",D26/$B26)</f>
        <v>0.25</v>
      </c>
      <c r="I26" s="25" t="n">
        <f aca="false">IF($B26=0,"",E26/$B26)</f>
        <v>0</v>
      </c>
      <c r="J26" s="25" t="n">
        <f aca="false">IF($B26=0,"",F26/$B26)</f>
        <v>0</v>
      </c>
      <c r="K26" s="26" t="n">
        <f aca="false">IFERROR(AVERAGEIFS(DONNEES!$O$2:$O$1501,DONNEES!$G$2:$G$1501,$A26),"")</f>
        <v>11.68125</v>
      </c>
    </row>
    <row r="27" customFormat="false" ht="15" hidden="false" customHeight="false" outlineLevel="0" collapsed="false">
      <c r="A27" s="4" t="s">
        <v>2036</v>
      </c>
      <c r="B27" s="4" t="n">
        <f aca="false">COUNTIFS(DONNEES!$H$2:$H$1501,"NOTABLE",DONNEES!$L$2:$L$1501,"Correct",DONNEES!$G$2:$G$1501,$A27)+COUNTIFS(DONNEES!$H$2:$H$1501,"NOTABLE",DONNEES!$L$2:$L$1501,"Pas d’info à tort",DONNEES!$G$2:$G$1501,$A27)+COUNTIFS(DONNEES!$H$2:$H$1501,"NOTABLE",DONNEES!$L$2:$L$1501,"Incorrect",DONNEES!$G$2:$G$1501,$A27)+COUNTIFS(DONNEES!$H$2:$H$1501,"NOTABLE",DONNEES!$L$2:$L$1501,"Hors sujet",DONNEES!$G$2:$G$1501,$A27)</f>
        <v>4</v>
      </c>
      <c r="C27" s="4" t="n">
        <f aca="false">COUNTIFS(DONNEES!$H$2:$H$1501,"NOTABLE",DONNEES!$L$2:$L$1501,"Correct",DONNEES!$G$2:$G$1501,$A27)</f>
        <v>3</v>
      </c>
      <c r="D27" s="4" t="n">
        <f aca="false">COUNTIFS(DONNEES!$H$2:$H$1501,"NOTABLE",DONNEES!$L$2:$L$1501,"Pas d’info à tort",DONNEES!$G$2:$G$1501,$A27)</f>
        <v>1</v>
      </c>
      <c r="E27" s="4" t="n">
        <f aca="false">COUNTIFS(DONNEES!$H$2:$H$1501,"NOTABLE",DONNEES!$L$2:$L$1501,"Incorrect",DONNEES!$G$2:$G$1501,$A27)</f>
        <v>0</v>
      </c>
      <c r="F27" s="4" t="n">
        <f aca="false">COUNTIFS(DONNEES!$H$2:$H$1501,"NOTABLE",DONNEES!$L$2:$L$1501,"Hors sujet",DONNEES!$G$2:$G$1501,$A27)</f>
        <v>0</v>
      </c>
      <c r="G27" s="25" t="n">
        <f aca="false">IF($B27=0,"",C27/$B27)</f>
        <v>0.75</v>
      </c>
      <c r="H27" s="25" t="n">
        <f aca="false">IF($B27=0,"",D27/$B27)</f>
        <v>0.25</v>
      </c>
      <c r="I27" s="25" t="n">
        <f aca="false">IF($B27=0,"",E27/$B27)</f>
        <v>0</v>
      </c>
      <c r="J27" s="25" t="n">
        <f aca="false">IF($B27=0,"",F27/$B27)</f>
        <v>0</v>
      </c>
      <c r="K27" s="26" t="n">
        <f aca="false">IFERROR(AVERAGEIFS(DONNEES!$O$2:$O$1501,DONNEES!$G$2:$G$1501,$A27),"")</f>
        <v>18.6488888888889</v>
      </c>
    </row>
    <row r="28" customFormat="false" ht="15" hidden="false" customHeight="false" outlineLevel="0" collapsed="false">
      <c r="A28" s="4" t="s">
        <v>2216</v>
      </c>
      <c r="B28" s="4" t="n">
        <f aca="false">COUNTIFS(DONNEES!$H$2:$H$1501,"NOTABLE",DONNEES!$L$2:$L$1501,"Correct",DONNEES!$G$2:$G$1501,$A28)+COUNTIFS(DONNEES!$H$2:$H$1501,"NOTABLE",DONNEES!$L$2:$L$1501,"Pas d’info à tort",DONNEES!$G$2:$G$1501,$A28)+COUNTIFS(DONNEES!$H$2:$H$1501,"NOTABLE",DONNEES!$L$2:$L$1501,"Incorrect",DONNEES!$G$2:$G$1501,$A28)+COUNTIFS(DONNEES!$H$2:$H$1501,"NOTABLE",DONNEES!$L$2:$L$1501,"Hors sujet",DONNEES!$G$2:$G$1501,$A28)</f>
        <v>9</v>
      </c>
      <c r="C28" s="4" t="n">
        <f aca="false">COUNTIFS(DONNEES!$H$2:$H$1501,"NOTABLE",DONNEES!$L$2:$L$1501,"Correct",DONNEES!$G$2:$G$1501,$A28)</f>
        <v>7</v>
      </c>
      <c r="D28" s="4" t="n">
        <f aca="false">COUNTIFS(DONNEES!$H$2:$H$1501,"NOTABLE",DONNEES!$L$2:$L$1501,"Pas d’info à tort",DONNEES!$G$2:$G$1501,$A28)</f>
        <v>2</v>
      </c>
      <c r="E28" s="4" t="n">
        <f aca="false">COUNTIFS(DONNEES!$H$2:$H$1501,"NOTABLE",DONNEES!$L$2:$L$1501,"Incorrect",DONNEES!$G$2:$G$1501,$A28)</f>
        <v>0</v>
      </c>
      <c r="F28" s="4" t="n">
        <f aca="false">COUNTIFS(DONNEES!$H$2:$H$1501,"NOTABLE",DONNEES!$L$2:$L$1501,"Hors sujet",DONNEES!$G$2:$G$1501,$A28)</f>
        <v>0</v>
      </c>
      <c r="G28" s="25" t="n">
        <f aca="false">IF($B28=0,"",C28/$B28)</f>
        <v>0.777777777777778</v>
      </c>
      <c r="H28" s="25" t="n">
        <f aca="false">IF($B28=0,"",D28/$B28)</f>
        <v>0.222222222222222</v>
      </c>
      <c r="I28" s="25" t="n">
        <f aca="false">IF($B28=0,"",E28/$B28)</f>
        <v>0</v>
      </c>
      <c r="J28" s="25" t="n">
        <f aca="false">IF($B28=0,"",F28/$B28)</f>
        <v>0</v>
      </c>
      <c r="K28" s="26" t="n">
        <f aca="false">IFERROR(AVERAGEIFS(DONNEES!$O$2:$O$1501,DONNEES!$G$2:$G$1501,$A28),"")</f>
        <v>20.0311111111111</v>
      </c>
    </row>
    <row r="29" customFormat="false" ht="15" hidden="false" customHeight="false" outlineLevel="0" collapsed="false">
      <c r="A29" s="4" t="s">
        <v>2200</v>
      </c>
      <c r="B29" s="4" t="n">
        <f aca="false">COUNTIFS(DONNEES!$H$2:$H$1501,"NOTABLE",DONNEES!$L$2:$L$1501,"Correct",DONNEES!$G$2:$G$1501,$A29)+COUNTIFS(DONNEES!$H$2:$H$1501,"NOTABLE",DONNEES!$L$2:$L$1501,"Pas d’info à tort",DONNEES!$G$2:$G$1501,$A29)+COUNTIFS(DONNEES!$H$2:$H$1501,"NOTABLE",DONNEES!$L$2:$L$1501,"Incorrect",DONNEES!$G$2:$G$1501,$A29)+COUNTIFS(DONNEES!$H$2:$H$1501,"NOTABLE",DONNEES!$L$2:$L$1501,"Hors sujet",DONNEES!$G$2:$G$1501,$A29)</f>
        <v>9</v>
      </c>
      <c r="C29" s="4" t="n">
        <f aca="false">COUNTIFS(DONNEES!$H$2:$H$1501,"NOTABLE",DONNEES!$L$2:$L$1501,"Correct",DONNEES!$G$2:$G$1501,$A29)</f>
        <v>7</v>
      </c>
      <c r="D29" s="4" t="n">
        <f aca="false">COUNTIFS(DONNEES!$H$2:$H$1501,"NOTABLE",DONNEES!$L$2:$L$1501,"Pas d’info à tort",DONNEES!$G$2:$G$1501,$A29)</f>
        <v>1</v>
      </c>
      <c r="E29" s="4" t="n">
        <f aca="false">COUNTIFS(DONNEES!$H$2:$H$1501,"NOTABLE",DONNEES!$L$2:$L$1501,"Incorrect",DONNEES!$G$2:$G$1501,$A29)</f>
        <v>1</v>
      </c>
      <c r="F29" s="4" t="n">
        <f aca="false">COUNTIFS(DONNEES!$H$2:$H$1501,"NOTABLE",DONNEES!$L$2:$L$1501,"Hors sujet",DONNEES!$G$2:$G$1501,$A29)</f>
        <v>0</v>
      </c>
      <c r="G29" s="25" t="n">
        <f aca="false">IF($B29=0,"",C29/$B29)</f>
        <v>0.777777777777778</v>
      </c>
      <c r="H29" s="25" t="n">
        <f aca="false">IF($B29=0,"",D29/$B29)</f>
        <v>0.111111111111111</v>
      </c>
      <c r="I29" s="25" t="n">
        <f aca="false">IF($B29=0,"",E29/$B29)</f>
        <v>0.111111111111111</v>
      </c>
      <c r="J29" s="25" t="n">
        <f aca="false">IF($B29=0,"",F29/$B29)</f>
        <v>0</v>
      </c>
      <c r="K29" s="26" t="n">
        <f aca="false">IFERROR(AVERAGEIFS(DONNEES!$O$2:$O$1501,DONNEES!$G$2:$G$1501,$A29),"")</f>
        <v>19.88</v>
      </c>
    </row>
    <row r="30" customFormat="false" ht="15" hidden="false" customHeight="false" outlineLevel="0" collapsed="false">
      <c r="A30" s="4" t="s">
        <v>1913</v>
      </c>
      <c r="B30" s="4" t="n">
        <f aca="false">COUNTIFS(DONNEES!$H$2:$H$1501,"NOTABLE",DONNEES!$L$2:$L$1501,"Correct",DONNEES!$G$2:$G$1501,$A30)+COUNTIFS(DONNEES!$H$2:$H$1501,"NOTABLE",DONNEES!$L$2:$L$1501,"Pas d’info à tort",DONNEES!$G$2:$G$1501,$A30)+COUNTIFS(DONNEES!$H$2:$H$1501,"NOTABLE",DONNEES!$L$2:$L$1501,"Incorrect",DONNEES!$G$2:$G$1501,$A30)+COUNTIFS(DONNEES!$H$2:$H$1501,"NOTABLE",DONNEES!$L$2:$L$1501,"Hors sujet",DONNEES!$G$2:$G$1501,$A30)</f>
        <v>14</v>
      </c>
      <c r="C30" s="4" t="n">
        <f aca="false">COUNTIFS(DONNEES!$H$2:$H$1501,"NOTABLE",DONNEES!$L$2:$L$1501,"Correct",DONNEES!$G$2:$G$1501,$A30)</f>
        <v>11</v>
      </c>
      <c r="D30" s="4" t="n">
        <f aca="false">COUNTIFS(DONNEES!$H$2:$H$1501,"NOTABLE",DONNEES!$L$2:$L$1501,"Pas d’info à tort",DONNEES!$G$2:$G$1501,$A30)</f>
        <v>3</v>
      </c>
      <c r="E30" s="4" t="n">
        <f aca="false">COUNTIFS(DONNEES!$H$2:$H$1501,"NOTABLE",DONNEES!$L$2:$L$1501,"Incorrect",DONNEES!$G$2:$G$1501,$A30)</f>
        <v>0</v>
      </c>
      <c r="F30" s="4" t="n">
        <f aca="false">COUNTIFS(DONNEES!$H$2:$H$1501,"NOTABLE",DONNEES!$L$2:$L$1501,"Hors sujet",DONNEES!$G$2:$G$1501,$A30)</f>
        <v>0</v>
      </c>
      <c r="G30" s="25" t="n">
        <f aca="false">IF($B30=0,"",C30/$B30)</f>
        <v>0.785714285714286</v>
      </c>
      <c r="H30" s="25" t="n">
        <f aca="false">IF($B30=0,"",D30/$B30)</f>
        <v>0.214285714285714</v>
      </c>
      <c r="I30" s="25" t="n">
        <f aca="false">IF($B30=0,"",E30/$B30)</f>
        <v>0</v>
      </c>
      <c r="J30" s="25" t="n">
        <f aca="false">IF($B30=0,"",F30/$B30)</f>
        <v>0</v>
      </c>
      <c r="K30" s="26" t="n">
        <f aca="false">IFERROR(AVERAGEIFS(DONNEES!$O$2:$O$1501,DONNEES!$G$2:$G$1501,$A30),"")</f>
        <v>26.3814285714286</v>
      </c>
    </row>
    <row r="31" customFormat="false" ht="15" hidden="false" customHeight="false" outlineLevel="0" collapsed="false">
      <c r="A31" s="4" t="s">
        <v>1811</v>
      </c>
      <c r="B31" s="4" t="n">
        <f aca="false">COUNTIFS(DONNEES!$H$2:$H$1501,"NOTABLE",DONNEES!$L$2:$L$1501,"Correct",DONNEES!$G$2:$G$1501,$A31)+COUNTIFS(DONNEES!$H$2:$H$1501,"NOTABLE",DONNEES!$L$2:$L$1501,"Pas d’info à tort",DONNEES!$G$2:$G$1501,$A31)+COUNTIFS(DONNEES!$H$2:$H$1501,"NOTABLE",DONNEES!$L$2:$L$1501,"Incorrect",DONNEES!$G$2:$G$1501,$A31)+COUNTIFS(DONNEES!$H$2:$H$1501,"NOTABLE",DONNEES!$L$2:$L$1501,"Hors sujet",DONNEES!$G$2:$G$1501,$A31)</f>
        <v>14</v>
      </c>
      <c r="C31" s="4" t="n">
        <f aca="false">COUNTIFS(DONNEES!$H$2:$H$1501,"NOTABLE",DONNEES!$L$2:$L$1501,"Correct",DONNEES!$G$2:$G$1501,$A31)</f>
        <v>11</v>
      </c>
      <c r="D31" s="4" t="n">
        <f aca="false">COUNTIFS(DONNEES!$H$2:$H$1501,"NOTABLE",DONNEES!$L$2:$L$1501,"Pas d’info à tort",DONNEES!$G$2:$G$1501,$A31)</f>
        <v>2</v>
      </c>
      <c r="E31" s="4" t="n">
        <f aca="false">COUNTIFS(DONNEES!$H$2:$H$1501,"NOTABLE",DONNEES!$L$2:$L$1501,"Incorrect",DONNEES!$G$2:$G$1501,$A31)</f>
        <v>0</v>
      </c>
      <c r="F31" s="4" t="n">
        <f aca="false">COUNTIFS(DONNEES!$H$2:$H$1501,"NOTABLE",DONNEES!$L$2:$L$1501,"Hors sujet",DONNEES!$G$2:$G$1501,$A31)</f>
        <v>1</v>
      </c>
      <c r="G31" s="25" t="n">
        <f aca="false">IF($B31=0,"",C31/$B31)</f>
        <v>0.785714285714286</v>
      </c>
      <c r="H31" s="25" t="n">
        <f aca="false">IF($B31=0,"",D31/$B31)</f>
        <v>0.142857142857143</v>
      </c>
      <c r="I31" s="25" t="n">
        <f aca="false">IF($B31=0,"",E31/$B31)</f>
        <v>0</v>
      </c>
      <c r="J31" s="25" t="n">
        <f aca="false">IF($B31=0,"",F31/$B31)</f>
        <v>0.0714285714285714</v>
      </c>
      <c r="K31" s="26" t="n">
        <f aca="false">IFERROR(AVERAGEIFS(DONNEES!$O$2:$O$1501,DONNEES!$G$2:$G$1501,$A31),"")</f>
        <v>18.6507142857143</v>
      </c>
    </row>
    <row r="32" customFormat="false" ht="15" hidden="false" customHeight="false" outlineLevel="0" collapsed="false">
      <c r="A32" s="4" t="s">
        <v>2173</v>
      </c>
      <c r="B32" s="4" t="n">
        <f aca="false">COUNTIFS(DONNEES!$H$2:$H$1501,"NOTABLE",DONNEES!$L$2:$L$1501,"Correct",DONNEES!$G$2:$G$1501,$A32)+COUNTIFS(DONNEES!$H$2:$H$1501,"NOTABLE",DONNEES!$L$2:$L$1501,"Pas d’info à tort",DONNEES!$G$2:$G$1501,$A32)+COUNTIFS(DONNEES!$H$2:$H$1501,"NOTABLE",DONNEES!$L$2:$L$1501,"Incorrect",DONNEES!$G$2:$G$1501,$A32)+COUNTIFS(DONNEES!$H$2:$H$1501,"NOTABLE",DONNEES!$L$2:$L$1501,"Hors sujet",DONNEES!$G$2:$G$1501,$A32)</f>
        <v>10</v>
      </c>
      <c r="C32" s="4" t="n">
        <f aca="false">COUNTIFS(DONNEES!$H$2:$H$1501,"NOTABLE",DONNEES!$L$2:$L$1501,"Correct",DONNEES!$G$2:$G$1501,$A32)</f>
        <v>8</v>
      </c>
      <c r="D32" s="4" t="n">
        <f aca="false">COUNTIFS(DONNEES!$H$2:$H$1501,"NOTABLE",DONNEES!$L$2:$L$1501,"Pas d’info à tort",DONNEES!$G$2:$G$1501,$A32)</f>
        <v>1</v>
      </c>
      <c r="E32" s="4" t="n">
        <f aca="false">COUNTIFS(DONNEES!$H$2:$H$1501,"NOTABLE",DONNEES!$L$2:$L$1501,"Incorrect",DONNEES!$G$2:$G$1501,$A32)</f>
        <v>0</v>
      </c>
      <c r="F32" s="4" t="n">
        <f aca="false">COUNTIFS(DONNEES!$H$2:$H$1501,"NOTABLE",DONNEES!$L$2:$L$1501,"Hors sujet",DONNEES!$G$2:$G$1501,$A32)</f>
        <v>1</v>
      </c>
      <c r="G32" s="25" t="n">
        <f aca="false">IF($B32=0,"",C32/$B32)</f>
        <v>0.8</v>
      </c>
      <c r="H32" s="25" t="n">
        <f aca="false">IF($B32=0,"",D32/$B32)</f>
        <v>0.1</v>
      </c>
      <c r="I32" s="25" t="n">
        <f aca="false">IF($B32=0,"",E32/$B32)</f>
        <v>0</v>
      </c>
      <c r="J32" s="25" t="n">
        <f aca="false">IF($B32=0,"",F32/$B32)</f>
        <v>0.1</v>
      </c>
      <c r="K32" s="26" t="n">
        <f aca="false">IFERROR(AVERAGEIFS(DONNEES!$O$2:$O$1501,DONNEES!$G$2:$G$1501,$A32),"")</f>
        <v>10.943</v>
      </c>
    </row>
    <row r="33" customFormat="false" ht="15" hidden="false" customHeight="false" outlineLevel="0" collapsed="false">
      <c r="A33" s="4" t="s">
        <v>2098</v>
      </c>
      <c r="B33" s="4" t="n">
        <f aca="false">COUNTIFS(DONNEES!$H$2:$H$1501,"NOTABLE",DONNEES!$L$2:$L$1501,"Correct",DONNEES!$G$2:$G$1501,$A33)+COUNTIFS(DONNEES!$H$2:$H$1501,"NOTABLE",DONNEES!$L$2:$L$1501,"Pas d’info à tort",DONNEES!$G$2:$G$1501,$A33)+COUNTIFS(DONNEES!$H$2:$H$1501,"NOTABLE",DONNEES!$L$2:$L$1501,"Incorrect",DONNEES!$G$2:$G$1501,$A33)+COUNTIFS(DONNEES!$H$2:$H$1501,"NOTABLE",DONNEES!$L$2:$L$1501,"Hors sujet",DONNEES!$G$2:$G$1501,$A33)</f>
        <v>10</v>
      </c>
      <c r="C33" s="4" t="n">
        <f aca="false">COUNTIFS(DONNEES!$H$2:$H$1501,"NOTABLE",DONNEES!$L$2:$L$1501,"Correct",DONNEES!$G$2:$G$1501,$A33)</f>
        <v>8</v>
      </c>
      <c r="D33" s="4" t="n">
        <f aca="false">COUNTIFS(DONNEES!$H$2:$H$1501,"NOTABLE",DONNEES!$L$2:$L$1501,"Pas d’info à tort",DONNEES!$G$2:$G$1501,$A33)</f>
        <v>1</v>
      </c>
      <c r="E33" s="4" t="n">
        <f aca="false">COUNTIFS(DONNEES!$H$2:$H$1501,"NOTABLE",DONNEES!$L$2:$L$1501,"Incorrect",DONNEES!$G$2:$G$1501,$A33)</f>
        <v>0</v>
      </c>
      <c r="F33" s="4" t="n">
        <f aca="false">COUNTIFS(DONNEES!$H$2:$H$1501,"NOTABLE",DONNEES!$L$2:$L$1501,"Hors sujet",DONNEES!$G$2:$G$1501,$A33)</f>
        <v>1</v>
      </c>
      <c r="G33" s="25" t="n">
        <f aca="false">IF($B33=0,"",C33/$B33)</f>
        <v>0.8</v>
      </c>
      <c r="H33" s="25" t="n">
        <f aca="false">IF($B33=0,"",D33/$B33)</f>
        <v>0.1</v>
      </c>
      <c r="I33" s="25" t="n">
        <f aca="false">IF($B33=0,"",E33/$B33)</f>
        <v>0</v>
      </c>
      <c r="J33" s="25" t="n">
        <f aca="false">IF($B33=0,"",F33/$B33)</f>
        <v>0.1</v>
      </c>
      <c r="K33" s="26" t="n">
        <f aca="false">IFERROR(AVERAGEIFS(DONNEES!$O$2:$O$1501,DONNEES!$G$2:$G$1501,$A33),"")</f>
        <v>12.714</v>
      </c>
    </row>
    <row r="34" customFormat="false" ht="15" hidden="false" customHeight="false" outlineLevel="0" collapsed="false">
      <c r="A34" s="4" t="s">
        <v>2131</v>
      </c>
      <c r="B34" s="4" t="n">
        <f aca="false">COUNTIFS(DONNEES!$H$2:$H$1501,"NOTABLE",DONNEES!$L$2:$L$1501,"Correct",DONNEES!$G$2:$G$1501,$A34)+COUNTIFS(DONNEES!$H$2:$H$1501,"NOTABLE",DONNEES!$L$2:$L$1501,"Pas d’info à tort",DONNEES!$G$2:$G$1501,$A34)+COUNTIFS(DONNEES!$H$2:$H$1501,"NOTABLE",DONNEES!$L$2:$L$1501,"Incorrect",DONNEES!$G$2:$G$1501,$A34)+COUNTIFS(DONNEES!$H$2:$H$1501,"NOTABLE",DONNEES!$L$2:$L$1501,"Hors sujet",DONNEES!$G$2:$G$1501,$A34)</f>
        <v>5</v>
      </c>
      <c r="C34" s="4" t="n">
        <f aca="false">COUNTIFS(DONNEES!$H$2:$H$1501,"NOTABLE",DONNEES!$L$2:$L$1501,"Correct",DONNEES!$G$2:$G$1501,$A34)</f>
        <v>4</v>
      </c>
      <c r="D34" s="4" t="n">
        <f aca="false">COUNTIFS(DONNEES!$H$2:$H$1501,"NOTABLE",DONNEES!$L$2:$L$1501,"Pas d’info à tort",DONNEES!$G$2:$G$1501,$A34)</f>
        <v>1</v>
      </c>
      <c r="E34" s="4" t="n">
        <f aca="false">COUNTIFS(DONNEES!$H$2:$H$1501,"NOTABLE",DONNEES!$L$2:$L$1501,"Incorrect",DONNEES!$G$2:$G$1501,$A34)</f>
        <v>0</v>
      </c>
      <c r="F34" s="4" t="n">
        <f aca="false">COUNTIFS(DONNEES!$H$2:$H$1501,"NOTABLE",DONNEES!$L$2:$L$1501,"Hors sujet",DONNEES!$G$2:$G$1501,$A34)</f>
        <v>0</v>
      </c>
      <c r="G34" s="25" t="n">
        <f aca="false">IF($B34=0,"",C34/$B34)</f>
        <v>0.8</v>
      </c>
      <c r="H34" s="25" t="n">
        <f aca="false">IF($B34=0,"",D34/$B34)</f>
        <v>0.2</v>
      </c>
      <c r="I34" s="25" t="n">
        <f aca="false">IF($B34=0,"",E34/$B34)</f>
        <v>0</v>
      </c>
      <c r="J34" s="25" t="n">
        <f aca="false">IF($B34=0,"",F34/$B34)</f>
        <v>0</v>
      </c>
      <c r="K34" s="26" t="n">
        <f aca="false">IFERROR(AVERAGEIFS(DONNEES!$O$2:$O$1501,DONNEES!$G$2:$G$1501,$A34),"")</f>
        <v>19.936</v>
      </c>
    </row>
    <row r="35" customFormat="false" ht="15" hidden="false" customHeight="false" outlineLevel="0" collapsed="false">
      <c r="A35" s="4" t="s">
        <v>2478</v>
      </c>
      <c r="B35" s="4" t="n">
        <f aca="false">COUNTIFS(DONNEES!$H$2:$H$1501,"NOTABLE",DONNEES!$L$2:$L$1501,"Correct",DONNEES!$G$2:$G$1501,$A35)+COUNTIFS(DONNEES!$H$2:$H$1501,"NOTABLE",DONNEES!$L$2:$L$1501,"Pas d’info à tort",DONNEES!$G$2:$G$1501,$A35)+COUNTIFS(DONNEES!$H$2:$H$1501,"NOTABLE",DONNEES!$L$2:$L$1501,"Incorrect",DONNEES!$G$2:$G$1501,$A35)+COUNTIFS(DONNEES!$H$2:$H$1501,"NOTABLE",DONNEES!$L$2:$L$1501,"Hors sujet",DONNEES!$G$2:$G$1501,$A35)</f>
        <v>5</v>
      </c>
      <c r="C35" s="4" t="n">
        <f aca="false">COUNTIFS(DONNEES!$H$2:$H$1501,"NOTABLE",DONNEES!$L$2:$L$1501,"Correct",DONNEES!$G$2:$G$1501,$A35)</f>
        <v>4</v>
      </c>
      <c r="D35" s="4" t="n">
        <f aca="false">COUNTIFS(DONNEES!$H$2:$H$1501,"NOTABLE",DONNEES!$L$2:$L$1501,"Pas d’info à tort",DONNEES!$G$2:$G$1501,$A35)</f>
        <v>1</v>
      </c>
      <c r="E35" s="4" t="n">
        <f aca="false">COUNTIFS(DONNEES!$H$2:$H$1501,"NOTABLE",DONNEES!$L$2:$L$1501,"Incorrect",DONNEES!$G$2:$G$1501,$A35)</f>
        <v>0</v>
      </c>
      <c r="F35" s="4" t="n">
        <f aca="false">COUNTIFS(DONNEES!$H$2:$H$1501,"NOTABLE",DONNEES!$L$2:$L$1501,"Hors sujet",DONNEES!$G$2:$G$1501,$A35)</f>
        <v>0</v>
      </c>
      <c r="G35" s="25" t="n">
        <f aca="false">IF($B35=0,"",C35/$B35)</f>
        <v>0.8</v>
      </c>
      <c r="H35" s="25" t="n">
        <f aca="false">IF($B35=0,"",D35/$B35)</f>
        <v>0.2</v>
      </c>
      <c r="I35" s="25" t="n">
        <f aca="false">IF($B35=0,"",E35/$B35)</f>
        <v>0</v>
      </c>
      <c r="J35" s="25" t="n">
        <f aca="false">IF($B35=0,"",F35/$B35)</f>
        <v>0</v>
      </c>
      <c r="K35" s="26" t="n">
        <f aca="false">IFERROR(AVERAGEIFS(DONNEES!$O$2:$O$1501,DONNEES!$G$2:$G$1501,$A35),"")</f>
        <v>12.69</v>
      </c>
    </row>
    <row r="36" customFormat="false" ht="15" hidden="false" customHeight="false" outlineLevel="0" collapsed="false">
      <c r="A36" s="4" t="s">
        <v>2442</v>
      </c>
      <c r="B36" s="4" t="n">
        <f aca="false">COUNTIFS(DONNEES!$H$2:$H$1501,"NOTABLE",DONNEES!$L$2:$L$1501,"Correct",DONNEES!$G$2:$G$1501,$A36)+COUNTIFS(DONNEES!$H$2:$H$1501,"NOTABLE",DONNEES!$L$2:$L$1501,"Pas d’info à tort",DONNEES!$G$2:$G$1501,$A36)+COUNTIFS(DONNEES!$H$2:$H$1501,"NOTABLE",DONNEES!$L$2:$L$1501,"Incorrect",DONNEES!$G$2:$G$1501,$A36)+COUNTIFS(DONNEES!$H$2:$H$1501,"NOTABLE",DONNEES!$L$2:$L$1501,"Hors sujet",DONNEES!$G$2:$G$1501,$A36)</f>
        <v>5</v>
      </c>
      <c r="C36" s="4" t="n">
        <f aca="false">COUNTIFS(DONNEES!$H$2:$H$1501,"NOTABLE",DONNEES!$L$2:$L$1501,"Correct",DONNEES!$G$2:$G$1501,$A36)</f>
        <v>4</v>
      </c>
      <c r="D36" s="4" t="n">
        <f aca="false">COUNTIFS(DONNEES!$H$2:$H$1501,"NOTABLE",DONNEES!$L$2:$L$1501,"Pas d’info à tort",DONNEES!$G$2:$G$1501,$A36)</f>
        <v>1</v>
      </c>
      <c r="E36" s="4" t="n">
        <f aca="false">COUNTIFS(DONNEES!$H$2:$H$1501,"NOTABLE",DONNEES!$L$2:$L$1501,"Incorrect",DONNEES!$G$2:$G$1501,$A36)</f>
        <v>0</v>
      </c>
      <c r="F36" s="4" t="n">
        <f aca="false">COUNTIFS(DONNEES!$H$2:$H$1501,"NOTABLE",DONNEES!$L$2:$L$1501,"Hors sujet",DONNEES!$G$2:$G$1501,$A36)</f>
        <v>0</v>
      </c>
      <c r="G36" s="25" t="n">
        <f aca="false">IF($B36=0,"",C36/$B36)</f>
        <v>0.8</v>
      </c>
      <c r="H36" s="25" t="n">
        <f aca="false">IF($B36=0,"",D36/$B36)</f>
        <v>0.2</v>
      </c>
      <c r="I36" s="25" t="n">
        <f aca="false">IF($B36=0,"",E36/$B36)</f>
        <v>0</v>
      </c>
      <c r="J36" s="25" t="n">
        <f aca="false">IF($B36=0,"",F36/$B36)</f>
        <v>0</v>
      </c>
      <c r="K36" s="26" t="n">
        <f aca="false">IFERROR(AVERAGEIFS(DONNEES!$O$2:$O$1501,DONNEES!$G$2:$G$1501,$A36),"")</f>
        <v>37.564</v>
      </c>
    </row>
    <row r="37" customFormat="false" ht="15" hidden="false" customHeight="false" outlineLevel="0" collapsed="false">
      <c r="A37" s="4" t="s">
        <v>1790</v>
      </c>
      <c r="B37" s="4" t="n">
        <f aca="false">COUNTIFS(DONNEES!$H$2:$H$1501,"NOTABLE",DONNEES!$L$2:$L$1501,"Correct",DONNEES!$G$2:$G$1501,$A37)+COUNTIFS(DONNEES!$H$2:$H$1501,"NOTABLE",DONNEES!$L$2:$L$1501,"Pas d’info à tort",DONNEES!$G$2:$G$1501,$A37)+COUNTIFS(DONNEES!$H$2:$H$1501,"NOTABLE",DONNEES!$L$2:$L$1501,"Incorrect",DONNEES!$G$2:$G$1501,$A37)+COUNTIFS(DONNEES!$H$2:$H$1501,"NOTABLE",DONNEES!$L$2:$L$1501,"Hors sujet",DONNEES!$G$2:$G$1501,$A37)</f>
        <v>16</v>
      </c>
      <c r="C37" s="4" t="n">
        <f aca="false">COUNTIFS(DONNEES!$H$2:$H$1501,"NOTABLE",DONNEES!$L$2:$L$1501,"Correct",DONNEES!$G$2:$G$1501,$A37)</f>
        <v>13</v>
      </c>
      <c r="D37" s="4" t="n">
        <f aca="false">COUNTIFS(DONNEES!$H$2:$H$1501,"NOTABLE",DONNEES!$L$2:$L$1501,"Pas d’info à tort",DONNEES!$G$2:$G$1501,$A37)</f>
        <v>3</v>
      </c>
      <c r="E37" s="4" t="n">
        <f aca="false">COUNTIFS(DONNEES!$H$2:$H$1501,"NOTABLE",DONNEES!$L$2:$L$1501,"Incorrect",DONNEES!$G$2:$G$1501,$A37)</f>
        <v>0</v>
      </c>
      <c r="F37" s="4" t="n">
        <f aca="false">COUNTIFS(DONNEES!$H$2:$H$1501,"NOTABLE",DONNEES!$L$2:$L$1501,"Hors sujet",DONNEES!$G$2:$G$1501,$A37)</f>
        <v>0</v>
      </c>
      <c r="G37" s="25" t="n">
        <f aca="false">IF($B37=0,"",C37/$B37)</f>
        <v>0.8125</v>
      </c>
      <c r="H37" s="25" t="n">
        <f aca="false">IF($B37=0,"",D37/$B37)</f>
        <v>0.1875</v>
      </c>
      <c r="I37" s="25" t="n">
        <f aca="false">IF($B37=0,"",E37/$B37)</f>
        <v>0</v>
      </c>
      <c r="J37" s="25" t="n">
        <f aca="false">IF($B37=0,"",F37/$B37)</f>
        <v>0</v>
      </c>
      <c r="K37" s="26" t="n">
        <f aca="false">IFERROR(AVERAGEIFS(DONNEES!$O$2:$O$1501,DONNEES!$G$2:$G$1501,$A37),"")</f>
        <v>13.803125</v>
      </c>
    </row>
    <row r="38" customFormat="false" ht="15" hidden="false" customHeight="false" outlineLevel="0" collapsed="false">
      <c r="A38" s="4" t="s">
        <v>2057</v>
      </c>
      <c r="B38" s="4" t="n">
        <f aca="false">COUNTIFS(DONNEES!$H$2:$H$1501,"NOTABLE",DONNEES!$L$2:$L$1501,"Correct",DONNEES!$G$2:$G$1501,$A38)+COUNTIFS(DONNEES!$H$2:$H$1501,"NOTABLE",DONNEES!$L$2:$L$1501,"Pas d’info à tort",DONNEES!$G$2:$G$1501,$A38)+COUNTIFS(DONNEES!$H$2:$H$1501,"NOTABLE",DONNEES!$L$2:$L$1501,"Incorrect",DONNEES!$G$2:$G$1501,$A38)+COUNTIFS(DONNEES!$H$2:$H$1501,"NOTABLE",DONNEES!$L$2:$L$1501,"Hors sujet",DONNEES!$G$2:$G$1501,$A38)</f>
        <v>11</v>
      </c>
      <c r="C38" s="4" t="n">
        <f aca="false">COUNTIFS(DONNEES!$H$2:$H$1501,"NOTABLE",DONNEES!$L$2:$L$1501,"Correct",DONNEES!$G$2:$G$1501,$A38)</f>
        <v>9</v>
      </c>
      <c r="D38" s="4" t="n">
        <f aca="false">COUNTIFS(DONNEES!$H$2:$H$1501,"NOTABLE",DONNEES!$L$2:$L$1501,"Pas d’info à tort",DONNEES!$G$2:$G$1501,$A38)</f>
        <v>1</v>
      </c>
      <c r="E38" s="4" t="n">
        <f aca="false">COUNTIFS(DONNEES!$H$2:$H$1501,"NOTABLE",DONNEES!$L$2:$L$1501,"Incorrect",DONNEES!$G$2:$G$1501,$A38)</f>
        <v>0</v>
      </c>
      <c r="F38" s="4" t="n">
        <f aca="false">COUNTIFS(DONNEES!$H$2:$H$1501,"NOTABLE",DONNEES!$L$2:$L$1501,"Hors sujet",DONNEES!$G$2:$G$1501,$A38)</f>
        <v>1</v>
      </c>
      <c r="G38" s="25" t="n">
        <f aca="false">IF($B38=0,"",C38/$B38)</f>
        <v>0.818181818181818</v>
      </c>
      <c r="H38" s="25" t="n">
        <f aca="false">IF($B38=0,"",D38/$B38)</f>
        <v>0.0909090909090909</v>
      </c>
      <c r="I38" s="25" t="n">
        <f aca="false">IF($B38=0,"",E38/$B38)</f>
        <v>0</v>
      </c>
      <c r="J38" s="25" t="n">
        <f aca="false">IF($B38=0,"",F38/$B38)</f>
        <v>0.0909090909090909</v>
      </c>
      <c r="K38" s="26" t="n">
        <f aca="false">IFERROR(AVERAGEIFS(DONNEES!$O$2:$O$1501,DONNEES!$G$2:$G$1501,$A38),"")</f>
        <v>16.3509090909091</v>
      </c>
    </row>
    <row r="39" customFormat="false" ht="15" hidden="false" customHeight="false" outlineLevel="0" collapsed="false">
      <c r="A39" s="4" t="s">
        <v>2047</v>
      </c>
      <c r="B39" s="4" t="n">
        <f aca="false">COUNTIFS(DONNEES!$H$2:$H$1501,"NOTABLE",DONNEES!$L$2:$L$1501,"Correct",DONNEES!$G$2:$G$1501,$A39)+COUNTIFS(DONNEES!$H$2:$H$1501,"NOTABLE",DONNEES!$L$2:$L$1501,"Pas d’info à tort",DONNEES!$G$2:$G$1501,$A39)+COUNTIFS(DONNEES!$H$2:$H$1501,"NOTABLE",DONNEES!$L$2:$L$1501,"Incorrect",DONNEES!$G$2:$G$1501,$A39)+COUNTIFS(DONNEES!$H$2:$H$1501,"NOTABLE",DONNEES!$L$2:$L$1501,"Hors sujet",DONNEES!$G$2:$G$1501,$A39)</f>
        <v>11</v>
      </c>
      <c r="C39" s="4" t="n">
        <f aca="false">COUNTIFS(DONNEES!$H$2:$H$1501,"NOTABLE",DONNEES!$L$2:$L$1501,"Correct",DONNEES!$G$2:$G$1501,$A39)</f>
        <v>9</v>
      </c>
      <c r="D39" s="4" t="n">
        <f aca="false">COUNTIFS(DONNEES!$H$2:$H$1501,"NOTABLE",DONNEES!$L$2:$L$1501,"Pas d’info à tort",DONNEES!$G$2:$G$1501,$A39)</f>
        <v>2</v>
      </c>
      <c r="E39" s="4" t="n">
        <f aca="false">COUNTIFS(DONNEES!$H$2:$H$1501,"NOTABLE",DONNEES!$L$2:$L$1501,"Incorrect",DONNEES!$G$2:$G$1501,$A39)</f>
        <v>0</v>
      </c>
      <c r="F39" s="4" t="n">
        <f aca="false">COUNTIFS(DONNEES!$H$2:$H$1501,"NOTABLE",DONNEES!$L$2:$L$1501,"Hors sujet",DONNEES!$G$2:$G$1501,$A39)</f>
        <v>0</v>
      </c>
      <c r="G39" s="25" t="n">
        <f aca="false">IF($B39=0,"",C39/$B39)</f>
        <v>0.818181818181818</v>
      </c>
      <c r="H39" s="25" t="n">
        <f aca="false">IF($B39=0,"",D39/$B39)</f>
        <v>0.181818181818182</v>
      </c>
      <c r="I39" s="25" t="n">
        <f aca="false">IF($B39=0,"",E39/$B39)</f>
        <v>0</v>
      </c>
      <c r="J39" s="25" t="n">
        <f aca="false">IF($B39=0,"",F39/$B39)</f>
        <v>0</v>
      </c>
      <c r="K39" s="26" t="n">
        <f aca="false">IFERROR(AVERAGEIFS(DONNEES!$O$2:$O$1501,DONNEES!$G$2:$G$1501,$A39),"")</f>
        <v>11.0572727272727</v>
      </c>
    </row>
    <row r="40" customFormat="false" ht="15" hidden="false" customHeight="false" outlineLevel="0" collapsed="false">
      <c r="A40" s="4" t="s">
        <v>2071</v>
      </c>
      <c r="B40" s="4" t="n">
        <f aca="false">COUNTIFS(DONNEES!$H$2:$H$1501,"NOTABLE",DONNEES!$L$2:$L$1501,"Correct",DONNEES!$G$2:$G$1501,$A40)+COUNTIFS(DONNEES!$H$2:$H$1501,"NOTABLE",DONNEES!$L$2:$L$1501,"Pas d’info à tort",DONNEES!$G$2:$G$1501,$A40)+COUNTIFS(DONNEES!$H$2:$H$1501,"NOTABLE",DONNEES!$L$2:$L$1501,"Incorrect",DONNEES!$G$2:$G$1501,$A40)+COUNTIFS(DONNEES!$H$2:$H$1501,"NOTABLE",DONNEES!$L$2:$L$1501,"Hors sujet",DONNEES!$G$2:$G$1501,$A40)</f>
        <v>11</v>
      </c>
      <c r="C40" s="4" t="n">
        <f aca="false">COUNTIFS(DONNEES!$H$2:$H$1501,"NOTABLE",DONNEES!$L$2:$L$1501,"Correct",DONNEES!$G$2:$G$1501,$A40)</f>
        <v>9</v>
      </c>
      <c r="D40" s="4" t="n">
        <f aca="false">COUNTIFS(DONNEES!$H$2:$H$1501,"NOTABLE",DONNEES!$L$2:$L$1501,"Pas d’info à tort",DONNEES!$G$2:$G$1501,$A40)</f>
        <v>1</v>
      </c>
      <c r="E40" s="4" t="n">
        <f aca="false">COUNTIFS(DONNEES!$H$2:$H$1501,"NOTABLE",DONNEES!$L$2:$L$1501,"Incorrect",DONNEES!$G$2:$G$1501,$A40)</f>
        <v>0</v>
      </c>
      <c r="F40" s="4" t="n">
        <f aca="false">COUNTIFS(DONNEES!$H$2:$H$1501,"NOTABLE",DONNEES!$L$2:$L$1501,"Hors sujet",DONNEES!$G$2:$G$1501,$A40)</f>
        <v>1</v>
      </c>
      <c r="G40" s="25" t="n">
        <f aca="false">IF($B40=0,"",C40/$B40)</f>
        <v>0.818181818181818</v>
      </c>
      <c r="H40" s="25" t="n">
        <f aca="false">IF($B40=0,"",D40/$B40)</f>
        <v>0.0909090909090909</v>
      </c>
      <c r="I40" s="25" t="n">
        <f aca="false">IF($B40=0,"",E40/$B40)</f>
        <v>0</v>
      </c>
      <c r="J40" s="25" t="n">
        <f aca="false">IF($B40=0,"",F40/$B40)</f>
        <v>0.0909090909090909</v>
      </c>
      <c r="K40" s="26" t="n">
        <f aca="false">IFERROR(AVERAGEIFS(DONNEES!$O$2:$O$1501,DONNEES!$G$2:$G$1501,$A40),"")</f>
        <v>16.0163636363636</v>
      </c>
    </row>
    <row r="41" customFormat="false" ht="15" hidden="false" customHeight="false" outlineLevel="0" collapsed="false">
      <c r="A41" s="4" t="s">
        <v>151</v>
      </c>
      <c r="B41" s="4" t="n">
        <f aca="false">COUNTIFS(DONNEES!$H$2:$H$1501,"NOTABLE",DONNEES!$L$2:$L$1501,"Correct",DONNEES!$G$2:$G$1501,$A41)+COUNTIFS(DONNEES!$H$2:$H$1501,"NOTABLE",DONNEES!$L$2:$L$1501,"Pas d’info à tort",DONNEES!$G$2:$G$1501,$A41)+COUNTIFS(DONNEES!$H$2:$H$1501,"NOTABLE",DONNEES!$L$2:$L$1501,"Incorrect",DONNEES!$G$2:$G$1501,$A41)+COUNTIFS(DONNEES!$H$2:$H$1501,"NOTABLE",DONNEES!$L$2:$L$1501,"Hors sujet",DONNEES!$G$2:$G$1501,$A41)</f>
        <v>12</v>
      </c>
      <c r="C41" s="4" t="n">
        <f aca="false">COUNTIFS(DONNEES!$H$2:$H$1501,"NOTABLE",DONNEES!$L$2:$L$1501,"Correct",DONNEES!$G$2:$G$1501,$A41)</f>
        <v>10</v>
      </c>
      <c r="D41" s="4" t="n">
        <f aca="false">COUNTIFS(DONNEES!$H$2:$H$1501,"NOTABLE",DONNEES!$L$2:$L$1501,"Pas d’info à tort",DONNEES!$G$2:$G$1501,$A41)</f>
        <v>2</v>
      </c>
      <c r="E41" s="4" t="n">
        <f aca="false">COUNTIFS(DONNEES!$H$2:$H$1501,"NOTABLE",DONNEES!$L$2:$L$1501,"Incorrect",DONNEES!$G$2:$G$1501,$A41)</f>
        <v>0</v>
      </c>
      <c r="F41" s="4" t="n">
        <f aca="false">COUNTIFS(DONNEES!$H$2:$H$1501,"NOTABLE",DONNEES!$L$2:$L$1501,"Hors sujet",DONNEES!$G$2:$G$1501,$A41)</f>
        <v>0</v>
      </c>
      <c r="G41" s="25" t="n">
        <f aca="false">IF($B41=0,"",C41/$B41)</f>
        <v>0.833333333333333</v>
      </c>
      <c r="H41" s="25" t="n">
        <f aca="false">IF($B41=0,"",D41/$B41)</f>
        <v>0.166666666666667</v>
      </c>
      <c r="I41" s="25" t="n">
        <f aca="false">IF($B41=0,"",E41/$B41)</f>
        <v>0</v>
      </c>
      <c r="J41" s="25" t="n">
        <f aca="false">IF($B41=0,"",F41/$B41)</f>
        <v>0</v>
      </c>
      <c r="K41" s="26" t="n">
        <f aca="false">IFERROR(AVERAGEIFS(DONNEES!$O$2:$O$1501,DONNEES!$G$2:$G$1501,$A41),"")</f>
        <v>18.2346666666667</v>
      </c>
    </row>
    <row r="42" customFormat="false" ht="15" hidden="false" customHeight="false" outlineLevel="0" collapsed="false">
      <c r="A42" s="4" t="s">
        <v>1897</v>
      </c>
      <c r="B42" s="4" t="n">
        <f aca="false">COUNTIFS(DONNEES!$H$2:$H$1501,"NOTABLE",DONNEES!$L$2:$L$1501,"Correct",DONNEES!$G$2:$G$1501,$A42)+COUNTIFS(DONNEES!$H$2:$H$1501,"NOTABLE",DONNEES!$L$2:$L$1501,"Pas d’info à tort",DONNEES!$G$2:$G$1501,$A42)+COUNTIFS(DONNEES!$H$2:$H$1501,"NOTABLE",DONNEES!$L$2:$L$1501,"Incorrect",DONNEES!$G$2:$G$1501,$A42)+COUNTIFS(DONNEES!$H$2:$H$1501,"NOTABLE",DONNEES!$L$2:$L$1501,"Hors sujet",DONNEES!$G$2:$G$1501,$A42)</f>
        <v>13</v>
      </c>
      <c r="C42" s="4" t="n">
        <f aca="false">COUNTIFS(DONNEES!$H$2:$H$1501,"NOTABLE",DONNEES!$L$2:$L$1501,"Correct",DONNEES!$G$2:$G$1501,$A42)</f>
        <v>11</v>
      </c>
      <c r="D42" s="4" t="n">
        <f aca="false">COUNTIFS(DONNEES!$H$2:$H$1501,"NOTABLE",DONNEES!$L$2:$L$1501,"Pas d’info à tort",DONNEES!$G$2:$G$1501,$A42)</f>
        <v>2</v>
      </c>
      <c r="E42" s="4" t="n">
        <f aca="false">COUNTIFS(DONNEES!$H$2:$H$1501,"NOTABLE",DONNEES!$L$2:$L$1501,"Incorrect",DONNEES!$G$2:$G$1501,$A42)</f>
        <v>0</v>
      </c>
      <c r="F42" s="4" t="n">
        <f aca="false">COUNTIFS(DONNEES!$H$2:$H$1501,"NOTABLE",DONNEES!$L$2:$L$1501,"Hors sujet",DONNEES!$G$2:$G$1501,$A42)</f>
        <v>0</v>
      </c>
      <c r="G42" s="25" t="n">
        <f aca="false">IF($B42=0,"",C42/$B42)</f>
        <v>0.846153846153846</v>
      </c>
      <c r="H42" s="25" t="n">
        <f aca="false">IF($B42=0,"",D42/$B42)</f>
        <v>0.153846153846154</v>
      </c>
      <c r="I42" s="25" t="n">
        <f aca="false">IF($B42=0,"",E42/$B42)</f>
        <v>0</v>
      </c>
      <c r="J42" s="25" t="n">
        <f aca="false">IF($B42=0,"",F42/$B42)</f>
        <v>0</v>
      </c>
      <c r="K42" s="26" t="n">
        <f aca="false">IFERROR(AVERAGEIFS(DONNEES!$O$2:$O$1501,DONNEES!$G$2:$G$1501,$A42),"")</f>
        <v>18.4223076923077</v>
      </c>
    </row>
    <row r="43" customFormat="false" ht="15" hidden="false" customHeight="false" outlineLevel="0" collapsed="false">
      <c r="A43" s="4" t="s">
        <v>290</v>
      </c>
      <c r="B43" s="4" t="n">
        <f aca="false">COUNTIFS(DONNEES!$H$2:$H$1501,"NOTABLE",DONNEES!$L$2:$L$1501,"Correct",DONNEES!$G$2:$G$1501,$A43)+COUNTIFS(DONNEES!$H$2:$H$1501,"NOTABLE",DONNEES!$L$2:$L$1501,"Pas d’info à tort",DONNEES!$G$2:$G$1501,$A43)+COUNTIFS(DONNEES!$H$2:$H$1501,"NOTABLE",DONNEES!$L$2:$L$1501,"Incorrect",DONNEES!$G$2:$G$1501,$A43)+COUNTIFS(DONNEES!$H$2:$H$1501,"NOTABLE",DONNEES!$L$2:$L$1501,"Hors sujet",DONNEES!$G$2:$G$1501,$A43)</f>
        <v>20</v>
      </c>
      <c r="C43" s="4" t="n">
        <f aca="false">COUNTIFS(DONNEES!$H$2:$H$1501,"NOTABLE",DONNEES!$L$2:$L$1501,"Correct",DONNEES!$G$2:$G$1501,$A43)</f>
        <v>17</v>
      </c>
      <c r="D43" s="4" t="n">
        <f aca="false">COUNTIFS(DONNEES!$H$2:$H$1501,"NOTABLE",DONNEES!$L$2:$L$1501,"Pas d’info à tort",DONNEES!$G$2:$G$1501,$A43)</f>
        <v>3</v>
      </c>
      <c r="E43" s="4" t="n">
        <f aca="false">COUNTIFS(DONNEES!$H$2:$H$1501,"NOTABLE",DONNEES!$L$2:$L$1501,"Incorrect",DONNEES!$G$2:$G$1501,$A43)</f>
        <v>0</v>
      </c>
      <c r="F43" s="4" t="n">
        <f aca="false">COUNTIFS(DONNEES!$H$2:$H$1501,"NOTABLE",DONNEES!$L$2:$L$1501,"Hors sujet",DONNEES!$G$2:$G$1501,$A43)</f>
        <v>0</v>
      </c>
      <c r="G43" s="25" t="n">
        <f aca="false">IF($B43=0,"",C43/$B43)</f>
        <v>0.85</v>
      </c>
      <c r="H43" s="25" t="n">
        <f aca="false">IF($B43=0,"",D43/$B43)</f>
        <v>0.15</v>
      </c>
      <c r="I43" s="25" t="n">
        <f aca="false">IF($B43=0,"",E43/$B43)</f>
        <v>0</v>
      </c>
      <c r="J43" s="25" t="n">
        <f aca="false">IF($B43=0,"",F43/$B43)</f>
        <v>0</v>
      </c>
      <c r="K43" s="26" t="n">
        <f aca="false">IFERROR(AVERAGEIFS(DONNEES!$O$2:$O$1501,DONNEES!$G$2:$G$1501,$A43),"")</f>
        <v>21.06</v>
      </c>
    </row>
    <row r="44" customFormat="false" ht="15" hidden="false" customHeight="false" outlineLevel="0" collapsed="false">
      <c r="A44" s="4" t="s">
        <v>1833</v>
      </c>
      <c r="B44" s="4" t="n">
        <f aca="false">COUNTIFS(DONNEES!$H$2:$H$1501,"NOTABLE",DONNEES!$L$2:$L$1501,"Correct",DONNEES!$G$2:$G$1501,$A44)+COUNTIFS(DONNEES!$H$2:$H$1501,"NOTABLE",DONNEES!$L$2:$L$1501,"Pas d’info à tort",DONNEES!$G$2:$G$1501,$A44)+COUNTIFS(DONNEES!$H$2:$H$1501,"NOTABLE",DONNEES!$L$2:$L$1501,"Incorrect",DONNEES!$G$2:$G$1501,$A44)+COUNTIFS(DONNEES!$H$2:$H$1501,"NOTABLE",DONNEES!$L$2:$L$1501,"Hors sujet",DONNEES!$G$2:$G$1501,$A44)</f>
        <v>14</v>
      </c>
      <c r="C44" s="4" t="n">
        <f aca="false">COUNTIFS(DONNEES!$H$2:$H$1501,"NOTABLE",DONNEES!$L$2:$L$1501,"Correct",DONNEES!$G$2:$G$1501,$A44)</f>
        <v>12</v>
      </c>
      <c r="D44" s="4" t="n">
        <f aca="false">COUNTIFS(DONNEES!$H$2:$H$1501,"NOTABLE",DONNEES!$L$2:$L$1501,"Pas d’info à tort",DONNEES!$G$2:$G$1501,$A44)</f>
        <v>1</v>
      </c>
      <c r="E44" s="4" t="n">
        <f aca="false">COUNTIFS(DONNEES!$H$2:$H$1501,"NOTABLE",DONNEES!$L$2:$L$1501,"Incorrect",DONNEES!$G$2:$G$1501,$A44)</f>
        <v>0</v>
      </c>
      <c r="F44" s="4" t="n">
        <f aca="false">COUNTIFS(DONNEES!$H$2:$H$1501,"NOTABLE",DONNEES!$L$2:$L$1501,"Hors sujet",DONNEES!$G$2:$G$1501,$A44)</f>
        <v>1</v>
      </c>
      <c r="G44" s="25" t="n">
        <f aca="false">IF($B44=0,"",C44/$B44)</f>
        <v>0.857142857142857</v>
      </c>
      <c r="H44" s="25" t="n">
        <f aca="false">IF($B44=0,"",D44/$B44)</f>
        <v>0.0714285714285714</v>
      </c>
      <c r="I44" s="25" t="n">
        <f aca="false">IF($B44=0,"",E44/$B44)</f>
        <v>0</v>
      </c>
      <c r="J44" s="25" t="n">
        <f aca="false">IF($B44=0,"",F44/$B44)</f>
        <v>0.0714285714285714</v>
      </c>
      <c r="K44" s="26" t="n">
        <f aca="false">IFERROR(AVERAGEIFS(DONNEES!$O$2:$O$1501,DONNEES!$G$2:$G$1501,$A44),"")</f>
        <v>18.4592857142857</v>
      </c>
    </row>
    <row r="45" customFormat="false" ht="15" hidden="false" customHeight="false" outlineLevel="0" collapsed="false">
      <c r="A45" s="4" t="s">
        <v>1859</v>
      </c>
      <c r="B45" s="4" t="n">
        <f aca="false">COUNTIFS(DONNEES!$H$2:$H$1501,"NOTABLE",DONNEES!$L$2:$L$1501,"Correct",DONNEES!$G$2:$G$1501,$A45)+COUNTIFS(DONNEES!$H$2:$H$1501,"NOTABLE",DONNEES!$L$2:$L$1501,"Pas d’info à tort",DONNEES!$G$2:$G$1501,$A45)+COUNTIFS(DONNEES!$H$2:$H$1501,"NOTABLE",DONNEES!$L$2:$L$1501,"Incorrect",DONNEES!$G$2:$G$1501,$A45)+COUNTIFS(DONNEES!$H$2:$H$1501,"NOTABLE",DONNEES!$L$2:$L$1501,"Hors sujet",DONNEES!$G$2:$G$1501,$A45)</f>
        <v>14</v>
      </c>
      <c r="C45" s="4" t="n">
        <f aca="false">COUNTIFS(DONNEES!$H$2:$H$1501,"NOTABLE",DONNEES!$L$2:$L$1501,"Correct",DONNEES!$G$2:$G$1501,$A45)</f>
        <v>12</v>
      </c>
      <c r="D45" s="4" t="n">
        <f aca="false">COUNTIFS(DONNEES!$H$2:$H$1501,"NOTABLE",DONNEES!$L$2:$L$1501,"Pas d’info à tort",DONNEES!$G$2:$G$1501,$A45)</f>
        <v>0</v>
      </c>
      <c r="E45" s="4" t="n">
        <f aca="false">COUNTIFS(DONNEES!$H$2:$H$1501,"NOTABLE",DONNEES!$L$2:$L$1501,"Incorrect",DONNEES!$G$2:$G$1501,$A45)</f>
        <v>2</v>
      </c>
      <c r="F45" s="4" t="n">
        <f aca="false">COUNTIFS(DONNEES!$H$2:$H$1501,"NOTABLE",DONNEES!$L$2:$L$1501,"Hors sujet",DONNEES!$G$2:$G$1501,$A45)</f>
        <v>0</v>
      </c>
      <c r="G45" s="25" t="n">
        <f aca="false">IF($B45=0,"",C45/$B45)</f>
        <v>0.857142857142857</v>
      </c>
      <c r="H45" s="25" t="n">
        <f aca="false">IF($B45=0,"",D45/$B45)</f>
        <v>0</v>
      </c>
      <c r="I45" s="25" t="n">
        <f aca="false">IF($B45=0,"",E45/$B45)</f>
        <v>0.142857142857143</v>
      </c>
      <c r="J45" s="25" t="n">
        <f aca="false">IF($B45=0,"",F45/$B45)</f>
        <v>0</v>
      </c>
      <c r="K45" s="26" t="n">
        <f aca="false">IFERROR(AVERAGEIFS(DONNEES!$O$2:$O$1501,DONNEES!$G$2:$G$1501,$A45),"")</f>
        <v>14.7571428571429</v>
      </c>
    </row>
    <row r="46" customFormat="false" ht="15" hidden="false" customHeight="false" outlineLevel="0" collapsed="false">
      <c r="A46" s="4" t="s">
        <v>2250</v>
      </c>
      <c r="B46" s="4" t="n">
        <f aca="false">COUNTIFS(DONNEES!$H$2:$H$1501,"NOTABLE",DONNEES!$L$2:$L$1501,"Correct",DONNEES!$G$2:$G$1501,$A46)+COUNTIFS(DONNEES!$H$2:$H$1501,"NOTABLE",DONNEES!$L$2:$L$1501,"Pas d’info à tort",DONNEES!$G$2:$G$1501,$A46)+COUNTIFS(DONNEES!$H$2:$H$1501,"NOTABLE",DONNEES!$L$2:$L$1501,"Incorrect",DONNEES!$G$2:$G$1501,$A46)+COUNTIFS(DONNEES!$H$2:$H$1501,"NOTABLE",DONNEES!$L$2:$L$1501,"Hors sujet",DONNEES!$G$2:$G$1501,$A46)</f>
        <v>7</v>
      </c>
      <c r="C46" s="4" t="n">
        <f aca="false">COUNTIFS(DONNEES!$H$2:$H$1501,"NOTABLE",DONNEES!$L$2:$L$1501,"Correct",DONNEES!$G$2:$G$1501,$A46)</f>
        <v>6</v>
      </c>
      <c r="D46" s="4" t="n">
        <f aca="false">COUNTIFS(DONNEES!$H$2:$H$1501,"NOTABLE",DONNEES!$L$2:$L$1501,"Pas d’info à tort",DONNEES!$G$2:$G$1501,$A46)</f>
        <v>1</v>
      </c>
      <c r="E46" s="4" t="n">
        <f aca="false">COUNTIFS(DONNEES!$H$2:$H$1501,"NOTABLE",DONNEES!$L$2:$L$1501,"Incorrect",DONNEES!$G$2:$G$1501,$A46)</f>
        <v>0</v>
      </c>
      <c r="F46" s="4" t="n">
        <f aca="false">COUNTIFS(DONNEES!$H$2:$H$1501,"NOTABLE",DONNEES!$L$2:$L$1501,"Hors sujet",DONNEES!$G$2:$G$1501,$A46)</f>
        <v>0</v>
      </c>
      <c r="G46" s="25" t="n">
        <f aca="false">IF($B46=0,"",C46/$B46)</f>
        <v>0.857142857142857</v>
      </c>
      <c r="H46" s="25" t="n">
        <f aca="false">IF($B46=0,"",D46/$B46)</f>
        <v>0.142857142857143</v>
      </c>
      <c r="I46" s="25" t="n">
        <f aca="false">IF($B46=0,"",E46/$B46)</f>
        <v>0</v>
      </c>
      <c r="J46" s="25" t="n">
        <f aca="false">IF($B46=0,"",F46/$B46)</f>
        <v>0</v>
      </c>
      <c r="K46" s="26" t="n">
        <f aca="false">IFERROR(AVERAGEIFS(DONNEES!$O$2:$O$1501,DONNEES!$G$2:$G$1501,$A46),"")</f>
        <v>17.11</v>
      </c>
    </row>
    <row r="47" customFormat="false" ht="15" hidden="false" customHeight="false" outlineLevel="0" collapsed="false">
      <c r="A47" s="4" t="s">
        <v>1758</v>
      </c>
      <c r="B47" s="4" t="n">
        <f aca="false">COUNTIFS(DONNEES!$H$2:$H$1501,"NOTABLE",DONNEES!$L$2:$L$1501,"Correct",DONNEES!$G$2:$G$1501,$A47)+COUNTIFS(DONNEES!$H$2:$H$1501,"NOTABLE",DONNEES!$L$2:$L$1501,"Pas d’info à tort",DONNEES!$G$2:$G$1501,$A47)+COUNTIFS(DONNEES!$H$2:$H$1501,"NOTABLE",DONNEES!$L$2:$L$1501,"Incorrect",DONNEES!$G$2:$G$1501,$A47)+COUNTIFS(DONNEES!$H$2:$H$1501,"NOTABLE",DONNEES!$L$2:$L$1501,"Hors sujet",DONNEES!$G$2:$G$1501,$A47)</f>
        <v>16</v>
      </c>
      <c r="C47" s="4" t="n">
        <f aca="false">COUNTIFS(DONNEES!$H$2:$H$1501,"NOTABLE",DONNEES!$L$2:$L$1501,"Correct",DONNEES!$G$2:$G$1501,$A47)</f>
        <v>14</v>
      </c>
      <c r="D47" s="4" t="n">
        <f aca="false">COUNTIFS(DONNEES!$H$2:$H$1501,"NOTABLE",DONNEES!$L$2:$L$1501,"Pas d’info à tort",DONNEES!$G$2:$G$1501,$A47)</f>
        <v>1</v>
      </c>
      <c r="E47" s="4" t="n">
        <f aca="false">COUNTIFS(DONNEES!$H$2:$H$1501,"NOTABLE",DONNEES!$L$2:$L$1501,"Incorrect",DONNEES!$G$2:$G$1501,$A47)</f>
        <v>1</v>
      </c>
      <c r="F47" s="4" t="n">
        <f aca="false">COUNTIFS(DONNEES!$H$2:$H$1501,"NOTABLE",DONNEES!$L$2:$L$1501,"Hors sujet",DONNEES!$G$2:$G$1501,$A47)</f>
        <v>0</v>
      </c>
      <c r="G47" s="25" t="n">
        <f aca="false">IF($B47=0,"",C47/$B47)</f>
        <v>0.875</v>
      </c>
      <c r="H47" s="25" t="n">
        <f aca="false">IF($B47=0,"",D47/$B47)</f>
        <v>0.0625</v>
      </c>
      <c r="I47" s="25" t="n">
        <f aca="false">IF($B47=0,"",E47/$B47)</f>
        <v>0.0625</v>
      </c>
      <c r="J47" s="25" t="n">
        <f aca="false">IF($B47=0,"",F47/$B47)</f>
        <v>0</v>
      </c>
      <c r="K47" s="26" t="n">
        <f aca="false">IFERROR(AVERAGEIFS(DONNEES!$O$2:$O$1501,DONNEES!$G$2:$G$1501,$A47),"")</f>
        <v>28.375</v>
      </c>
    </row>
    <row r="48" customFormat="false" ht="15" hidden="false" customHeight="false" outlineLevel="0" collapsed="false">
      <c r="A48" s="4" t="s">
        <v>1780</v>
      </c>
      <c r="B48" s="4" t="n">
        <f aca="false">COUNTIFS(DONNEES!$H$2:$H$1501,"NOTABLE",DONNEES!$L$2:$L$1501,"Correct",DONNEES!$G$2:$G$1501,$A48)+COUNTIFS(DONNEES!$H$2:$H$1501,"NOTABLE",DONNEES!$L$2:$L$1501,"Pas d’info à tort",DONNEES!$G$2:$G$1501,$A48)+COUNTIFS(DONNEES!$H$2:$H$1501,"NOTABLE",DONNEES!$L$2:$L$1501,"Incorrect",DONNEES!$G$2:$G$1501,$A48)+COUNTIFS(DONNEES!$H$2:$H$1501,"NOTABLE",DONNEES!$L$2:$L$1501,"Hors sujet",DONNEES!$G$2:$G$1501,$A48)</f>
        <v>16</v>
      </c>
      <c r="C48" s="4" t="n">
        <f aca="false">COUNTIFS(DONNEES!$H$2:$H$1501,"NOTABLE",DONNEES!$L$2:$L$1501,"Correct",DONNEES!$G$2:$G$1501,$A48)</f>
        <v>14</v>
      </c>
      <c r="D48" s="4" t="n">
        <f aca="false">COUNTIFS(DONNEES!$H$2:$H$1501,"NOTABLE",DONNEES!$L$2:$L$1501,"Pas d’info à tort",DONNEES!$G$2:$G$1501,$A48)</f>
        <v>1</v>
      </c>
      <c r="E48" s="4" t="n">
        <f aca="false">COUNTIFS(DONNEES!$H$2:$H$1501,"NOTABLE",DONNEES!$L$2:$L$1501,"Incorrect",DONNEES!$G$2:$G$1501,$A48)</f>
        <v>0</v>
      </c>
      <c r="F48" s="4" t="n">
        <f aca="false">COUNTIFS(DONNEES!$H$2:$H$1501,"NOTABLE",DONNEES!$L$2:$L$1501,"Hors sujet",DONNEES!$G$2:$G$1501,$A48)</f>
        <v>1</v>
      </c>
      <c r="G48" s="25" t="n">
        <f aca="false">IF($B48=0,"",C48/$B48)</f>
        <v>0.875</v>
      </c>
      <c r="H48" s="25" t="n">
        <f aca="false">IF($B48=0,"",D48/$B48)</f>
        <v>0.0625</v>
      </c>
      <c r="I48" s="25" t="n">
        <f aca="false">IF($B48=0,"",E48/$B48)</f>
        <v>0</v>
      </c>
      <c r="J48" s="25" t="n">
        <f aca="false">IF($B48=0,"",F48/$B48)</f>
        <v>0.0625</v>
      </c>
      <c r="K48" s="26" t="n">
        <f aca="false">IFERROR(AVERAGEIFS(DONNEES!$O$2:$O$1501,DONNEES!$G$2:$G$1501,$A48),"")</f>
        <v>15.11125</v>
      </c>
    </row>
    <row r="49" customFormat="false" ht="15" hidden="false" customHeight="false" outlineLevel="0" collapsed="false">
      <c r="A49" s="4" t="s">
        <v>2258</v>
      </c>
      <c r="B49" s="4" t="n">
        <f aca="false">COUNTIFS(DONNEES!$H$2:$H$1501,"NOTABLE",DONNEES!$L$2:$L$1501,"Correct",DONNEES!$G$2:$G$1501,$A49)+COUNTIFS(DONNEES!$H$2:$H$1501,"NOTABLE",DONNEES!$L$2:$L$1501,"Pas d’info à tort",DONNEES!$G$2:$G$1501,$A49)+COUNTIFS(DONNEES!$H$2:$H$1501,"NOTABLE",DONNEES!$L$2:$L$1501,"Incorrect",DONNEES!$G$2:$G$1501,$A49)+COUNTIFS(DONNEES!$H$2:$H$1501,"NOTABLE",DONNEES!$L$2:$L$1501,"Hors sujet",DONNEES!$G$2:$G$1501,$A49)</f>
        <v>8</v>
      </c>
      <c r="C49" s="4" t="n">
        <f aca="false">COUNTIFS(DONNEES!$H$2:$H$1501,"NOTABLE",DONNEES!$L$2:$L$1501,"Correct",DONNEES!$G$2:$G$1501,$A49)</f>
        <v>7</v>
      </c>
      <c r="D49" s="4" t="n">
        <f aca="false">COUNTIFS(DONNEES!$H$2:$H$1501,"NOTABLE",DONNEES!$L$2:$L$1501,"Pas d’info à tort",DONNEES!$G$2:$G$1501,$A49)</f>
        <v>0</v>
      </c>
      <c r="E49" s="4" t="n">
        <f aca="false">COUNTIFS(DONNEES!$H$2:$H$1501,"NOTABLE",DONNEES!$L$2:$L$1501,"Incorrect",DONNEES!$G$2:$G$1501,$A49)</f>
        <v>0</v>
      </c>
      <c r="F49" s="4" t="n">
        <f aca="false">COUNTIFS(DONNEES!$H$2:$H$1501,"NOTABLE",DONNEES!$L$2:$L$1501,"Hors sujet",DONNEES!$G$2:$G$1501,$A49)</f>
        <v>1</v>
      </c>
      <c r="G49" s="25" t="n">
        <f aca="false">IF($B49=0,"",C49/$B49)</f>
        <v>0.875</v>
      </c>
      <c r="H49" s="25" t="n">
        <f aca="false">IF($B49=0,"",D49/$B49)</f>
        <v>0</v>
      </c>
      <c r="I49" s="25" t="n">
        <f aca="false">IF($B49=0,"",E49/$B49)</f>
        <v>0</v>
      </c>
      <c r="J49" s="25" t="n">
        <f aca="false">IF($B49=0,"",F49/$B49)</f>
        <v>0.125</v>
      </c>
      <c r="K49" s="26" t="n">
        <f aca="false">IFERROR(AVERAGEIFS(DONNEES!$O$2:$O$1501,DONNEES!$G$2:$G$1501,$A49),"")</f>
        <v>23.545</v>
      </c>
    </row>
    <row r="50" customFormat="false" ht="15" hidden="false" customHeight="false" outlineLevel="0" collapsed="false">
      <c r="A50" s="4" t="s">
        <v>2263</v>
      </c>
      <c r="B50" s="4" t="n">
        <f aca="false">COUNTIFS(DONNEES!$H$2:$H$1501,"NOTABLE",DONNEES!$L$2:$L$1501,"Correct",DONNEES!$G$2:$G$1501,$A50)+COUNTIFS(DONNEES!$H$2:$H$1501,"NOTABLE",DONNEES!$L$2:$L$1501,"Pas d’info à tort",DONNEES!$G$2:$G$1501,$A50)+COUNTIFS(DONNEES!$H$2:$H$1501,"NOTABLE",DONNEES!$L$2:$L$1501,"Incorrect",DONNEES!$G$2:$G$1501,$A50)+COUNTIFS(DONNEES!$H$2:$H$1501,"NOTABLE",DONNEES!$L$2:$L$1501,"Hors sujet",DONNEES!$G$2:$G$1501,$A50)</f>
        <v>8</v>
      </c>
      <c r="C50" s="4" t="n">
        <f aca="false">COUNTIFS(DONNEES!$H$2:$H$1501,"NOTABLE",DONNEES!$L$2:$L$1501,"Correct",DONNEES!$G$2:$G$1501,$A50)</f>
        <v>7</v>
      </c>
      <c r="D50" s="4" t="n">
        <f aca="false">COUNTIFS(DONNEES!$H$2:$H$1501,"NOTABLE",DONNEES!$L$2:$L$1501,"Pas d’info à tort",DONNEES!$G$2:$G$1501,$A50)</f>
        <v>1</v>
      </c>
      <c r="E50" s="4" t="n">
        <f aca="false">COUNTIFS(DONNEES!$H$2:$H$1501,"NOTABLE",DONNEES!$L$2:$L$1501,"Incorrect",DONNEES!$G$2:$G$1501,$A50)</f>
        <v>0</v>
      </c>
      <c r="F50" s="4" t="n">
        <f aca="false">COUNTIFS(DONNEES!$H$2:$H$1501,"NOTABLE",DONNEES!$L$2:$L$1501,"Hors sujet",DONNEES!$G$2:$G$1501,$A50)</f>
        <v>0</v>
      </c>
      <c r="G50" s="25" t="n">
        <f aca="false">IF($B50=0,"",C50/$B50)</f>
        <v>0.875</v>
      </c>
      <c r="H50" s="25" t="n">
        <f aca="false">IF($B50=0,"",D50/$B50)</f>
        <v>0.125</v>
      </c>
      <c r="I50" s="25" t="n">
        <f aca="false">IF($B50=0,"",E50/$B50)</f>
        <v>0</v>
      </c>
      <c r="J50" s="25" t="n">
        <f aca="false">IF($B50=0,"",F50/$B50)</f>
        <v>0</v>
      </c>
      <c r="K50" s="26" t="n">
        <f aca="false">IFERROR(AVERAGEIFS(DONNEES!$O$2:$O$1501,DONNEES!$G$2:$G$1501,$A50),"")</f>
        <v>15.65625</v>
      </c>
    </row>
    <row r="51" customFormat="false" ht="15" hidden="false" customHeight="false" outlineLevel="0" collapsed="false">
      <c r="A51" s="4" t="s">
        <v>116</v>
      </c>
      <c r="B51" s="4" t="n">
        <f aca="false">COUNTIFS(DONNEES!$H$2:$H$1501,"NOTABLE",DONNEES!$L$2:$L$1501,"Correct",DONNEES!$G$2:$G$1501,$A51)+COUNTIFS(DONNEES!$H$2:$H$1501,"NOTABLE",DONNEES!$L$2:$L$1501,"Pas d’info à tort",DONNEES!$G$2:$G$1501,$A51)+COUNTIFS(DONNEES!$H$2:$H$1501,"NOTABLE",DONNEES!$L$2:$L$1501,"Incorrect",DONNEES!$G$2:$G$1501,$A51)+COUNTIFS(DONNEES!$H$2:$H$1501,"NOTABLE",DONNEES!$L$2:$L$1501,"Hors sujet",DONNEES!$G$2:$G$1501,$A51)</f>
        <v>33</v>
      </c>
      <c r="C51" s="4" t="n">
        <f aca="false">COUNTIFS(DONNEES!$H$2:$H$1501,"NOTABLE",DONNEES!$L$2:$L$1501,"Correct",DONNEES!$G$2:$G$1501,$A51)</f>
        <v>29</v>
      </c>
      <c r="D51" s="4" t="n">
        <f aca="false">COUNTIFS(DONNEES!$H$2:$H$1501,"NOTABLE",DONNEES!$L$2:$L$1501,"Pas d’info à tort",DONNEES!$G$2:$G$1501,$A51)</f>
        <v>4</v>
      </c>
      <c r="E51" s="4" t="n">
        <f aca="false">COUNTIFS(DONNEES!$H$2:$H$1501,"NOTABLE",DONNEES!$L$2:$L$1501,"Incorrect",DONNEES!$G$2:$G$1501,$A51)</f>
        <v>0</v>
      </c>
      <c r="F51" s="4" t="n">
        <f aca="false">COUNTIFS(DONNEES!$H$2:$H$1501,"NOTABLE",DONNEES!$L$2:$L$1501,"Hors sujet",DONNEES!$G$2:$G$1501,$A51)</f>
        <v>0</v>
      </c>
      <c r="G51" s="25" t="n">
        <f aca="false">IF($B51=0,"",C51/$B51)</f>
        <v>0.878787878787879</v>
      </c>
      <c r="H51" s="25" t="n">
        <f aca="false">IF($B51=0,"",D51/$B51)</f>
        <v>0.121212121212121</v>
      </c>
      <c r="I51" s="25" t="n">
        <f aca="false">IF($B51=0,"",E51/$B51)</f>
        <v>0</v>
      </c>
      <c r="J51" s="25" t="n">
        <f aca="false">IF($B51=0,"",F51/$B51)</f>
        <v>0</v>
      </c>
      <c r="K51" s="26" t="n">
        <f aca="false">IFERROR(AVERAGEIFS(DONNEES!$O$2:$O$1501,DONNEES!$G$2:$G$1501,$A51),"")</f>
        <v>26.3385294117647</v>
      </c>
    </row>
    <row r="52" customFormat="false" ht="15" hidden="false" customHeight="false" outlineLevel="0" collapsed="false">
      <c r="A52" s="4" t="s">
        <v>348</v>
      </c>
      <c r="B52" s="4" t="n">
        <f aca="false">COUNTIFS(DONNEES!$H$2:$H$1501,"NOTABLE",DONNEES!$L$2:$L$1501,"Correct",DONNEES!$G$2:$G$1501,$A52)+COUNTIFS(DONNEES!$H$2:$H$1501,"NOTABLE",DONNEES!$L$2:$L$1501,"Pas d’info à tort",DONNEES!$G$2:$G$1501,$A52)+COUNTIFS(DONNEES!$H$2:$H$1501,"NOTABLE",DONNEES!$L$2:$L$1501,"Incorrect",DONNEES!$G$2:$G$1501,$A52)+COUNTIFS(DONNEES!$H$2:$H$1501,"NOTABLE",DONNEES!$L$2:$L$1501,"Hors sujet",DONNEES!$G$2:$G$1501,$A52)</f>
        <v>17</v>
      </c>
      <c r="C52" s="4" t="n">
        <f aca="false">COUNTIFS(DONNEES!$H$2:$H$1501,"NOTABLE",DONNEES!$L$2:$L$1501,"Correct",DONNEES!$G$2:$G$1501,$A52)</f>
        <v>15</v>
      </c>
      <c r="D52" s="4" t="n">
        <f aca="false">COUNTIFS(DONNEES!$H$2:$H$1501,"NOTABLE",DONNEES!$L$2:$L$1501,"Pas d’info à tort",DONNEES!$G$2:$G$1501,$A52)</f>
        <v>2</v>
      </c>
      <c r="E52" s="4" t="n">
        <f aca="false">COUNTIFS(DONNEES!$H$2:$H$1501,"NOTABLE",DONNEES!$L$2:$L$1501,"Incorrect",DONNEES!$G$2:$G$1501,$A52)</f>
        <v>0</v>
      </c>
      <c r="F52" s="4" t="n">
        <f aca="false">COUNTIFS(DONNEES!$H$2:$H$1501,"NOTABLE",DONNEES!$L$2:$L$1501,"Hors sujet",DONNEES!$G$2:$G$1501,$A52)</f>
        <v>0</v>
      </c>
      <c r="G52" s="25" t="n">
        <f aca="false">IF($B52=0,"",C52/$B52)</f>
        <v>0.882352941176471</v>
      </c>
      <c r="H52" s="25" t="n">
        <f aca="false">IF($B52=0,"",D52/$B52)</f>
        <v>0.117647058823529</v>
      </c>
      <c r="I52" s="25" t="n">
        <f aca="false">IF($B52=0,"",E52/$B52)</f>
        <v>0</v>
      </c>
      <c r="J52" s="25" t="n">
        <f aca="false">IF($B52=0,"",F52/$B52)</f>
        <v>0</v>
      </c>
      <c r="K52" s="26" t="n">
        <f aca="false">IFERROR(AVERAGEIFS(DONNEES!$O$2:$O$1501,DONNEES!$G$2:$G$1501,$A52),"")</f>
        <v>15.8217647058824</v>
      </c>
    </row>
    <row r="53" customFormat="false" ht="15" hidden="false" customHeight="false" outlineLevel="0" collapsed="false">
      <c r="A53" s="4" t="s">
        <v>1395</v>
      </c>
      <c r="B53" s="4" t="n">
        <f aca="false">COUNTIFS(DONNEES!$H$2:$H$1501,"NOTABLE",DONNEES!$L$2:$L$1501,"Correct",DONNEES!$G$2:$G$1501,$A53)+COUNTIFS(DONNEES!$H$2:$H$1501,"NOTABLE",DONNEES!$L$2:$L$1501,"Pas d’info à tort",DONNEES!$G$2:$G$1501,$A53)+COUNTIFS(DONNEES!$H$2:$H$1501,"NOTABLE",DONNEES!$L$2:$L$1501,"Incorrect",DONNEES!$G$2:$G$1501,$A53)+COUNTIFS(DONNEES!$H$2:$H$1501,"NOTABLE",DONNEES!$L$2:$L$1501,"Hors sujet",DONNEES!$G$2:$G$1501,$A53)</f>
        <v>17</v>
      </c>
      <c r="C53" s="4" t="n">
        <f aca="false">COUNTIFS(DONNEES!$H$2:$H$1501,"NOTABLE",DONNEES!$L$2:$L$1501,"Correct",DONNEES!$G$2:$G$1501,$A53)</f>
        <v>15</v>
      </c>
      <c r="D53" s="4" t="n">
        <f aca="false">COUNTIFS(DONNEES!$H$2:$H$1501,"NOTABLE",DONNEES!$L$2:$L$1501,"Pas d’info à tort",DONNEES!$G$2:$G$1501,$A53)</f>
        <v>2</v>
      </c>
      <c r="E53" s="4" t="n">
        <f aca="false">COUNTIFS(DONNEES!$H$2:$H$1501,"NOTABLE",DONNEES!$L$2:$L$1501,"Incorrect",DONNEES!$G$2:$G$1501,$A53)</f>
        <v>0</v>
      </c>
      <c r="F53" s="4" t="n">
        <f aca="false">COUNTIFS(DONNEES!$H$2:$H$1501,"NOTABLE",DONNEES!$L$2:$L$1501,"Hors sujet",DONNEES!$G$2:$G$1501,$A53)</f>
        <v>0</v>
      </c>
      <c r="G53" s="25" t="n">
        <f aca="false">IF($B53=0,"",C53/$B53)</f>
        <v>0.882352941176471</v>
      </c>
      <c r="H53" s="25" t="n">
        <f aca="false">IF($B53=0,"",D53/$B53)</f>
        <v>0.117647058823529</v>
      </c>
      <c r="I53" s="25" t="n">
        <f aca="false">IF($B53=0,"",E53/$B53)</f>
        <v>0</v>
      </c>
      <c r="J53" s="25" t="n">
        <f aca="false">IF($B53=0,"",F53/$B53)</f>
        <v>0</v>
      </c>
      <c r="K53" s="26" t="n">
        <f aca="false">IFERROR(AVERAGEIFS(DONNEES!$O$2:$O$1501,DONNEES!$G$2:$G$1501,$A53),"")</f>
        <v>17.2217647058824</v>
      </c>
    </row>
    <row r="54" customFormat="false" ht="15" hidden="false" customHeight="false" outlineLevel="0" collapsed="false">
      <c r="A54" s="4" t="s">
        <v>1753</v>
      </c>
      <c r="B54" s="4" t="n">
        <f aca="false">COUNTIFS(DONNEES!$H$2:$H$1501,"NOTABLE",DONNEES!$L$2:$L$1501,"Correct",DONNEES!$G$2:$G$1501,$A54)+COUNTIFS(DONNEES!$H$2:$H$1501,"NOTABLE",DONNEES!$L$2:$L$1501,"Pas d’info à tort",DONNEES!$G$2:$G$1501,$A54)+COUNTIFS(DONNEES!$H$2:$H$1501,"NOTABLE",DONNEES!$L$2:$L$1501,"Incorrect",DONNEES!$G$2:$G$1501,$A54)+COUNTIFS(DONNEES!$H$2:$H$1501,"NOTABLE",DONNEES!$L$2:$L$1501,"Hors sujet",DONNEES!$G$2:$G$1501,$A54)</f>
        <v>17</v>
      </c>
      <c r="C54" s="4" t="n">
        <f aca="false">COUNTIFS(DONNEES!$H$2:$H$1501,"NOTABLE",DONNEES!$L$2:$L$1501,"Correct",DONNEES!$G$2:$G$1501,$A54)</f>
        <v>15</v>
      </c>
      <c r="D54" s="4" t="n">
        <f aca="false">COUNTIFS(DONNEES!$H$2:$H$1501,"NOTABLE",DONNEES!$L$2:$L$1501,"Pas d’info à tort",DONNEES!$G$2:$G$1501,$A54)</f>
        <v>2</v>
      </c>
      <c r="E54" s="4" t="n">
        <f aca="false">COUNTIFS(DONNEES!$H$2:$H$1501,"NOTABLE",DONNEES!$L$2:$L$1501,"Incorrect",DONNEES!$G$2:$G$1501,$A54)</f>
        <v>0</v>
      </c>
      <c r="F54" s="4" t="n">
        <f aca="false">COUNTIFS(DONNEES!$H$2:$H$1501,"NOTABLE",DONNEES!$L$2:$L$1501,"Hors sujet",DONNEES!$G$2:$G$1501,$A54)</f>
        <v>0</v>
      </c>
      <c r="G54" s="25" t="n">
        <f aca="false">IF($B54=0,"",C54/$B54)</f>
        <v>0.882352941176471</v>
      </c>
      <c r="H54" s="25" t="n">
        <f aca="false">IF($B54=0,"",D54/$B54)</f>
        <v>0.117647058823529</v>
      </c>
      <c r="I54" s="25" t="n">
        <f aca="false">IF($B54=0,"",E54/$B54)</f>
        <v>0</v>
      </c>
      <c r="J54" s="25" t="n">
        <f aca="false">IF($B54=0,"",F54/$B54)</f>
        <v>0</v>
      </c>
      <c r="K54" s="26" t="n">
        <f aca="false">IFERROR(AVERAGEIFS(DONNEES!$O$2:$O$1501,DONNEES!$G$2:$G$1501,$A54),"")</f>
        <v>23.5944444444444</v>
      </c>
    </row>
    <row r="55" customFormat="false" ht="15" hidden="false" customHeight="false" outlineLevel="0" collapsed="false">
      <c r="A55" s="4" t="s">
        <v>209</v>
      </c>
      <c r="B55" s="4" t="n">
        <f aca="false">COUNTIFS(DONNEES!$H$2:$H$1501,"NOTABLE",DONNEES!$L$2:$L$1501,"Correct",DONNEES!$G$2:$G$1501,$A55)+COUNTIFS(DONNEES!$H$2:$H$1501,"NOTABLE",DONNEES!$L$2:$L$1501,"Pas d’info à tort",DONNEES!$G$2:$G$1501,$A55)+COUNTIFS(DONNEES!$H$2:$H$1501,"NOTABLE",DONNEES!$L$2:$L$1501,"Incorrect",DONNEES!$G$2:$G$1501,$A55)+COUNTIFS(DONNEES!$H$2:$H$1501,"NOTABLE",DONNEES!$L$2:$L$1501,"Hors sujet",DONNEES!$G$2:$G$1501,$A55)</f>
        <v>18</v>
      </c>
      <c r="C55" s="4" t="n">
        <f aca="false">COUNTIFS(DONNEES!$H$2:$H$1501,"NOTABLE",DONNEES!$L$2:$L$1501,"Correct",DONNEES!$G$2:$G$1501,$A55)</f>
        <v>16</v>
      </c>
      <c r="D55" s="4" t="n">
        <f aca="false">COUNTIFS(DONNEES!$H$2:$H$1501,"NOTABLE",DONNEES!$L$2:$L$1501,"Pas d’info à tort",DONNEES!$G$2:$G$1501,$A55)</f>
        <v>2</v>
      </c>
      <c r="E55" s="4" t="n">
        <f aca="false">COUNTIFS(DONNEES!$H$2:$H$1501,"NOTABLE",DONNEES!$L$2:$L$1501,"Incorrect",DONNEES!$G$2:$G$1501,$A55)</f>
        <v>0</v>
      </c>
      <c r="F55" s="4" t="n">
        <f aca="false">COUNTIFS(DONNEES!$H$2:$H$1501,"NOTABLE",DONNEES!$L$2:$L$1501,"Hors sujet",DONNEES!$G$2:$G$1501,$A55)</f>
        <v>0</v>
      </c>
      <c r="G55" s="25" t="n">
        <f aca="false">IF($B55=0,"",C55/$B55)</f>
        <v>0.888888888888889</v>
      </c>
      <c r="H55" s="25" t="n">
        <f aca="false">IF($B55=0,"",D55/$B55)</f>
        <v>0.111111111111111</v>
      </c>
      <c r="I55" s="25" t="n">
        <f aca="false">IF($B55=0,"",E55/$B55)</f>
        <v>0</v>
      </c>
      <c r="J55" s="25" t="n">
        <f aca="false">IF($B55=0,"",F55/$B55)</f>
        <v>0</v>
      </c>
      <c r="K55" s="26" t="n">
        <f aca="false">IFERROR(AVERAGEIFS(DONNEES!$O$2:$O$1501,DONNEES!$G$2:$G$1501,$A55),"")</f>
        <v>16.1977777777778</v>
      </c>
    </row>
    <row r="56" customFormat="false" ht="15" hidden="false" customHeight="false" outlineLevel="0" collapsed="false">
      <c r="A56" s="4" t="s">
        <v>1732</v>
      </c>
      <c r="B56" s="4" t="n">
        <f aca="false">COUNTIFS(DONNEES!$H$2:$H$1501,"NOTABLE",DONNEES!$L$2:$L$1501,"Correct",DONNEES!$G$2:$G$1501,$A56)+COUNTIFS(DONNEES!$H$2:$H$1501,"NOTABLE",DONNEES!$L$2:$L$1501,"Pas d’info à tort",DONNEES!$G$2:$G$1501,$A56)+COUNTIFS(DONNEES!$H$2:$H$1501,"NOTABLE",DONNEES!$L$2:$L$1501,"Incorrect",DONNEES!$G$2:$G$1501,$A56)+COUNTIFS(DONNEES!$H$2:$H$1501,"NOTABLE",DONNEES!$L$2:$L$1501,"Hors sujet",DONNEES!$G$2:$G$1501,$A56)</f>
        <v>18</v>
      </c>
      <c r="C56" s="4" t="n">
        <f aca="false">COUNTIFS(DONNEES!$H$2:$H$1501,"NOTABLE",DONNEES!$L$2:$L$1501,"Correct",DONNEES!$G$2:$G$1501,$A56)</f>
        <v>16</v>
      </c>
      <c r="D56" s="4" t="n">
        <f aca="false">COUNTIFS(DONNEES!$H$2:$H$1501,"NOTABLE",DONNEES!$L$2:$L$1501,"Pas d’info à tort",DONNEES!$G$2:$G$1501,$A56)</f>
        <v>1</v>
      </c>
      <c r="E56" s="4" t="n">
        <f aca="false">COUNTIFS(DONNEES!$H$2:$H$1501,"NOTABLE",DONNEES!$L$2:$L$1501,"Incorrect",DONNEES!$G$2:$G$1501,$A56)</f>
        <v>1</v>
      </c>
      <c r="F56" s="4" t="n">
        <f aca="false">COUNTIFS(DONNEES!$H$2:$H$1501,"NOTABLE",DONNEES!$L$2:$L$1501,"Hors sujet",DONNEES!$G$2:$G$1501,$A56)</f>
        <v>0</v>
      </c>
      <c r="G56" s="25" t="n">
        <f aca="false">IF($B56=0,"",C56/$B56)</f>
        <v>0.888888888888889</v>
      </c>
      <c r="H56" s="25" t="n">
        <f aca="false">IF($B56=0,"",D56/$B56)</f>
        <v>0.0555555555555556</v>
      </c>
      <c r="I56" s="25" t="n">
        <f aca="false">IF($B56=0,"",E56/$B56)</f>
        <v>0.0555555555555556</v>
      </c>
      <c r="J56" s="25" t="n">
        <f aca="false">IF($B56=0,"",F56/$B56)</f>
        <v>0</v>
      </c>
      <c r="K56" s="26" t="n">
        <f aca="false">IFERROR(AVERAGEIFS(DONNEES!$O$2:$O$1501,DONNEES!$G$2:$G$1501,$A56),"")</f>
        <v>18.1183333333333</v>
      </c>
    </row>
    <row r="57" customFormat="false" ht="15" hidden="false" customHeight="false" outlineLevel="0" collapsed="false">
      <c r="A57" s="4" t="s">
        <v>2153</v>
      </c>
      <c r="B57" s="4" t="n">
        <f aca="false">COUNTIFS(DONNEES!$H$2:$H$1501,"NOTABLE",DONNEES!$L$2:$L$1501,"Correct",DONNEES!$G$2:$G$1501,$A57)+COUNTIFS(DONNEES!$H$2:$H$1501,"NOTABLE",DONNEES!$L$2:$L$1501,"Pas d’info à tort",DONNEES!$G$2:$G$1501,$A57)+COUNTIFS(DONNEES!$H$2:$H$1501,"NOTABLE",DONNEES!$L$2:$L$1501,"Incorrect",DONNEES!$G$2:$G$1501,$A57)+COUNTIFS(DONNEES!$H$2:$H$1501,"NOTABLE",DONNEES!$L$2:$L$1501,"Hors sujet",DONNEES!$G$2:$G$1501,$A57)</f>
        <v>9</v>
      </c>
      <c r="C57" s="4" t="n">
        <f aca="false">COUNTIFS(DONNEES!$H$2:$H$1501,"NOTABLE",DONNEES!$L$2:$L$1501,"Correct",DONNEES!$G$2:$G$1501,$A57)</f>
        <v>8</v>
      </c>
      <c r="D57" s="4" t="n">
        <f aca="false">COUNTIFS(DONNEES!$H$2:$H$1501,"NOTABLE",DONNEES!$L$2:$L$1501,"Pas d’info à tort",DONNEES!$G$2:$G$1501,$A57)</f>
        <v>1</v>
      </c>
      <c r="E57" s="4" t="n">
        <f aca="false">COUNTIFS(DONNEES!$H$2:$H$1501,"NOTABLE",DONNEES!$L$2:$L$1501,"Incorrect",DONNEES!$G$2:$G$1501,$A57)</f>
        <v>0</v>
      </c>
      <c r="F57" s="4" t="n">
        <f aca="false">COUNTIFS(DONNEES!$H$2:$H$1501,"NOTABLE",DONNEES!$L$2:$L$1501,"Hors sujet",DONNEES!$G$2:$G$1501,$A57)</f>
        <v>0</v>
      </c>
      <c r="G57" s="25" t="n">
        <f aca="false">IF($B57=0,"",C57/$B57)</f>
        <v>0.888888888888889</v>
      </c>
      <c r="H57" s="25" t="n">
        <f aca="false">IF($B57=0,"",D57/$B57)</f>
        <v>0.111111111111111</v>
      </c>
      <c r="I57" s="25" t="n">
        <f aca="false">IF($B57=0,"",E57/$B57)</f>
        <v>0</v>
      </c>
      <c r="J57" s="25" t="n">
        <f aca="false">IF($B57=0,"",F57/$B57)</f>
        <v>0</v>
      </c>
      <c r="K57" s="26" t="n">
        <f aca="false">IFERROR(AVERAGEIFS(DONNEES!$O$2:$O$1501,DONNEES!$G$2:$G$1501,$A57),"")</f>
        <v>12.9611111111111</v>
      </c>
    </row>
    <row r="58" customFormat="false" ht="15" hidden="false" customHeight="false" outlineLevel="0" collapsed="false">
      <c r="A58" s="4" t="s">
        <v>109</v>
      </c>
      <c r="B58" s="4" t="n">
        <f aca="false">COUNTIFS(DONNEES!$H$2:$H$1501,"NOTABLE",DONNEES!$L$2:$L$1501,"Correct",DONNEES!$G$2:$G$1501,$A58)+COUNTIFS(DONNEES!$H$2:$H$1501,"NOTABLE",DONNEES!$L$2:$L$1501,"Pas d’info à tort",DONNEES!$G$2:$G$1501,$A58)+COUNTIFS(DONNEES!$H$2:$H$1501,"NOTABLE",DONNEES!$L$2:$L$1501,"Incorrect",DONNEES!$G$2:$G$1501,$A58)+COUNTIFS(DONNEES!$H$2:$H$1501,"NOTABLE",DONNEES!$L$2:$L$1501,"Hors sujet",DONNEES!$G$2:$G$1501,$A58)</f>
        <v>28</v>
      </c>
      <c r="C58" s="4" t="n">
        <f aca="false">COUNTIFS(DONNEES!$H$2:$H$1501,"NOTABLE",DONNEES!$L$2:$L$1501,"Correct",DONNEES!$G$2:$G$1501,$A58)</f>
        <v>25</v>
      </c>
      <c r="D58" s="4" t="n">
        <f aca="false">COUNTIFS(DONNEES!$H$2:$H$1501,"NOTABLE",DONNEES!$L$2:$L$1501,"Pas d’info à tort",DONNEES!$G$2:$G$1501,$A58)</f>
        <v>1</v>
      </c>
      <c r="E58" s="4" t="n">
        <f aca="false">COUNTIFS(DONNEES!$H$2:$H$1501,"NOTABLE",DONNEES!$L$2:$L$1501,"Incorrect",DONNEES!$G$2:$G$1501,$A58)</f>
        <v>1</v>
      </c>
      <c r="F58" s="4" t="n">
        <f aca="false">COUNTIFS(DONNEES!$H$2:$H$1501,"NOTABLE",DONNEES!$L$2:$L$1501,"Hors sujet",DONNEES!$G$2:$G$1501,$A58)</f>
        <v>1</v>
      </c>
      <c r="G58" s="25" t="n">
        <f aca="false">IF($B58=0,"",C58/$B58)</f>
        <v>0.892857142857143</v>
      </c>
      <c r="H58" s="25" t="n">
        <f aca="false">IF($B58=0,"",D58/$B58)</f>
        <v>0.0357142857142857</v>
      </c>
      <c r="I58" s="25" t="n">
        <f aca="false">IF($B58=0,"",E58/$B58)</f>
        <v>0.0357142857142857</v>
      </c>
      <c r="J58" s="25" t="n">
        <f aca="false">IF($B58=0,"",F58/$B58)</f>
        <v>0.0357142857142857</v>
      </c>
      <c r="K58" s="26" t="n">
        <f aca="false">IFERROR(AVERAGEIFS(DONNEES!$O$2:$O$1501,DONNEES!$G$2:$G$1501,$A58),"")</f>
        <v>16.3614285714286</v>
      </c>
    </row>
    <row r="59" customFormat="false" ht="15" hidden="false" customHeight="false" outlineLevel="0" collapsed="false">
      <c r="A59" s="4" t="s">
        <v>186</v>
      </c>
      <c r="B59" s="4" t="n">
        <f aca="false">COUNTIFS(DONNEES!$H$2:$H$1501,"NOTABLE",DONNEES!$L$2:$L$1501,"Correct",DONNEES!$G$2:$G$1501,$A59)+COUNTIFS(DONNEES!$H$2:$H$1501,"NOTABLE",DONNEES!$L$2:$L$1501,"Pas d’info à tort",DONNEES!$G$2:$G$1501,$A59)+COUNTIFS(DONNEES!$H$2:$H$1501,"NOTABLE",DONNEES!$L$2:$L$1501,"Incorrect",DONNEES!$G$2:$G$1501,$A59)+COUNTIFS(DONNEES!$H$2:$H$1501,"NOTABLE",DONNEES!$L$2:$L$1501,"Hors sujet",DONNEES!$G$2:$G$1501,$A59)</f>
        <v>19</v>
      </c>
      <c r="C59" s="4" t="n">
        <f aca="false">COUNTIFS(DONNEES!$H$2:$H$1501,"NOTABLE",DONNEES!$L$2:$L$1501,"Correct",DONNEES!$G$2:$G$1501,$A59)</f>
        <v>17</v>
      </c>
      <c r="D59" s="4" t="n">
        <f aca="false">COUNTIFS(DONNEES!$H$2:$H$1501,"NOTABLE",DONNEES!$L$2:$L$1501,"Pas d’info à tort",DONNEES!$G$2:$G$1501,$A59)</f>
        <v>0</v>
      </c>
      <c r="E59" s="4" t="n">
        <f aca="false">COUNTIFS(DONNEES!$H$2:$H$1501,"NOTABLE",DONNEES!$L$2:$L$1501,"Incorrect",DONNEES!$G$2:$G$1501,$A59)</f>
        <v>1</v>
      </c>
      <c r="F59" s="4" t="n">
        <f aca="false">COUNTIFS(DONNEES!$H$2:$H$1501,"NOTABLE",DONNEES!$L$2:$L$1501,"Hors sujet",DONNEES!$G$2:$G$1501,$A59)</f>
        <v>1</v>
      </c>
      <c r="G59" s="25" t="n">
        <f aca="false">IF($B59=0,"",C59/$B59)</f>
        <v>0.894736842105263</v>
      </c>
      <c r="H59" s="25" t="n">
        <f aca="false">IF($B59=0,"",D59/$B59)</f>
        <v>0</v>
      </c>
      <c r="I59" s="25" t="n">
        <f aca="false">IF($B59=0,"",E59/$B59)</f>
        <v>0.0526315789473684</v>
      </c>
      <c r="J59" s="25" t="n">
        <f aca="false">IF($B59=0,"",F59/$B59)</f>
        <v>0.0526315789473684</v>
      </c>
      <c r="K59" s="26" t="n">
        <f aca="false">IFERROR(AVERAGEIFS(DONNEES!$O$2:$O$1501,DONNEES!$G$2:$G$1501,$A59),"")</f>
        <v>20.3321052631579</v>
      </c>
    </row>
    <row r="60" customFormat="false" ht="15" hidden="false" customHeight="false" outlineLevel="0" collapsed="false">
      <c r="A60" s="4" t="s">
        <v>1744</v>
      </c>
      <c r="B60" s="4" t="n">
        <f aca="false">COUNTIFS(DONNEES!$H$2:$H$1501,"NOTABLE",DONNEES!$L$2:$L$1501,"Correct",DONNEES!$G$2:$G$1501,$A60)+COUNTIFS(DONNEES!$H$2:$H$1501,"NOTABLE",DONNEES!$L$2:$L$1501,"Pas d’info à tort",DONNEES!$G$2:$G$1501,$A60)+COUNTIFS(DONNEES!$H$2:$H$1501,"NOTABLE",DONNEES!$L$2:$L$1501,"Incorrect",DONNEES!$G$2:$G$1501,$A60)+COUNTIFS(DONNEES!$H$2:$H$1501,"NOTABLE",DONNEES!$L$2:$L$1501,"Hors sujet",DONNEES!$G$2:$G$1501,$A60)</f>
        <v>20</v>
      </c>
      <c r="C60" s="4" t="n">
        <f aca="false">COUNTIFS(DONNEES!$H$2:$H$1501,"NOTABLE",DONNEES!$L$2:$L$1501,"Correct",DONNEES!$G$2:$G$1501,$A60)</f>
        <v>18</v>
      </c>
      <c r="D60" s="4" t="n">
        <f aca="false">COUNTIFS(DONNEES!$H$2:$H$1501,"NOTABLE",DONNEES!$L$2:$L$1501,"Pas d’info à tort",DONNEES!$G$2:$G$1501,$A60)</f>
        <v>1</v>
      </c>
      <c r="E60" s="4" t="n">
        <f aca="false">COUNTIFS(DONNEES!$H$2:$H$1501,"NOTABLE",DONNEES!$L$2:$L$1501,"Incorrect",DONNEES!$G$2:$G$1501,$A60)</f>
        <v>0</v>
      </c>
      <c r="F60" s="4" t="n">
        <f aca="false">COUNTIFS(DONNEES!$H$2:$H$1501,"NOTABLE",DONNEES!$L$2:$L$1501,"Hors sujet",DONNEES!$G$2:$G$1501,$A60)</f>
        <v>1</v>
      </c>
      <c r="G60" s="25" t="n">
        <f aca="false">IF($B60=0,"",C60/$B60)</f>
        <v>0.9</v>
      </c>
      <c r="H60" s="25" t="n">
        <f aca="false">IF($B60=0,"",D60/$B60)</f>
        <v>0.05</v>
      </c>
      <c r="I60" s="25" t="n">
        <f aca="false">IF($B60=0,"",E60/$B60)</f>
        <v>0</v>
      </c>
      <c r="J60" s="25" t="n">
        <f aca="false">IF($B60=0,"",F60/$B60)</f>
        <v>0.05</v>
      </c>
      <c r="K60" s="26" t="n">
        <f aca="false">IFERROR(AVERAGEIFS(DONNEES!$O$2:$O$1501,DONNEES!$G$2:$G$1501,$A60),"")</f>
        <v>24.3475</v>
      </c>
    </row>
    <row r="61" customFormat="false" ht="15" hidden="false" customHeight="false" outlineLevel="0" collapsed="false">
      <c r="A61" s="4" t="s">
        <v>231</v>
      </c>
      <c r="B61" s="4" t="n">
        <f aca="false">COUNTIFS(DONNEES!$H$2:$H$1501,"NOTABLE",DONNEES!$L$2:$L$1501,"Correct",DONNEES!$G$2:$G$1501,$A61)+COUNTIFS(DONNEES!$H$2:$H$1501,"NOTABLE",DONNEES!$L$2:$L$1501,"Pas d’info à tort",DONNEES!$G$2:$G$1501,$A61)+COUNTIFS(DONNEES!$H$2:$H$1501,"NOTABLE",DONNEES!$L$2:$L$1501,"Incorrect",DONNEES!$G$2:$G$1501,$A61)+COUNTIFS(DONNEES!$H$2:$H$1501,"NOTABLE",DONNEES!$L$2:$L$1501,"Hors sujet",DONNEES!$G$2:$G$1501,$A61)</f>
        <v>20</v>
      </c>
      <c r="C61" s="4" t="n">
        <f aca="false">COUNTIFS(DONNEES!$H$2:$H$1501,"NOTABLE",DONNEES!$L$2:$L$1501,"Correct",DONNEES!$G$2:$G$1501,$A61)</f>
        <v>18</v>
      </c>
      <c r="D61" s="4" t="n">
        <f aca="false">COUNTIFS(DONNEES!$H$2:$H$1501,"NOTABLE",DONNEES!$L$2:$L$1501,"Pas d’info à tort",DONNEES!$G$2:$G$1501,$A61)</f>
        <v>1</v>
      </c>
      <c r="E61" s="4" t="n">
        <f aca="false">COUNTIFS(DONNEES!$H$2:$H$1501,"NOTABLE",DONNEES!$L$2:$L$1501,"Incorrect",DONNEES!$G$2:$G$1501,$A61)</f>
        <v>1</v>
      </c>
      <c r="F61" s="4" t="n">
        <f aca="false">COUNTIFS(DONNEES!$H$2:$H$1501,"NOTABLE",DONNEES!$L$2:$L$1501,"Hors sujet",DONNEES!$G$2:$G$1501,$A61)</f>
        <v>0</v>
      </c>
      <c r="G61" s="25" t="n">
        <f aca="false">IF($B61=0,"",C61/$B61)</f>
        <v>0.9</v>
      </c>
      <c r="H61" s="25" t="n">
        <f aca="false">IF($B61=0,"",D61/$B61)</f>
        <v>0.05</v>
      </c>
      <c r="I61" s="25" t="n">
        <f aca="false">IF($B61=0,"",E61/$B61)</f>
        <v>0.05</v>
      </c>
      <c r="J61" s="25" t="n">
        <f aca="false">IF($B61=0,"",F61/$B61)</f>
        <v>0</v>
      </c>
      <c r="K61" s="26" t="n">
        <f aca="false">IFERROR(AVERAGEIFS(DONNEES!$O$2:$O$1501,DONNEES!$G$2:$G$1501,$A61),"")</f>
        <v>16.359</v>
      </c>
    </row>
    <row r="62" customFormat="false" ht="15" hidden="false" customHeight="false" outlineLevel="0" collapsed="false">
      <c r="A62" s="4" t="s">
        <v>402</v>
      </c>
      <c r="B62" s="4" t="n">
        <f aca="false">COUNTIFS(DONNEES!$H$2:$H$1501,"NOTABLE",DONNEES!$L$2:$L$1501,"Correct",DONNEES!$G$2:$G$1501,$A62)+COUNTIFS(DONNEES!$H$2:$H$1501,"NOTABLE",DONNEES!$L$2:$L$1501,"Pas d’info à tort",DONNEES!$G$2:$G$1501,$A62)+COUNTIFS(DONNEES!$H$2:$H$1501,"NOTABLE",DONNEES!$L$2:$L$1501,"Incorrect",DONNEES!$G$2:$G$1501,$A62)+COUNTIFS(DONNEES!$H$2:$H$1501,"NOTABLE",DONNEES!$L$2:$L$1501,"Hors sujet",DONNEES!$G$2:$G$1501,$A62)</f>
        <v>10</v>
      </c>
      <c r="C62" s="4" t="n">
        <f aca="false">COUNTIFS(DONNEES!$H$2:$H$1501,"NOTABLE",DONNEES!$L$2:$L$1501,"Correct",DONNEES!$G$2:$G$1501,$A62)</f>
        <v>9</v>
      </c>
      <c r="D62" s="4" t="n">
        <f aca="false">COUNTIFS(DONNEES!$H$2:$H$1501,"NOTABLE",DONNEES!$L$2:$L$1501,"Pas d’info à tort",DONNEES!$G$2:$G$1501,$A62)</f>
        <v>0</v>
      </c>
      <c r="E62" s="4" t="n">
        <f aca="false">COUNTIFS(DONNEES!$H$2:$H$1501,"NOTABLE",DONNEES!$L$2:$L$1501,"Incorrect",DONNEES!$G$2:$G$1501,$A62)</f>
        <v>1</v>
      </c>
      <c r="F62" s="4" t="n">
        <f aca="false">COUNTIFS(DONNEES!$H$2:$H$1501,"NOTABLE",DONNEES!$L$2:$L$1501,"Hors sujet",DONNEES!$G$2:$G$1501,$A62)</f>
        <v>0</v>
      </c>
      <c r="G62" s="25" t="n">
        <f aca="false">IF($B62=0,"",C62/$B62)</f>
        <v>0.9</v>
      </c>
      <c r="H62" s="25" t="n">
        <f aca="false">IF($B62=0,"",D62/$B62)</f>
        <v>0</v>
      </c>
      <c r="I62" s="25" t="n">
        <f aca="false">IF($B62=0,"",E62/$B62)</f>
        <v>0.1</v>
      </c>
      <c r="J62" s="25" t="n">
        <f aca="false">IF($B62=0,"",F62/$B62)</f>
        <v>0</v>
      </c>
      <c r="K62" s="26" t="n">
        <f aca="false">IFERROR(AVERAGEIFS(DONNEES!$O$2:$O$1501,DONNEES!$G$2:$G$1501,$A62),"")</f>
        <v>12.075</v>
      </c>
    </row>
    <row r="63" customFormat="false" ht="15" hidden="false" customHeight="false" outlineLevel="0" collapsed="false">
      <c r="A63" s="4" t="s">
        <v>857</v>
      </c>
      <c r="B63" s="4" t="n">
        <f aca="false">COUNTIFS(DONNEES!$H$2:$H$1501,"NOTABLE",DONNEES!$L$2:$L$1501,"Correct",DONNEES!$G$2:$G$1501,$A63)+COUNTIFS(DONNEES!$H$2:$H$1501,"NOTABLE",DONNEES!$L$2:$L$1501,"Pas d’info à tort",DONNEES!$G$2:$G$1501,$A63)+COUNTIFS(DONNEES!$H$2:$H$1501,"NOTABLE",DONNEES!$L$2:$L$1501,"Incorrect",DONNEES!$G$2:$G$1501,$A63)+COUNTIFS(DONNEES!$H$2:$H$1501,"NOTABLE",DONNEES!$L$2:$L$1501,"Hors sujet",DONNEES!$G$2:$G$1501,$A63)</f>
        <v>10</v>
      </c>
      <c r="C63" s="4" t="n">
        <f aca="false">COUNTIFS(DONNEES!$H$2:$H$1501,"NOTABLE",DONNEES!$L$2:$L$1501,"Correct",DONNEES!$G$2:$G$1501,$A63)</f>
        <v>9</v>
      </c>
      <c r="D63" s="4" t="n">
        <f aca="false">COUNTIFS(DONNEES!$H$2:$H$1501,"NOTABLE",DONNEES!$L$2:$L$1501,"Pas d’info à tort",DONNEES!$G$2:$G$1501,$A63)</f>
        <v>1</v>
      </c>
      <c r="E63" s="4" t="n">
        <f aca="false">COUNTIFS(DONNEES!$H$2:$H$1501,"NOTABLE",DONNEES!$L$2:$L$1501,"Incorrect",DONNEES!$G$2:$G$1501,$A63)</f>
        <v>0</v>
      </c>
      <c r="F63" s="4" t="n">
        <f aca="false">COUNTIFS(DONNEES!$H$2:$H$1501,"NOTABLE",DONNEES!$L$2:$L$1501,"Hors sujet",DONNEES!$G$2:$G$1501,$A63)</f>
        <v>0</v>
      </c>
      <c r="G63" s="25" t="n">
        <f aca="false">IF($B63=0,"",C63/$B63)</f>
        <v>0.9</v>
      </c>
      <c r="H63" s="25" t="n">
        <f aca="false">IF($B63=0,"",D63/$B63)</f>
        <v>0.1</v>
      </c>
      <c r="I63" s="25" t="n">
        <f aca="false">IF($B63=0,"",E63/$B63)</f>
        <v>0</v>
      </c>
      <c r="J63" s="25" t="n">
        <f aca="false">IF($B63=0,"",F63/$B63)</f>
        <v>0</v>
      </c>
      <c r="K63" s="26" t="n">
        <f aca="false">IFERROR(AVERAGEIFS(DONNEES!$O$2:$O$1501,DONNEES!$G$2:$G$1501,$A63),"")</f>
        <v>15.644</v>
      </c>
    </row>
    <row r="64" customFormat="false" ht="15" hidden="false" customHeight="false" outlineLevel="0" collapsed="false">
      <c r="A64" s="4" t="s">
        <v>2142</v>
      </c>
      <c r="B64" s="4" t="n">
        <f aca="false">COUNTIFS(DONNEES!$H$2:$H$1501,"NOTABLE",DONNEES!$L$2:$L$1501,"Correct",DONNEES!$G$2:$G$1501,$A64)+COUNTIFS(DONNEES!$H$2:$H$1501,"NOTABLE",DONNEES!$L$2:$L$1501,"Pas d’info à tort",DONNEES!$G$2:$G$1501,$A64)+COUNTIFS(DONNEES!$H$2:$H$1501,"NOTABLE",DONNEES!$L$2:$L$1501,"Incorrect",DONNEES!$G$2:$G$1501,$A64)+COUNTIFS(DONNEES!$H$2:$H$1501,"NOTABLE",DONNEES!$L$2:$L$1501,"Hors sujet",DONNEES!$G$2:$G$1501,$A64)</f>
        <v>10</v>
      </c>
      <c r="C64" s="4" t="n">
        <f aca="false">COUNTIFS(DONNEES!$H$2:$H$1501,"NOTABLE",DONNEES!$L$2:$L$1501,"Correct",DONNEES!$G$2:$G$1501,$A64)</f>
        <v>9</v>
      </c>
      <c r="D64" s="4" t="n">
        <f aca="false">COUNTIFS(DONNEES!$H$2:$H$1501,"NOTABLE",DONNEES!$L$2:$L$1501,"Pas d’info à tort",DONNEES!$G$2:$G$1501,$A64)</f>
        <v>1</v>
      </c>
      <c r="E64" s="4" t="n">
        <f aca="false">COUNTIFS(DONNEES!$H$2:$H$1501,"NOTABLE",DONNEES!$L$2:$L$1501,"Incorrect",DONNEES!$G$2:$G$1501,$A64)</f>
        <v>0</v>
      </c>
      <c r="F64" s="4" t="n">
        <f aca="false">COUNTIFS(DONNEES!$H$2:$H$1501,"NOTABLE",DONNEES!$L$2:$L$1501,"Hors sujet",DONNEES!$G$2:$G$1501,$A64)</f>
        <v>0</v>
      </c>
      <c r="G64" s="25" t="n">
        <f aca="false">IF($B64=0,"",C64/$B64)</f>
        <v>0.9</v>
      </c>
      <c r="H64" s="25" t="n">
        <f aca="false">IF($B64=0,"",D64/$B64)</f>
        <v>0.1</v>
      </c>
      <c r="I64" s="25" t="n">
        <f aca="false">IF($B64=0,"",E64/$B64)</f>
        <v>0</v>
      </c>
      <c r="J64" s="25" t="n">
        <f aca="false">IF($B64=0,"",F64/$B64)</f>
        <v>0</v>
      </c>
      <c r="K64" s="26" t="n">
        <f aca="false">IFERROR(AVERAGEIFS(DONNEES!$O$2:$O$1501,DONNEES!$G$2:$G$1501,$A64),"")</f>
        <v>11</v>
      </c>
    </row>
    <row r="65" customFormat="false" ht="15" hidden="false" customHeight="false" outlineLevel="0" collapsed="false">
      <c r="A65" s="4" t="s">
        <v>123</v>
      </c>
      <c r="B65" s="4" t="n">
        <f aca="false">COUNTIFS(DONNEES!$H$2:$H$1501,"NOTABLE",DONNEES!$L$2:$L$1501,"Correct",DONNEES!$G$2:$G$1501,$A65)+COUNTIFS(DONNEES!$H$2:$H$1501,"NOTABLE",DONNEES!$L$2:$L$1501,"Pas d’info à tort",DONNEES!$G$2:$G$1501,$A65)+COUNTIFS(DONNEES!$H$2:$H$1501,"NOTABLE",DONNEES!$L$2:$L$1501,"Incorrect",DONNEES!$G$2:$G$1501,$A65)+COUNTIFS(DONNEES!$H$2:$H$1501,"NOTABLE",DONNEES!$L$2:$L$1501,"Hors sujet",DONNEES!$G$2:$G$1501,$A65)</f>
        <v>62</v>
      </c>
      <c r="C65" s="4" t="n">
        <f aca="false">COUNTIFS(DONNEES!$H$2:$H$1501,"NOTABLE",DONNEES!$L$2:$L$1501,"Correct",DONNEES!$G$2:$G$1501,$A65)</f>
        <v>56</v>
      </c>
      <c r="D65" s="4" t="n">
        <f aca="false">COUNTIFS(DONNEES!$H$2:$H$1501,"NOTABLE",DONNEES!$L$2:$L$1501,"Pas d’info à tort",DONNEES!$G$2:$G$1501,$A65)</f>
        <v>5</v>
      </c>
      <c r="E65" s="4" t="n">
        <f aca="false">COUNTIFS(DONNEES!$H$2:$H$1501,"NOTABLE",DONNEES!$L$2:$L$1501,"Incorrect",DONNEES!$G$2:$G$1501,$A65)</f>
        <v>1</v>
      </c>
      <c r="F65" s="4" t="n">
        <f aca="false">COUNTIFS(DONNEES!$H$2:$H$1501,"NOTABLE",DONNEES!$L$2:$L$1501,"Hors sujet",DONNEES!$G$2:$G$1501,$A65)</f>
        <v>0</v>
      </c>
      <c r="G65" s="25" t="n">
        <f aca="false">IF($B65=0,"",C65/$B65)</f>
        <v>0.903225806451613</v>
      </c>
      <c r="H65" s="25" t="n">
        <f aca="false">IF($B65=0,"",D65/$B65)</f>
        <v>0.0806451612903226</v>
      </c>
      <c r="I65" s="25" t="n">
        <f aca="false">IF($B65=0,"",E65/$B65)</f>
        <v>0.0161290322580645</v>
      </c>
      <c r="J65" s="25" t="n">
        <f aca="false">IF($B65=0,"",F65/$B65)</f>
        <v>0</v>
      </c>
      <c r="K65" s="26" t="n">
        <f aca="false">IFERROR(AVERAGEIFS(DONNEES!$O$2:$O$1501,DONNEES!$G$2:$G$1501,$A65),"")</f>
        <v>16.5582258064516</v>
      </c>
    </row>
    <row r="66" customFormat="false" ht="15" hidden="false" customHeight="false" outlineLevel="0" collapsed="false">
      <c r="A66" s="4" t="s">
        <v>261</v>
      </c>
      <c r="B66" s="4" t="n">
        <f aca="false">COUNTIFS(DONNEES!$H$2:$H$1501,"NOTABLE",DONNEES!$L$2:$L$1501,"Correct",DONNEES!$G$2:$G$1501,$A66)+COUNTIFS(DONNEES!$H$2:$H$1501,"NOTABLE",DONNEES!$L$2:$L$1501,"Pas d’info à tort",DONNEES!$G$2:$G$1501,$A66)+COUNTIFS(DONNEES!$H$2:$H$1501,"NOTABLE",DONNEES!$L$2:$L$1501,"Incorrect",DONNEES!$G$2:$G$1501,$A66)+COUNTIFS(DONNEES!$H$2:$H$1501,"NOTABLE",DONNEES!$L$2:$L$1501,"Hors sujet",DONNEES!$G$2:$G$1501,$A66)</f>
        <v>22</v>
      </c>
      <c r="C66" s="4" t="n">
        <f aca="false">COUNTIFS(DONNEES!$H$2:$H$1501,"NOTABLE",DONNEES!$L$2:$L$1501,"Correct",DONNEES!$G$2:$G$1501,$A66)</f>
        <v>20</v>
      </c>
      <c r="D66" s="4" t="n">
        <f aca="false">COUNTIFS(DONNEES!$H$2:$H$1501,"NOTABLE",DONNEES!$L$2:$L$1501,"Pas d’info à tort",DONNEES!$G$2:$G$1501,$A66)</f>
        <v>1</v>
      </c>
      <c r="E66" s="4" t="n">
        <f aca="false">COUNTIFS(DONNEES!$H$2:$H$1501,"NOTABLE",DONNEES!$L$2:$L$1501,"Incorrect",DONNEES!$G$2:$G$1501,$A66)</f>
        <v>1</v>
      </c>
      <c r="F66" s="4" t="n">
        <f aca="false">COUNTIFS(DONNEES!$H$2:$H$1501,"NOTABLE",DONNEES!$L$2:$L$1501,"Hors sujet",DONNEES!$G$2:$G$1501,$A66)</f>
        <v>0</v>
      </c>
      <c r="G66" s="25" t="n">
        <f aca="false">IF($B66=0,"",C66/$B66)</f>
        <v>0.909090909090909</v>
      </c>
      <c r="H66" s="25" t="n">
        <f aca="false">IF($B66=0,"",D66/$B66)</f>
        <v>0.0454545454545455</v>
      </c>
      <c r="I66" s="25" t="n">
        <f aca="false">IF($B66=0,"",E66/$B66)</f>
        <v>0.0454545454545455</v>
      </c>
      <c r="J66" s="25" t="n">
        <f aca="false">IF($B66=0,"",F66/$B66)</f>
        <v>0</v>
      </c>
      <c r="K66" s="26" t="n">
        <f aca="false">IFERROR(AVERAGEIFS(DONNEES!$O$2:$O$1501,DONNEES!$G$2:$G$1501,$A66),"")</f>
        <v>17.1909090909091</v>
      </c>
    </row>
    <row r="67" customFormat="false" ht="15" hidden="false" customHeight="false" outlineLevel="0" collapsed="false">
      <c r="A67" s="4" t="s">
        <v>2019</v>
      </c>
      <c r="B67" s="4" t="n">
        <f aca="false">COUNTIFS(DONNEES!$H$2:$H$1501,"NOTABLE",DONNEES!$L$2:$L$1501,"Correct",DONNEES!$G$2:$G$1501,$A67)+COUNTIFS(DONNEES!$H$2:$H$1501,"NOTABLE",DONNEES!$L$2:$L$1501,"Pas d’info à tort",DONNEES!$G$2:$G$1501,$A67)+COUNTIFS(DONNEES!$H$2:$H$1501,"NOTABLE",DONNEES!$L$2:$L$1501,"Incorrect",DONNEES!$G$2:$G$1501,$A67)+COUNTIFS(DONNEES!$H$2:$H$1501,"NOTABLE",DONNEES!$L$2:$L$1501,"Hors sujet",DONNEES!$G$2:$G$1501,$A67)</f>
        <v>11</v>
      </c>
      <c r="C67" s="4" t="n">
        <f aca="false">COUNTIFS(DONNEES!$H$2:$H$1501,"NOTABLE",DONNEES!$L$2:$L$1501,"Correct",DONNEES!$G$2:$G$1501,$A67)</f>
        <v>10</v>
      </c>
      <c r="D67" s="4" t="n">
        <f aca="false">COUNTIFS(DONNEES!$H$2:$H$1501,"NOTABLE",DONNEES!$L$2:$L$1501,"Pas d’info à tort",DONNEES!$G$2:$G$1501,$A67)</f>
        <v>1</v>
      </c>
      <c r="E67" s="4" t="n">
        <f aca="false">COUNTIFS(DONNEES!$H$2:$H$1501,"NOTABLE",DONNEES!$L$2:$L$1501,"Incorrect",DONNEES!$G$2:$G$1501,$A67)</f>
        <v>0</v>
      </c>
      <c r="F67" s="4" t="n">
        <f aca="false">COUNTIFS(DONNEES!$H$2:$H$1501,"NOTABLE",DONNEES!$L$2:$L$1501,"Hors sujet",DONNEES!$G$2:$G$1501,$A67)</f>
        <v>0</v>
      </c>
      <c r="G67" s="25" t="n">
        <f aca="false">IF($B67=0,"",C67/$B67)</f>
        <v>0.909090909090909</v>
      </c>
      <c r="H67" s="25" t="n">
        <f aca="false">IF($B67=0,"",D67/$B67)</f>
        <v>0.0909090909090909</v>
      </c>
      <c r="I67" s="25" t="n">
        <f aca="false">IF($B67=0,"",E67/$B67)</f>
        <v>0</v>
      </c>
      <c r="J67" s="25" t="n">
        <f aca="false">IF($B67=0,"",F67/$B67)</f>
        <v>0</v>
      </c>
      <c r="K67" s="26" t="n">
        <f aca="false">IFERROR(AVERAGEIFS(DONNEES!$O$2:$O$1501,DONNEES!$G$2:$G$1501,$A67),"")</f>
        <v>16.8</v>
      </c>
    </row>
    <row r="68" customFormat="false" ht="15" hidden="false" customHeight="false" outlineLevel="0" collapsed="false">
      <c r="A68" s="4" t="s">
        <v>419</v>
      </c>
      <c r="B68" s="4" t="n">
        <f aca="false">COUNTIFS(DONNEES!$H$2:$H$1501,"NOTABLE",DONNEES!$L$2:$L$1501,"Correct",DONNEES!$G$2:$G$1501,$A68)+COUNTIFS(DONNEES!$H$2:$H$1501,"NOTABLE",DONNEES!$L$2:$L$1501,"Pas d’info à tort",DONNEES!$G$2:$G$1501,$A68)+COUNTIFS(DONNEES!$H$2:$H$1501,"NOTABLE",DONNEES!$L$2:$L$1501,"Incorrect",DONNEES!$G$2:$G$1501,$A68)+COUNTIFS(DONNEES!$H$2:$H$1501,"NOTABLE",DONNEES!$L$2:$L$1501,"Hors sujet",DONNEES!$G$2:$G$1501,$A68)</f>
        <v>11</v>
      </c>
      <c r="C68" s="4" t="n">
        <f aca="false">COUNTIFS(DONNEES!$H$2:$H$1501,"NOTABLE",DONNEES!$L$2:$L$1501,"Correct",DONNEES!$G$2:$G$1501,$A68)</f>
        <v>10</v>
      </c>
      <c r="D68" s="4" t="n">
        <f aca="false">COUNTIFS(DONNEES!$H$2:$H$1501,"NOTABLE",DONNEES!$L$2:$L$1501,"Pas d’info à tort",DONNEES!$G$2:$G$1501,$A68)</f>
        <v>1</v>
      </c>
      <c r="E68" s="4" t="n">
        <f aca="false">COUNTIFS(DONNEES!$H$2:$H$1501,"NOTABLE",DONNEES!$L$2:$L$1501,"Incorrect",DONNEES!$G$2:$G$1501,$A68)</f>
        <v>0</v>
      </c>
      <c r="F68" s="4" t="n">
        <f aca="false">COUNTIFS(DONNEES!$H$2:$H$1501,"NOTABLE",DONNEES!$L$2:$L$1501,"Hors sujet",DONNEES!$G$2:$G$1501,$A68)</f>
        <v>0</v>
      </c>
      <c r="G68" s="25" t="n">
        <f aca="false">IF($B68=0,"",C68/$B68)</f>
        <v>0.909090909090909</v>
      </c>
      <c r="H68" s="25" t="n">
        <f aca="false">IF($B68=0,"",D68/$B68)</f>
        <v>0.0909090909090909</v>
      </c>
      <c r="I68" s="25" t="n">
        <f aca="false">IF($B68=0,"",E68/$B68)</f>
        <v>0</v>
      </c>
      <c r="J68" s="25" t="n">
        <f aca="false">IF($B68=0,"",F68/$B68)</f>
        <v>0</v>
      </c>
      <c r="K68" s="26" t="n">
        <f aca="false">IFERROR(AVERAGEIFS(DONNEES!$O$2:$O$1501,DONNEES!$G$2:$G$1501,$A68),"")</f>
        <v>17.8690909090909</v>
      </c>
    </row>
    <row r="69" customFormat="false" ht="15" hidden="false" customHeight="false" outlineLevel="0" collapsed="false">
      <c r="A69" s="4" t="s">
        <v>129</v>
      </c>
      <c r="B69" s="4" t="n">
        <f aca="false">COUNTIFS(DONNEES!$H$2:$H$1501,"NOTABLE",DONNEES!$L$2:$L$1501,"Correct",DONNEES!$G$2:$G$1501,$A69)+COUNTIFS(DONNEES!$H$2:$H$1501,"NOTABLE",DONNEES!$L$2:$L$1501,"Pas d’info à tort",DONNEES!$G$2:$G$1501,$A69)+COUNTIFS(DONNEES!$H$2:$H$1501,"NOTABLE",DONNEES!$L$2:$L$1501,"Incorrect",DONNEES!$G$2:$G$1501,$A69)+COUNTIFS(DONNEES!$H$2:$H$1501,"NOTABLE",DONNEES!$L$2:$L$1501,"Hors sujet",DONNEES!$G$2:$G$1501,$A69)</f>
        <v>35</v>
      </c>
      <c r="C69" s="4" t="n">
        <f aca="false">COUNTIFS(DONNEES!$H$2:$H$1501,"NOTABLE",DONNEES!$L$2:$L$1501,"Correct",DONNEES!$G$2:$G$1501,$A69)</f>
        <v>32</v>
      </c>
      <c r="D69" s="4" t="n">
        <f aca="false">COUNTIFS(DONNEES!$H$2:$H$1501,"NOTABLE",DONNEES!$L$2:$L$1501,"Pas d’info à tort",DONNEES!$G$2:$G$1501,$A69)</f>
        <v>2</v>
      </c>
      <c r="E69" s="4" t="n">
        <f aca="false">COUNTIFS(DONNEES!$H$2:$H$1501,"NOTABLE",DONNEES!$L$2:$L$1501,"Incorrect",DONNEES!$G$2:$G$1501,$A69)</f>
        <v>0</v>
      </c>
      <c r="F69" s="4" t="n">
        <f aca="false">COUNTIFS(DONNEES!$H$2:$H$1501,"NOTABLE",DONNEES!$L$2:$L$1501,"Hors sujet",DONNEES!$G$2:$G$1501,$A69)</f>
        <v>1</v>
      </c>
      <c r="G69" s="25" t="n">
        <f aca="false">IF($B69=0,"",C69/$B69)</f>
        <v>0.914285714285714</v>
      </c>
      <c r="H69" s="25" t="n">
        <f aca="false">IF($B69=0,"",D69/$B69)</f>
        <v>0.0571428571428571</v>
      </c>
      <c r="I69" s="25" t="n">
        <f aca="false">IF($B69=0,"",E69/$B69)</f>
        <v>0</v>
      </c>
      <c r="J69" s="25" t="n">
        <f aca="false">IF($B69=0,"",F69/$B69)</f>
        <v>0.0285714285714286</v>
      </c>
      <c r="K69" s="26" t="n">
        <f aca="false">IFERROR(AVERAGEIFS(DONNEES!$O$2:$O$1501,DONNEES!$G$2:$G$1501,$A69),"")</f>
        <v>17.4088571428571</v>
      </c>
    </row>
    <row r="70" customFormat="false" ht="15" hidden="false" customHeight="false" outlineLevel="0" collapsed="false">
      <c r="A70" s="4" t="s">
        <v>1975</v>
      </c>
      <c r="B70" s="4" t="n">
        <f aca="false">COUNTIFS(DONNEES!$H$2:$H$1501,"NOTABLE",DONNEES!$L$2:$L$1501,"Correct",DONNEES!$G$2:$G$1501,$A70)+COUNTIFS(DONNEES!$H$2:$H$1501,"NOTABLE",DONNEES!$L$2:$L$1501,"Pas d’info à tort",DONNEES!$G$2:$G$1501,$A70)+COUNTIFS(DONNEES!$H$2:$H$1501,"NOTABLE",DONNEES!$L$2:$L$1501,"Incorrect",DONNEES!$G$2:$G$1501,$A70)+COUNTIFS(DONNEES!$H$2:$H$1501,"NOTABLE",DONNEES!$L$2:$L$1501,"Hors sujet",DONNEES!$G$2:$G$1501,$A70)</f>
        <v>12</v>
      </c>
      <c r="C70" s="4" t="n">
        <f aca="false">COUNTIFS(DONNEES!$H$2:$H$1501,"NOTABLE",DONNEES!$L$2:$L$1501,"Correct",DONNEES!$G$2:$G$1501,$A70)</f>
        <v>11</v>
      </c>
      <c r="D70" s="4" t="n">
        <f aca="false">COUNTIFS(DONNEES!$H$2:$H$1501,"NOTABLE",DONNEES!$L$2:$L$1501,"Pas d’info à tort",DONNEES!$G$2:$G$1501,$A70)</f>
        <v>1</v>
      </c>
      <c r="E70" s="4" t="n">
        <f aca="false">COUNTIFS(DONNEES!$H$2:$H$1501,"NOTABLE",DONNEES!$L$2:$L$1501,"Incorrect",DONNEES!$G$2:$G$1501,$A70)</f>
        <v>0</v>
      </c>
      <c r="F70" s="4" t="n">
        <f aca="false">COUNTIFS(DONNEES!$H$2:$H$1501,"NOTABLE",DONNEES!$L$2:$L$1501,"Hors sujet",DONNEES!$G$2:$G$1501,$A70)</f>
        <v>0</v>
      </c>
      <c r="G70" s="25" t="n">
        <f aca="false">IF($B70=0,"",C70/$B70)</f>
        <v>0.916666666666667</v>
      </c>
      <c r="H70" s="25" t="n">
        <f aca="false">IF($B70=0,"",D70/$B70)</f>
        <v>0.0833333333333333</v>
      </c>
      <c r="I70" s="25" t="n">
        <f aca="false">IF($B70=0,"",E70/$B70)</f>
        <v>0</v>
      </c>
      <c r="J70" s="25" t="n">
        <f aca="false">IF($B70=0,"",F70/$B70)</f>
        <v>0</v>
      </c>
      <c r="K70" s="26" t="n">
        <f aca="false">IFERROR(AVERAGEIFS(DONNEES!$O$2:$O$1501,DONNEES!$G$2:$G$1501,$A70),"")</f>
        <v>11.2966666666667</v>
      </c>
    </row>
    <row r="71" customFormat="false" ht="15" hidden="false" customHeight="false" outlineLevel="0" collapsed="false">
      <c r="A71" s="4" t="s">
        <v>1951</v>
      </c>
      <c r="B71" s="4" t="n">
        <f aca="false">COUNTIFS(DONNEES!$H$2:$H$1501,"NOTABLE",DONNEES!$L$2:$L$1501,"Correct",DONNEES!$G$2:$G$1501,$A71)+COUNTIFS(DONNEES!$H$2:$H$1501,"NOTABLE",DONNEES!$L$2:$L$1501,"Pas d’info à tort",DONNEES!$G$2:$G$1501,$A71)+COUNTIFS(DONNEES!$H$2:$H$1501,"NOTABLE",DONNEES!$L$2:$L$1501,"Incorrect",DONNEES!$G$2:$G$1501,$A71)+COUNTIFS(DONNEES!$H$2:$H$1501,"NOTABLE",DONNEES!$L$2:$L$1501,"Hors sujet",DONNEES!$G$2:$G$1501,$A71)</f>
        <v>13</v>
      </c>
      <c r="C71" s="4" t="n">
        <f aca="false">COUNTIFS(DONNEES!$H$2:$H$1501,"NOTABLE",DONNEES!$L$2:$L$1501,"Correct",DONNEES!$G$2:$G$1501,$A71)</f>
        <v>12</v>
      </c>
      <c r="D71" s="4" t="n">
        <f aca="false">COUNTIFS(DONNEES!$H$2:$H$1501,"NOTABLE",DONNEES!$L$2:$L$1501,"Pas d’info à tort",DONNEES!$G$2:$G$1501,$A71)</f>
        <v>1</v>
      </c>
      <c r="E71" s="4" t="n">
        <f aca="false">COUNTIFS(DONNEES!$H$2:$H$1501,"NOTABLE",DONNEES!$L$2:$L$1501,"Incorrect",DONNEES!$G$2:$G$1501,$A71)</f>
        <v>0</v>
      </c>
      <c r="F71" s="4" t="n">
        <f aca="false">COUNTIFS(DONNEES!$H$2:$H$1501,"NOTABLE",DONNEES!$L$2:$L$1501,"Hors sujet",DONNEES!$G$2:$G$1501,$A71)</f>
        <v>0</v>
      </c>
      <c r="G71" s="25" t="n">
        <f aca="false">IF($B71=0,"",C71/$B71)</f>
        <v>0.923076923076923</v>
      </c>
      <c r="H71" s="25" t="n">
        <f aca="false">IF($B71=0,"",D71/$B71)</f>
        <v>0.0769230769230769</v>
      </c>
      <c r="I71" s="25" t="n">
        <f aca="false">IF($B71=0,"",E71/$B71)</f>
        <v>0</v>
      </c>
      <c r="J71" s="25" t="n">
        <f aca="false">IF($B71=0,"",F71/$B71)</f>
        <v>0</v>
      </c>
      <c r="K71" s="26" t="n">
        <f aca="false">IFERROR(AVERAGEIFS(DONNEES!$O$2:$O$1501,DONNEES!$G$2:$G$1501,$A71),"")</f>
        <v>10.14</v>
      </c>
    </row>
    <row r="72" customFormat="false" ht="15" hidden="false" customHeight="false" outlineLevel="0" collapsed="false">
      <c r="A72" s="4" t="s">
        <v>193</v>
      </c>
      <c r="B72" s="4" t="n">
        <f aca="false">COUNTIFS(DONNEES!$H$2:$H$1501,"NOTABLE",DONNEES!$L$2:$L$1501,"Correct",DONNEES!$G$2:$G$1501,$A72)+COUNTIFS(DONNEES!$H$2:$H$1501,"NOTABLE",DONNEES!$L$2:$L$1501,"Pas d’info à tort",DONNEES!$G$2:$G$1501,$A72)+COUNTIFS(DONNEES!$H$2:$H$1501,"NOTABLE",DONNEES!$L$2:$L$1501,"Incorrect",DONNEES!$G$2:$G$1501,$A72)+COUNTIFS(DONNEES!$H$2:$H$1501,"NOTABLE",DONNEES!$L$2:$L$1501,"Hors sujet",DONNEES!$G$2:$G$1501,$A72)</f>
        <v>28</v>
      </c>
      <c r="C72" s="4" t="n">
        <f aca="false">COUNTIFS(DONNEES!$H$2:$H$1501,"NOTABLE",DONNEES!$L$2:$L$1501,"Correct",DONNEES!$G$2:$G$1501,$A72)</f>
        <v>26</v>
      </c>
      <c r="D72" s="4" t="n">
        <f aca="false">COUNTIFS(DONNEES!$H$2:$H$1501,"NOTABLE",DONNEES!$L$2:$L$1501,"Pas d’info à tort",DONNEES!$G$2:$G$1501,$A72)</f>
        <v>1</v>
      </c>
      <c r="E72" s="4" t="n">
        <f aca="false">COUNTIFS(DONNEES!$H$2:$H$1501,"NOTABLE",DONNEES!$L$2:$L$1501,"Incorrect",DONNEES!$G$2:$G$1501,$A72)</f>
        <v>0</v>
      </c>
      <c r="F72" s="4" t="n">
        <f aca="false">COUNTIFS(DONNEES!$H$2:$H$1501,"NOTABLE",DONNEES!$L$2:$L$1501,"Hors sujet",DONNEES!$G$2:$G$1501,$A72)</f>
        <v>1</v>
      </c>
      <c r="G72" s="25" t="n">
        <f aca="false">IF($B72=0,"",C72/$B72)</f>
        <v>0.928571428571429</v>
      </c>
      <c r="H72" s="25" t="n">
        <f aca="false">IF($B72=0,"",D72/$B72)</f>
        <v>0.0357142857142857</v>
      </c>
      <c r="I72" s="25" t="n">
        <f aca="false">IF($B72=0,"",E72/$B72)</f>
        <v>0</v>
      </c>
      <c r="J72" s="25" t="n">
        <f aca="false">IF($B72=0,"",F72/$B72)</f>
        <v>0.0357142857142857</v>
      </c>
      <c r="K72" s="26" t="n">
        <f aca="false">IFERROR(AVERAGEIFS(DONNEES!$O$2:$O$1501,DONNEES!$G$2:$G$1501,$A72),"")</f>
        <v>30.8425</v>
      </c>
    </row>
    <row r="73" customFormat="false" ht="15" hidden="false" customHeight="false" outlineLevel="0" collapsed="false">
      <c r="A73" s="4" t="s">
        <v>1874</v>
      </c>
      <c r="B73" s="4" t="n">
        <f aca="false">COUNTIFS(DONNEES!$H$2:$H$1501,"NOTABLE",DONNEES!$L$2:$L$1501,"Correct",DONNEES!$G$2:$G$1501,$A73)+COUNTIFS(DONNEES!$H$2:$H$1501,"NOTABLE",DONNEES!$L$2:$L$1501,"Pas d’info à tort",DONNEES!$G$2:$G$1501,$A73)+COUNTIFS(DONNEES!$H$2:$H$1501,"NOTABLE",DONNEES!$L$2:$L$1501,"Incorrect",DONNEES!$G$2:$G$1501,$A73)+COUNTIFS(DONNEES!$H$2:$H$1501,"NOTABLE",DONNEES!$L$2:$L$1501,"Hors sujet",DONNEES!$G$2:$G$1501,$A73)</f>
        <v>14</v>
      </c>
      <c r="C73" s="4" t="n">
        <f aca="false">COUNTIFS(DONNEES!$H$2:$H$1501,"NOTABLE",DONNEES!$L$2:$L$1501,"Correct",DONNEES!$G$2:$G$1501,$A73)</f>
        <v>13</v>
      </c>
      <c r="D73" s="4" t="n">
        <f aca="false">COUNTIFS(DONNEES!$H$2:$H$1501,"NOTABLE",DONNEES!$L$2:$L$1501,"Pas d’info à tort",DONNEES!$G$2:$G$1501,$A73)</f>
        <v>0</v>
      </c>
      <c r="E73" s="4" t="n">
        <f aca="false">COUNTIFS(DONNEES!$H$2:$H$1501,"NOTABLE",DONNEES!$L$2:$L$1501,"Incorrect",DONNEES!$G$2:$G$1501,$A73)</f>
        <v>1</v>
      </c>
      <c r="F73" s="4" t="n">
        <f aca="false">COUNTIFS(DONNEES!$H$2:$H$1501,"NOTABLE",DONNEES!$L$2:$L$1501,"Hors sujet",DONNEES!$G$2:$G$1501,$A73)</f>
        <v>0</v>
      </c>
      <c r="G73" s="25" t="n">
        <f aca="false">IF($B73=0,"",C73/$B73)</f>
        <v>0.928571428571429</v>
      </c>
      <c r="H73" s="25" t="n">
        <f aca="false">IF($B73=0,"",D73/$B73)</f>
        <v>0</v>
      </c>
      <c r="I73" s="25" t="n">
        <f aca="false">IF($B73=0,"",E73/$B73)</f>
        <v>0.0714285714285714</v>
      </c>
      <c r="J73" s="25" t="n">
        <f aca="false">IF($B73=0,"",F73/$B73)</f>
        <v>0</v>
      </c>
      <c r="K73" s="26" t="n">
        <f aca="false">IFERROR(AVERAGEIFS(DONNEES!$O$2:$O$1501,DONNEES!$G$2:$G$1501,$A73),"")</f>
        <v>19.6757142857143</v>
      </c>
    </row>
    <row r="74" customFormat="false" ht="15" hidden="false" customHeight="false" outlineLevel="0" collapsed="false">
      <c r="A74" s="4" t="s">
        <v>1800</v>
      </c>
      <c r="B74" s="4" t="n">
        <f aca="false">COUNTIFS(DONNEES!$H$2:$H$1501,"NOTABLE",DONNEES!$L$2:$L$1501,"Correct",DONNEES!$G$2:$G$1501,$A74)+COUNTIFS(DONNEES!$H$2:$H$1501,"NOTABLE",DONNEES!$L$2:$L$1501,"Pas d’info à tort",DONNEES!$G$2:$G$1501,$A74)+COUNTIFS(DONNEES!$H$2:$H$1501,"NOTABLE",DONNEES!$L$2:$L$1501,"Incorrect",DONNEES!$G$2:$G$1501,$A74)+COUNTIFS(DONNEES!$H$2:$H$1501,"NOTABLE",DONNEES!$L$2:$L$1501,"Hors sujet",DONNEES!$G$2:$G$1501,$A74)</f>
        <v>15</v>
      </c>
      <c r="C74" s="4" t="n">
        <f aca="false">COUNTIFS(DONNEES!$H$2:$H$1501,"NOTABLE",DONNEES!$L$2:$L$1501,"Correct",DONNEES!$G$2:$G$1501,$A74)</f>
        <v>14</v>
      </c>
      <c r="D74" s="4" t="n">
        <f aca="false">COUNTIFS(DONNEES!$H$2:$H$1501,"NOTABLE",DONNEES!$L$2:$L$1501,"Pas d’info à tort",DONNEES!$G$2:$G$1501,$A74)</f>
        <v>1</v>
      </c>
      <c r="E74" s="4" t="n">
        <f aca="false">COUNTIFS(DONNEES!$H$2:$H$1501,"NOTABLE",DONNEES!$L$2:$L$1501,"Incorrect",DONNEES!$G$2:$G$1501,$A74)</f>
        <v>0</v>
      </c>
      <c r="F74" s="4" t="n">
        <f aca="false">COUNTIFS(DONNEES!$H$2:$H$1501,"NOTABLE",DONNEES!$L$2:$L$1501,"Hors sujet",DONNEES!$G$2:$G$1501,$A74)</f>
        <v>0</v>
      </c>
      <c r="G74" s="25" t="n">
        <f aca="false">IF($B74=0,"",C74/$B74)</f>
        <v>0.933333333333333</v>
      </c>
      <c r="H74" s="25" t="n">
        <f aca="false">IF($B74=0,"",D74/$B74)</f>
        <v>0.0666666666666667</v>
      </c>
      <c r="I74" s="25" t="n">
        <f aca="false">IF($B74=0,"",E74/$B74)</f>
        <v>0</v>
      </c>
      <c r="J74" s="25" t="n">
        <f aca="false">IF($B74=0,"",F74/$B74)</f>
        <v>0</v>
      </c>
      <c r="K74" s="26" t="n">
        <f aca="false">IFERROR(AVERAGEIFS(DONNEES!$O$2:$O$1501,DONNEES!$G$2:$G$1501,$A74),"")</f>
        <v>21.2146666666667</v>
      </c>
    </row>
    <row r="75" customFormat="false" ht="15" hidden="false" customHeight="false" outlineLevel="0" collapsed="false">
      <c r="A75" s="4" t="s">
        <v>1775</v>
      </c>
      <c r="B75" s="4" t="n">
        <f aca="false">COUNTIFS(DONNEES!$H$2:$H$1501,"NOTABLE",DONNEES!$L$2:$L$1501,"Correct",DONNEES!$G$2:$G$1501,$A75)+COUNTIFS(DONNEES!$H$2:$H$1501,"NOTABLE",DONNEES!$L$2:$L$1501,"Pas d’info à tort",DONNEES!$G$2:$G$1501,$A75)+COUNTIFS(DONNEES!$H$2:$H$1501,"NOTABLE",DONNEES!$L$2:$L$1501,"Incorrect",DONNEES!$G$2:$G$1501,$A75)+COUNTIFS(DONNEES!$H$2:$H$1501,"NOTABLE",DONNEES!$L$2:$L$1501,"Hors sujet",DONNEES!$G$2:$G$1501,$A75)</f>
        <v>16</v>
      </c>
      <c r="C75" s="4" t="n">
        <f aca="false">COUNTIFS(DONNEES!$H$2:$H$1501,"NOTABLE",DONNEES!$L$2:$L$1501,"Correct",DONNEES!$G$2:$G$1501,$A75)</f>
        <v>15</v>
      </c>
      <c r="D75" s="4" t="n">
        <f aca="false">COUNTIFS(DONNEES!$H$2:$H$1501,"NOTABLE",DONNEES!$L$2:$L$1501,"Pas d’info à tort",DONNEES!$G$2:$G$1501,$A75)</f>
        <v>1</v>
      </c>
      <c r="E75" s="4" t="n">
        <f aca="false">COUNTIFS(DONNEES!$H$2:$H$1501,"NOTABLE",DONNEES!$L$2:$L$1501,"Incorrect",DONNEES!$G$2:$G$1501,$A75)</f>
        <v>0</v>
      </c>
      <c r="F75" s="4" t="n">
        <f aca="false">COUNTIFS(DONNEES!$H$2:$H$1501,"NOTABLE",DONNEES!$L$2:$L$1501,"Hors sujet",DONNEES!$G$2:$G$1501,$A75)</f>
        <v>0</v>
      </c>
      <c r="G75" s="25" t="n">
        <f aca="false">IF($B75=0,"",C75/$B75)</f>
        <v>0.9375</v>
      </c>
      <c r="H75" s="25" t="n">
        <f aca="false">IF($B75=0,"",D75/$B75)</f>
        <v>0.0625</v>
      </c>
      <c r="I75" s="25" t="n">
        <f aca="false">IF($B75=0,"",E75/$B75)</f>
        <v>0</v>
      </c>
      <c r="J75" s="25" t="n">
        <f aca="false">IF($B75=0,"",F75/$B75)</f>
        <v>0</v>
      </c>
      <c r="K75" s="26" t="n">
        <f aca="false">IFERROR(AVERAGEIFS(DONNEES!$O$2:$O$1501,DONNEES!$G$2:$G$1501,$A75),"")</f>
        <v>11.46375</v>
      </c>
    </row>
    <row r="76" customFormat="false" ht="15" hidden="false" customHeight="false" outlineLevel="0" collapsed="false">
      <c r="A76" s="4" t="s">
        <v>222</v>
      </c>
      <c r="B76" s="4" t="n">
        <f aca="false">COUNTIFS(DONNEES!$H$2:$H$1501,"NOTABLE",DONNEES!$L$2:$L$1501,"Correct",DONNEES!$G$2:$G$1501,$A76)+COUNTIFS(DONNEES!$H$2:$H$1501,"NOTABLE",DONNEES!$L$2:$L$1501,"Pas d’info à tort",DONNEES!$G$2:$G$1501,$A76)+COUNTIFS(DONNEES!$H$2:$H$1501,"NOTABLE",DONNEES!$L$2:$L$1501,"Incorrect",DONNEES!$G$2:$G$1501,$A76)+COUNTIFS(DONNEES!$H$2:$H$1501,"NOTABLE",DONNEES!$L$2:$L$1501,"Hors sujet",DONNEES!$G$2:$G$1501,$A76)</f>
        <v>35</v>
      </c>
      <c r="C76" s="4" t="n">
        <f aca="false">COUNTIFS(DONNEES!$H$2:$H$1501,"NOTABLE",DONNEES!$L$2:$L$1501,"Correct",DONNEES!$G$2:$G$1501,$A76)</f>
        <v>33</v>
      </c>
      <c r="D76" s="4" t="n">
        <f aca="false">COUNTIFS(DONNEES!$H$2:$H$1501,"NOTABLE",DONNEES!$L$2:$L$1501,"Pas d’info à tort",DONNEES!$G$2:$G$1501,$A76)</f>
        <v>1</v>
      </c>
      <c r="E76" s="4" t="n">
        <f aca="false">COUNTIFS(DONNEES!$H$2:$H$1501,"NOTABLE",DONNEES!$L$2:$L$1501,"Incorrect",DONNEES!$G$2:$G$1501,$A76)</f>
        <v>1</v>
      </c>
      <c r="F76" s="4" t="n">
        <f aca="false">COUNTIFS(DONNEES!$H$2:$H$1501,"NOTABLE",DONNEES!$L$2:$L$1501,"Hors sujet",DONNEES!$G$2:$G$1501,$A76)</f>
        <v>0</v>
      </c>
      <c r="G76" s="25" t="n">
        <f aca="false">IF($B76=0,"",C76/$B76)</f>
        <v>0.942857142857143</v>
      </c>
      <c r="H76" s="25" t="n">
        <f aca="false">IF($B76=0,"",D76/$B76)</f>
        <v>0.0285714285714286</v>
      </c>
      <c r="I76" s="25" t="n">
        <f aca="false">IF($B76=0,"",E76/$B76)</f>
        <v>0.0285714285714286</v>
      </c>
      <c r="J76" s="25" t="n">
        <f aca="false">IF($B76=0,"",F76/$B76)</f>
        <v>0</v>
      </c>
      <c r="K76" s="26" t="n">
        <f aca="false">IFERROR(AVERAGEIFS(DONNEES!$O$2:$O$1501,DONNEES!$G$2:$G$1501,$A76),"")</f>
        <v>23.1777142857143</v>
      </c>
    </row>
    <row r="77" customFormat="false" ht="15" hidden="false" customHeight="false" outlineLevel="0" collapsed="false">
      <c r="A77" s="4" t="s">
        <v>1739</v>
      </c>
      <c r="B77" s="4" t="n">
        <f aca="false">COUNTIFS(DONNEES!$H$2:$H$1501,"NOTABLE",DONNEES!$L$2:$L$1501,"Correct",DONNEES!$G$2:$G$1501,$A77)+COUNTIFS(DONNEES!$H$2:$H$1501,"NOTABLE",DONNEES!$L$2:$L$1501,"Pas d’info à tort",DONNEES!$G$2:$G$1501,$A77)+COUNTIFS(DONNEES!$H$2:$H$1501,"NOTABLE",DONNEES!$L$2:$L$1501,"Incorrect",DONNEES!$G$2:$G$1501,$A77)+COUNTIFS(DONNEES!$H$2:$H$1501,"NOTABLE",DONNEES!$L$2:$L$1501,"Hors sujet",DONNEES!$G$2:$G$1501,$A77)</f>
        <v>18</v>
      </c>
      <c r="C77" s="4" t="n">
        <f aca="false">COUNTIFS(DONNEES!$H$2:$H$1501,"NOTABLE",DONNEES!$L$2:$L$1501,"Correct",DONNEES!$G$2:$G$1501,$A77)</f>
        <v>17</v>
      </c>
      <c r="D77" s="4" t="n">
        <f aca="false">COUNTIFS(DONNEES!$H$2:$H$1501,"NOTABLE",DONNEES!$L$2:$L$1501,"Pas d’info à tort",DONNEES!$G$2:$G$1501,$A77)</f>
        <v>1</v>
      </c>
      <c r="E77" s="4" t="n">
        <f aca="false">COUNTIFS(DONNEES!$H$2:$H$1501,"NOTABLE",DONNEES!$L$2:$L$1501,"Incorrect",DONNEES!$G$2:$G$1501,$A77)</f>
        <v>0</v>
      </c>
      <c r="F77" s="4" t="n">
        <f aca="false">COUNTIFS(DONNEES!$H$2:$H$1501,"NOTABLE",DONNEES!$L$2:$L$1501,"Hors sujet",DONNEES!$G$2:$G$1501,$A77)</f>
        <v>0</v>
      </c>
      <c r="G77" s="25" t="n">
        <f aca="false">IF($B77=0,"",C77/$B77)</f>
        <v>0.944444444444444</v>
      </c>
      <c r="H77" s="25" t="n">
        <f aca="false">IF($B77=0,"",D77/$B77)</f>
        <v>0.0555555555555556</v>
      </c>
      <c r="I77" s="25" t="n">
        <f aca="false">IF($B77=0,"",E77/$B77)</f>
        <v>0</v>
      </c>
      <c r="J77" s="25" t="n">
        <f aca="false">IF($B77=0,"",F77/$B77)</f>
        <v>0</v>
      </c>
      <c r="K77" s="26" t="n">
        <f aca="false">IFERROR(AVERAGEIFS(DONNEES!$O$2:$O$1501,DONNEES!$G$2:$G$1501,$A77),"")</f>
        <v>20.5510526315789</v>
      </c>
    </row>
    <row r="78" customFormat="false" ht="15" hidden="false" customHeight="false" outlineLevel="0" collapsed="false">
      <c r="A78" s="4" t="s">
        <v>146</v>
      </c>
      <c r="B78" s="4" t="n">
        <f aca="false">COUNTIFS(DONNEES!$H$2:$H$1501,"NOTABLE",DONNEES!$L$2:$L$1501,"Correct",DONNEES!$G$2:$G$1501,$A78)+COUNTIFS(DONNEES!$H$2:$H$1501,"NOTABLE",DONNEES!$L$2:$L$1501,"Pas d’info à tort",DONNEES!$G$2:$G$1501,$A78)+COUNTIFS(DONNEES!$H$2:$H$1501,"NOTABLE",DONNEES!$L$2:$L$1501,"Incorrect",DONNEES!$G$2:$G$1501,$A78)+COUNTIFS(DONNEES!$H$2:$H$1501,"NOTABLE",DONNEES!$L$2:$L$1501,"Hors sujet",DONNEES!$G$2:$G$1501,$A78)</f>
        <v>22</v>
      </c>
      <c r="C78" s="4" t="n">
        <f aca="false">COUNTIFS(DONNEES!$H$2:$H$1501,"NOTABLE",DONNEES!$L$2:$L$1501,"Correct",DONNEES!$G$2:$G$1501,$A78)</f>
        <v>21</v>
      </c>
      <c r="D78" s="4" t="n">
        <f aca="false">COUNTIFS(DONNEES!$H$2:$H$1501,"NOTABLE",DONNEES!$L$2:$L$1501,"Pas d’info à tort",DONNEES!$G$2:$G$1501,$A78)</f>
        <v>0</v>
      </c>
      <c r="E78" s="4" t="n">
        <f aca="false">COUNTIFS(DONNEES!$H$2:$H$1501,"NOTABLE",DONNEES!$L$2:$L$1501,"Incorrect",DONNEES!$G$2:$G$1501,$A78)</f>
        <v>0</v>
      </c>
      <c r="F78" s="4" t="n">
        <f aca="false">COUNTIFS(DONNEES!$H$2:$H$1501,"NOTABLE",DONNEES!$L$2:$L$1501,"Hors sujet",DONNEES!$G$2:$G$1501,$A78)</f>
        <v>1</v>
      </c>
      <c r="G78" s="25" t="n">
        <f aca="false">IF($B78=0,"",C78/$B78)</f>
        <v>0.954545454545455</v>
      </c>
      <c r="H78" s="25" t="n">
        <f aca="false">IF($B78=0,"",D78/$B78)</f>
        <v>0</v>
      </c>
      <c r="I78" s="25" t="n">
        <f aca="false">IF($B78=0,"",E78/$B78)</f>
        <v>0</v>
      </c>
      <c r="J78" s="25" t="n">
        <f aca="false">IF($B78=0,"",F78/$B78)</f>
        <v>0.0454545454545455</v>
      </c>
      <c r="K78" s="26" t="n">
        <f aca="false">IFERROR(AVERAGEIFS(DONNEES!$O$2:$O$1501,DONNEES!$G$2:$G$1501,$A78),"")</f>
        <v>13.3645454545455</v>
      </c>
    </row>
    <row r="79" customFormat="false" ht="15" hidden="false" customHeight="false" outlineLevel="0" collapsed="false">
      <c r="A79" s="4" t="s">
        <v>204</v>
      </c>
      <c r="B79" s="4" t="n">
        <f aca="false">COUNTIFS(DONNEES!$H$2:$H$1501,"NOTABLE",DONNEES!$L$2:$L$1501,"Correct",DONNEES!$G$2:$G$1501,$A79)+COUNTIFS(DONNEES!$H$2:$H$1501,"NOTABLE",DONNEES!$L$2:$L$1501,"Pas d’info à tort",DONNEES!$G$2:$G$1501,$A79)+COUNTIFS(DONNEES!$H$2:$H$1501,"NOTABLE",DONNEES!$L$2:$L$1501,"Incorrect",DONNEES!$G$2:$G$1501,$A79)+COUNTIFS(DONNEES!$H$2:$H$1501,"NOTABLE",DONNEES!$L$2:$L$1501,"Hors sujet",DONNEES!$G$2:$G$1501,$A79)</f>
        <v>26</v>
      </c>
      <c r="C79" s="4" t="n">
        <f aca="false">COUNTIFS(DONNEES!$H$2:$H$1501,"NOTABLE",DONNEES!$L$2:$L$1501,"Correct",DONNEES!$G$2:$G$1501,$A79)</f>
        <v>26</v>
      </c>
      <c r="D79" s="4" t="n">
        <f aca="false">COUNTIFS(DONNEES!$H$2:$H$1501,"NOTABLE",DONNEES!$L$2:$L$1501,"Pas d’info à tort",DONNEES!$G$2:$G$1501,$A79)</f>
        <v>0</v>
      </c>
      <c r="E79" s="4" t="n">
        <f aca="false">COUNTIFS(DONNEES!$H$2:$H$1501,"NOTABLE",DONNEES!$L$2:$L$1501,"Incorrect",DONNEES!$G$2:$G$1501,$A79)</f>
        <v>0</v>
      </c>
      <c r="F79" s="4" t="n">
        <f aca="false">COUNTIFS(DONNEES!$H$2:$H$1501,"NOTABLE",DONNEES!$L$2:$L$1501,"Hors sujet",DONNEES!$G$2:$G$1501,$A79)</f>
        <v>0</v>
      </c>
      <c r="G79" s="25" t="n">
        <f aca="false">IF($B79=0,"",C79/$B79)</f>
        <v>1</v>
      </c>
      <c r="H79" s="25" t="n">
        <f aca="false">IF($B79=0,"",D79/$B79)</f>
        <v>0</v>
      </c>
      <c r="I79" s="25" t="n">
        <f aca="false">IF($B79=0,"",E79/$B79)</f>
        <v>0</v>
      </c>
      <c r="J79" s="25" t="n">
        <f aca="false">IF($B79=0,"",F79/$B79)</f>
        <v>0</v>
      </c>
      <c r="K79" s="26" t="n">
        <f aca="false">IFERROR(AVERAGEIFS(DONNEES!$O$2:$O$1501,DONNEES!$G$2:$G$1501,$A79),"")</f>
        <v>24.0530769230769</v>
      </c>
    </row>
    <row r="80" customFormat="false" ht="15" hidden="false" customHeight="false" outlineLevel="0" collapsed="false">
      <c r="A80" s="4" t="s">
        <v>100</v>
      </c>
      <c r="B80" s="4" t="n">
        <f aca="false">COUNTIFS(DONNEES!$H$2:$H$1501,"NOTABLE",DONNEES!$L$2:$L$1501,"Correct",DONNEES!$G$2:$G$1501,$A80)+COUNTIFS(DONNEES!$H$2:$H$1501,"NOTABLE",DONNEES!$L$2:$L$1501,"Pas d’info à tort",DONNEES!$G$2:$G$1501,$A80)+COUNTIFS(DONNEES!$H$2:$H$1501,"NOTABLE",DONNEES!$L$2:$L$1501,"Incorrect",DONNEES!$G$2:$G$1501,$A80)+COUNTIFS(DONNEES!$H$2:$H$1501,"NOTABLE",DONNEES!$L$2:$L$1501,"Hors sujet",DONNEES!$G$2:$G$1501,$A80)</f>
        <v>26</v>
      </c>
      <c r="C80" s="4" t="n">
        <f aca="false">COUNTIFS(DONNEES!$H$2:$H$1501,"NOTABLE",DONNEES!$L$2:$L$1501,"Correct",DONNEES!$G$2:$G$1501,$A80)</f>
        <v>26</v>
      </c>
      <c r="D80" s="4" t="n">
        <f aca="false">COUNTIFS(DONNEES!$H$2:$H$1501,"NOTABLE",DONNEES!$L$2:$L$1501,"Pas d’info à tort",DONNEES!$G$2:$G$1501,$A80)</f>
        <v>0</v>
      </c>
      <c r="E80" s="4" t="n">
        <f aca="false">COUNTIFS(DONNEES!$H$2:$H$1501,"NOTABLE",DONNEES!$L$2:$L$1501,"Incorrect",DONNEES!$G$2:$G$1501,$A80)</f>
        <v>0</v>
      </c>
      <c r="F80" s="4" t="n">
        <f aca="false">COUNTIFS(DONNEES!$H$2:$H$1501,"NOTABLE",DONNEES!$L$2:$L$1501,"Hors sujet",DONNEES!$G$2:$G$1501,$A80)</f>
        <v>0</v>
      </c>
      <c r="G80" s="25" t="n">
        <f aca="false">IF($B80=0,"",C80/$B80)</f>
        <v>1</v>
      </c>
      <c r="H80" s="25" t="n">
        <f aca="false">IF($B80=0,"",D80/$B80)</f>
        <v>0</v>
      </c>
      <c r="I80" s="25" t="n">
        <f aca="false">IF($B80=0,"",E80/$B80)</f>
        <v>0</v>
      </c>
      <c r="J80" s="25" t="n">
        <f aca="false">IF($B80=0,"",F80/$B80)</f>
        <v>0</v>
      </c>
      <c r="K80" s="26" t="n">
        <f aca="false">IFERROR(AVERAGEIFS(DONNEES!$O$2:$O$1501,DONNEES!$G$2:$G$1501,$A80),"")</f>
        <v>35.2942307692308</v>
      </c>
    </row>
    <row r="81" customFormat="false" ht="15" hidden="false" customHeight="false" outlineLevel="0" collapsed="false">
      <c r="A81" s="4" t="s">
        <v>141</v>
      </c>
      <c r="B81" s="4" t="n">
        <f aca="false">COUNTIFS(DONNEES!$H$2:$H$1501,"NOTABLE",DONNEES!$L$2:$L$1501,"Correct",DONNEES!$G$2:$G$1501,$A81)+COUNTIFS(DONNEES!$H$2:$H$1501,"NOTABLE",DONNEES!$L$2:$L$1501,"Pas d’info à tort",DONNEES!$G$2:$G$1501,$A81)+COUNTIFS(DONNEES!$H$2:$H$1501,"NOTABLE",DONNEES!$L$2:$L$1501,"Incorrect",DONNEES!$G$2:$G$1501,$A81)+COUNTIFS(DONNEES!$H$2:$H$1501,"NOTABLE",DONNEES!$L$2:$L$1501,"Hors sujet",DONNEES!$G$2:$G$1501,$A81)</f>
        <v>19</v>
      </c>
      <c r="C81" s="4" t="n">
        <f aca="false">COUNTIFS(DONNEES!$H$2:$H$1501,"NOTABLE",DONNEES!$L$2:$L$1501,"Correct",DONNEES!$G$2:$G$1501,$A81)</f>
        <v>19</v>
      </c>
      <c r="D81" s="4" t="n">
        <f aca="false">COUNTIFS(DONNEES!$H$2:$H$1501,"NOTABLE",DONNEES!$L$2:$L$1501,"Pas d’info à tort",DONNEES!$G$2:$G$1501,$A81)</f>
        <v>0</v>
      </c>
      <c r="E81" s="4" t="n">
        <f aca="false">COUNTIFS(DONNEES!$H$2:$H$1501,"NOTABLE",DONNEES!$L$2:$L$1501,"Incorrect",DONNEES!$G$2:$G$1501,$A81)</f>
        <v>0</v>
      </c>
      <c r="F81" s="4" t="n">
        <f aca="false">COUNTIFS(DONNEES!$H$2:$H$1501,"NOTABLE",DONNEES!$L$2:$L$1501,"Hors sujet",DONNEES!$G$2:$G$1501,$A81)</f>
        <v>0</v>
      </c>
      <c r="G81" s="25" t="n">
        <f aca="false">IF($B81=0,"",C81/$B81)</f>
        <v>1</v>
      </c>
      <c r="H81" s="25" t="n">
        <f aca="false">IF($B81=0,"",D81/$B81)</f>
        <v>0</v>
      </c>
      <c r="I81" s="25" t="n">
        <f aca="false">IF($B81=0,"",E81/$B81)</f>
        <v>0</v>
      </c>
      <c r="J81" s="25" t="n">
        <f aca="false">IF($B81=0,"",F81/$B81)</f>
        <v>0</v>
      </c>
      <c r="K81" s="26" t="n">
        <f aca="false">IFERROR(AVERAGEIFS(DONNEES!$O$2:$O$1501,DONNEES!$G$2:$G$1501,$A81),"")</f>
        <v>14.7452631578947</v>
      </c>
    </row>
    <row r="82" customFormat="false" ht="15" hidden="false" customHeight="false" outlineLevel="0" collapsed="false">
      <c r="A82" s="4" t="s">
        <v>1805</v>
      </c>
      <c r="B82" s="4" t="n">
        <f aca="false">COUNTIFS(DONNEES!$H$2:$H$1501,"NOTABLE",DONNEES!$L$2:$L$1501,"Correct",DONNEES!$G$2:$G$1501,$A82)+COUNTIFS(DONNEES!$H$2:$H$1501,"NOTABLE",DONNEES!$L$2:$L$1501,"Pas d’info à tort",DONNEES!$G$2:$G$1501,$A82)+COUNTIFS(DONNEES!$H$2:$H$1501,"NOTABLE",DONNEES!$L$2:$L$1501,"Incorrect",DONNEES!$G$2:$G$1501,$A82)+COUNTIFS(DONNEES!$H$2:$H$1501,"NOTABLE",DONNEES!$L$2:$L$1501,"Hors sujet",DONNEES!$G$2:$G$1501,$A82)</f>
        <v>16</v>
      </c>
      <c r="C82" s="4" t="n">
        <f aca="false">COUNTIFS(DONNEES!$H$2:$H$1501,"NOTABLE",DONNEES!$L$2:$L$1501,"Correct",DONNEES!$G$2:$G$1501,$A82)</f>
        <v>16</v>
      </c>
      <c r="D82" s="4" t="n">
        <f aca="false">COUNTIFS(DONNEES!$H$2:$H$1501,"NOTABLE",DONNEES!$L$2:$L$1501,"Pas d’info à tort",DONNEES!$G$2:$G$1501,$A82)</f>
        <v>0</v>
      </c>
      <c r="E82" s="4" t="n">
        <f aca="false">COUNTIFS(DONNEES!$H$2:$H$1501,"NOTABLE",DONNEES!$L$2:$L$1501,"Incorrect",DONNEES!$G$2:$G$1501,$A82)</f>
        <v>0</v>
      </c>
      <c r="F82" s="4" t="n">
        <f aca="false">COUNTIFS(DONNEES!$H$2:$H$1501,"NOTABLE",DONNEES!$L$2:$L$1501,"Hors sujet",DONNEES!$G$2:$G$1501,$A82)</f>
        <v>0</v>
      </c>
      <c r="G82" s="25" t="n">
        <f aca="false">IF($B82=0,"",C82/$B82)</f>
        <v>1</v>
      </c>
      <c r="H82" s="25" t="n">
        <f aca="false">IF($B82=0,"",D82/$B82)</f>
        <v>0</v>
      </c>
      <c r="I82" s="25" t="n">
        <f aca="false">IF($B82=0,"",E82/$B82)</f>
        <v>0</v>
      </c>
      <c r="J82" s="25" t="n">
        <f aca="false">IF($B82=0,"",F82/$B82)</f>
        <v>0</v>
      </c>
      <c r="K82" s="26" t="n">
        <f aca="false">IFERROR(AVERAGEIFS(DONNEES!$O$2:$O$1501,DONNEES!$G$2:$G$1501,$A82),"")</f>
        <v>16.945625</v>
      </c>
    </row>
    <row r="83" customFormat="false" ht="15" hidden="false" customHeight="false" outlineLevel="0" collapsed="false">
      <c r="A83" s="4" t="s">
        <v>1848</v>
      </c>
      <c r="B83" s="4" t="n">
        <f aca="false">COUNTIFS(DONNEES!$H$2:$H$1501,"NOTABLE",DONNEES!$L$2:$L$1501,"Correct",DONNEES!$G$2:$G$1501,$A83)+COUNTIFS(DONNEES!$H$2:$H$1501,"NOTABLE",DONNEES!$L$2:$L$1501,"Pas d’info à tort",DONNEES!$G$2:$G$1501,$A83)+COUNTIFS(DONNEES!$H$2:$H$1501,"NOTABLE",DONNEES!$L$2:$L$1501,"Incorrect",DONNEES!$G$2:$G$1501,$A83)+COUNTIFS(DONNEES!$H$2:$H$1501,"NOTABLE",DONNEES!$L$2:$L$1501,"Hors sujet",DONNEES!$G$2:$G$1501,$A83)</f>
        <v>15</v>
      </c>
      <c r="C83" s="4" t="n">
        <f aca="false">COUNTIFS(DONNEES!$H$2:$H$1501,"NOTABLE",DONNEES!$L$2:$L$1501,"Correct",DONNEES!$G$2:$G$1501,$A83)</f>
        <v>15</v>
      </c>
      <c r="D83" s="4" t="n">
        <f aca="false">COUNTIFS(DONNEES!$H$2:$H$1501,"NOTABLE",DONNEES!$L$2:$L$1501,"Pas d’info à tort",DONNEES!$G$2:$G$1501,$A83)</f>
        <v>0</v>
      </c>
      <c r="E83" s="4" t="n">
        <f aca="false">COUNTIFS(DONNEES!$H$2:$H$1501,"NOTABLE",DONNEES!$L$2:$L$1501,"Incorrect",DONNEES!$G$2:$G$1501,$A83)</f>
        <v>0</v>
      </c>
      <c r="F83" s="4" t="n">
        <f aca="false">COUNTIFS(DONNEES!$H$2:$H$1501,"NOTABLE",DONNEES!$L$2:$L$1501,"Hors sujet",DONNEES!$G$2:$G$1501,$A83)</f>
        <v>0</v>
      </c>
      <c r="G83" s="25" t="n">
        <f aca="false">IF($B83=0,"",C83/$B83)</f>
        <v>1</v>
      </c>
      <c r="H83" s="25" t="n">
        <f aca="false">IF($B83=0,"",D83/$B83)</f>
        <v>0</v>
      </c>
      <c r="I83" s="25" t="n">
        <f aca="false">IF($B83=0,"",E83/$B83)</f>
        <v>0</v>
      </c>
      <c r="J83" s="25" t="n">
        <f aca="false">IF($B83=0,"",F83/$B83)</f>
        <v>0</v>
      </c>
      <c r="K83" s="26" t="n">
        <f aca="false">IFERROR(AVERAGEIFS(DONNEES!$O$2:$O$1501,DONNEES!$G$2:$G$1501,$A83),"")</f>
        <v>14.2846666666667</v>
      </c>
    </row>
    <row r="84" customFormat="false" ht="15" hidden="false" customHeight="false" outlineLevel="0" collapsed="false">
      <c r="A84" s="4" t="s">
        <v>1918</v>
      </c>
      <c r="B84" s="4" t="n">
        <f aca="false">COUNTIFS(DONNEES!$H$2:$H$1501,"NOTABLE",DONNEES!$L$2:$L$1501,"Correct",DONNEES!$G$2:$G$1501,$A84)+COUNTIFS(DONNEES!$H$2:$H$1501,"NOTABLE",DONNEES!$L$2:$L$1501,"Pas d’info à tort",DONNEES!$G$2:$G$1501,$A84)+COUNTIFS(DONNEES!$H$2:$H$1501,"NOTABLE",DONNEES!$L$2:$L$1501,"Incorrect",DONNEES!$G$2:$G$1501,$A84)+COUNTIFS(DONNEES!$H$2:$H$1501,"NOTABLE",DONNEES!$L$2:$L$1501,"Hors sujet",DONNEES!$G$2:$G$1501,$A84)</f>
        <v>14</v>
      </c>
      <c r="C84" s="4" t="n">
        <f aca="false">COUNTIFS(DONNEES!$H$2:$H$1501,"NOTABLE",DONNEES!$L$2:$L$1501,"Correct",DONNEES!$G$2:$G$1501,$A84)</f>
        <v>14</v>
      </c>
      <c r="D84" s="4" t="n">
        <f aca="false">COUNTIFS(DONNEES!$H$2:$H$1501,"NOTABLE",DONNEES!$L$2:$L$1501,"Pas d’info à tort",DONNEES!$G$2:$G$1501,$A84)</f>
        <v>0</v>
      </c>
      <c r="E84" s="4" t="n">
        <f aca="false">COUNTIFS(DONNEES!$H$2:$H$1501,"NOTABLE",DONNEES!$L$2:$L$1501,"Incorrect",DONNEES!$G$2:$G$1501,$A84)</f>
        <v>0</v>
      </c>
      <c r="F84" s="4" t="n">
        <f aca="false">COUNTIFS(DONNEES!$H$2:$H$1501,"NOTABLE",DONNEES!$L$2:$L$1501,"Hors sujet",DONNEES!$G$2:$G$1501,$A84)</f>
        <v>0</v>
      </c>
      <c r="G84" s="25" t="n">
        <f aca="false">IF($B84=0,"",C84/$B84)</f>
        <v>1</v>
      </c>
      <c r="H84" s="25" t="n">
        <f aca="false">IF($B84=0,"",D84/$B84)</f>
        <v>0</v>
      </c>
      <c r="I84" s="25" t="n">
        <f aca="false">IF($B84=0,"",E84/$B84)</f>
        <v>0</v>
      </c>
      <c r="J84" s="25" t="n">
        <f aca="false">IF($B84=0,"",F84/$B84)</f>
        <v>0</v>
      </c>
      <c r="K84" s="26" t="n">
        <f aca="false">IFERROR(AVERAGEIFS(DONNEES!$O$2:$O$1501,DONNEES!$G$2:$G$1501,$A84),"")</f>
        <v>19.0242857142857</v>
      </c>
    </row>
    <row r="85" customFormat="false" ht="15" hidden="false" customHeight="false" outlineLevel="0" collapsed="false">
      <c r="A85" s="4" t="s">
        <v>908</v>
      </c>
      <c r="B85" s="4" t="n">
        <f aca="false">COUNTIFS(DONNEES!$H$2:$H$1501,"NOTABLE",DONNEES!$L$2:$L$1501,"Correct",DONNEES!$G$2:$G$1501,$A85)+COUNTIFS(DONNEES!$H$2:$H$1501,"NOTABLE",DONNEES!$L$2:$L$1501,"Pas d’info à tort",DONNEES!$G$2:$G$1501,$A85)+COUNTIFS(DONNEES!$H$2:$H$1501,"NOTABLE",DONNEES!$L$2:$L$1501,"Incorrect",DONNEES!$G$2:$G$1501,$A85)+COUNTIFS(DONNEES!$H$2:$H$1501,"NOTABLE",DONNEES!$L$2:$L$1501,"Hors sujet",DONNEES!$G$2:$G$1501,$A85)</f>
        <v>12</v>
      </c>
      <c r="C85" s="4" t="n">
        <f aca="false">COUNTIFS(DONNEES!$H$2:$H$1501,"NOTABLE",DONNEES!$L$2:$L$1501,"Correct",DONNEES!$G$2:$G$1501,$A85)</f>
        <v>12</v>
      </c>
      <c r="D85" s="4" t="n">
        <f aca="false">COUNTIFS(DONNEES!$H$2:$H$1501,"NOTABLE",DONNEES!$L$2:$L$1501,"Pas d’info à tort",DONNEES!$G$2:$G$1501,$A85)</f>
        <v>0</v>
      </c>
      <c r="E85" s="4" t="n">
        <f aca="false">COUNTIFS(DONNEES!$H$2:$H$1501,"NOTABLE",DONNEES!$L$2:$L$1501,"Incorrect",DONNEES!$G$2:$G$1501,$A85)</f>
        <v>0</v>
      </c>
      <c r="F85" s="4" t="n">
        <f aca="false">COUNTIFS(DONNEES!$H$2:$H$1501,"NOTABLE",DONNEES!$L$2:$L$1501,"Hors sujet",DONNEES!$G$2:$G$1501,$A85)</f>
        <v>0</v>
      </c>
      <c r="G85" s="25" t="n">
        <f aca="false">IF($B85=0,"",C85/$B85)</f>
        <v>1</v>
      </c>
      <c r="H85" s="25" t="n">
        <f aca="false">IF($B85=0,"",D85/$B85)</f>
        <v>0</v>
      </c>
      <c r="I85" s="25" t="n">
        <f aca="false">IF($B85=0,"",E85/$B85)</f>
        <v>0</v>
      </c>
      <c r="J85" s="25" t="n">
        <f aca="false">IF($B85=0,"",F85/$B85)</f>
        <v>0</v>
      </c>
      <c r="K85" s="26" t="n">
        <f aca="false">IFERROR(AVERAGEIFS(DONNEES!$O$2:$O$1501,DONNEES!$G$2:$G$1501,$A85),"")</f>
        <v>19.5233333333333</v>
      </c>
    </row>
    <row r="86" customFormat="false" ht="15" hidden="false" customHeight="false" outlineLevel="0" collapsed="false">
      <c r="A86" s="4" t="s">
        <v>1998</v>
      </c>
      <c r="B86" s="4" t="n">
        <f aca="false">COUNTIFS(DONNEES!$H$2:$H$1501,"NOTABLE",DONNEES!$L$2:$L$1501,"Correct",DONNEES!$G$2:$G$1501,$A86)+COUNTIFS(DONNEES!$H$2:$H$1501,"NOTABLE",DONNEES!$L$2:$L$1501,"Pas d’info à tort",DONNEES!$G$2:$G$1501,$A86)+COUNTIFS(DONNEES!$H$2:$H$1501,"NOTABLE",DONNEES!$L$2:$L$1501,"Incorrect",DONNEES!$G$2:$G$1501,$A86)+COUNTIFS(DONNEES!$H$2:$H$1501,"NOTABLE",DONNEES!$L$2:$L$1501,"Hors sujet",DONNEES!$G$2:$G$1501,$A86)</f>
        <v>12</v>
      </c>
      <c r="C86" s="4" t="n">
        <f aca="false">COUNTIFS(DONNEES!$H$2:$H$1501,"NOTABLE",DONNEES!$L$2:$L$1501,"Correct",DONNEES!$G$2:$G$1501,$A86)</f>
        <v>12</v>
      </c>
      <c r="D86" s="4" t="n">
        <f aca="false">COUNTIFS(DONNEES!$H$2:$H$1501,"NOTABLE",DONNEES!$L$2:$L$1501,"Pas d’info à tort",DONNEES!$G$2:$G$1501,$A86)</f>
        <v>0</v>
      </c>
      <c r="E86" s="4" t="n">
        <f aca="false">COUNTIFS(DONNEES!$H$2:$H$1501,"NOTABLE",DONNEES!$L$2:$L$1501,"Incorrect",DONNEES!$G$2:$G$1501,$A86)</f>
        <v>0</v>
      </c>
      <c r="F86" s="4" t="n">
        <f aca="false">COUNTIFS(DONNEES!$H$2:$H$1501,"NOTABLE",DONNEES!$L$2:$L$1501,"Hors sujet",DONNEES!$G$2:$G$1501,$A86)</f>
        <v>0</v>
      </c>
      <c r="G86" s="25" t="n">
        <f aca="false">IF($B86=0,"",C86/$B86)</f>
        <v>1</v>
      </c>
      <c r="H86" s="25" t="n">
        <f aca="false">IF($B86=0,"",D86/$B86)</f>
        <v>0</v>
      </c>
      <c r="I86" s="25" t="n">
        <f aca="false">IF($B86=0,"",E86/$B86)</f>
        <v>0</v>
      </c>
      <c r="J86" s="25" t="n">
        <f aca="false">IF($B86=0,"",F86/$B86)</f>
        <v>0</v>
      </c>
      <c r="K86" s="26" t="n">
        <f aca="false">IFERROR(AVERAGEIFS(DONNEES!$O$2:$O$1501,DONNEES!$G$2:$G$1501,$A86),"")</f>
        <v>13.4416666666667</v>
      </c>
    </row>
    <row r="87" customFormat="false" ht="15" hidden="false" customHeight="false" outlineLevel="0" collapsed="false">
      <c r="A87" s="4" t="s">
        <v>2118</v>
      </c>
      <c r="B87" s="4" t="n">
        <f aca="false">COUNTIFS(DONNEES!$H$2:$H$1501,"NOTABLE",DONNEES!$L$2:$L$1501,"Correct",DONNEES!$G$2:$G$1501,$A87)+COUNTIFS(DONNEES!$H$2:$H$1501,"NOTABLE",DONNEES!$L$2:$L$1501,"Pas d’info à tort",DONNEES!$G$2:$G$1501,$A87)+COUNTIFS(DONNEES!$H$2:$H$1501,"NOTABLE",DONNEES!$L$2:$L$1501,"Incorrect",DONNEES!$G$2:$G$1501,$A87)+COUNTIFS(DONNEES!$H$2:$H$1501,"NOTABLE",DONNEES!$L$2:$L$1501,"Hors sujet",DONNEES!$G$2:$G$1501,$A87)</f>
        <v>10</v>
      </c>
      <c r="C87" s="4" t="n">
        <f aca="false">COUNTIFS(DONNEES!$H$2:$H$1501,"NOTABLE",DONNEES!$L$2:$L$1501,"Correct",DONNEES!$G$2:$G$1501,$A87)</f>
        <v>10</v>
      </c>
      <c r="D87" s="4" t="n">
        <f aca="false">COUNTIFS(DONNEES!$H$2:$H$1501,"NOTABLE",DONNEES!$L$2:$L$1501,"Pas d’info à tort",DONNEES!$G$2:$G$1501,$A87)</f>
        <v>0</v>
      </c>
      <c r="E87" s="4" t="n">
        <f aca="false">COUNTIFS(DONNEES!$H$2:$H$1501,"NOTABLE",DONNEES!$L$2:$L$1501,"Incorrect",DONNEES!$G$2:$G$1501,$A87)</f>
        <v>0</v>
      </c>
      <c r="F87" s="4" t="n">
        <f aca="false">COUNTIFS(DONNEES!$H$2:$H$1501,"NOTABLE",DONNEES!$L$2:$L$1501,"Hors sujet",DONNEES!$G$2:$G$1501,$A87)</f>
        <v>0</v>
      </c>
      <c r="G87" s="25" t="n">
        <f aca="false">IF($B87=0,"",C87/$B87)</f>
        <v>1</v>
      </c>
      <c r="H87" s="25" t="n">
        <f aca="false">IF($B87=0,"",D87/$B87)</f>
        <v>0</v>
      </c>
      <c r="I87" s="25" t="n">
        <f aca="false">IF($B87=0,"",E87/$B87)</f>
        <v>0</v>
      </c>
      <c r="J87" s="25" t="n">
        <f aca="false">IF($B87=0,"",F87/$B87)</f>
        <v>0</v>
      </c>
      <c r="K87" s="26" t="n">
        <f aca="false">IFERROR(AVERAGEIFS(DONNEES!$O$2:$O$1501,DONNEES!$G$2:$G$1501,$A87),"")</f>
        <v>10.771</v>
      </c>
    </row>
    <row r="88" customFormat="false" ht="15" hidden="false" customHeight="false" outlineLevel="0" collapsed="false">
      <c r="A88" s="4" t="s">
        <v>1305</v>
      </c>
      <c r="B88" s="4" t="n">
        <f aca="false">COUNTIFS(DONNEES!$H$2:$H$1501,"NOTABLE",DONNEES!$L$2:$L$1501,"Correct",DONNEES!$G$2:$G$1501,$A88)+COUNTIFS(DONNEES!$H$2:$H$1501,"NOTABLE",DONNEES!$L$2:$L$1501,"Pas d’info à tort",DONNEES!$G$2:$G$1501,$A88)+COUNTIFS(DONNEES!$H$2:$H$1501,"NOTABLE",DONNEES!$L$2:$L$1501,"Incorrect",DONNEES!$G$2:$G$1501,$A88)+COUNTIFS(DONNEES!$H$2:$H$1501,"NOTABLE",DONNEES!$L$2:$L$1501,"Hors sujet",DONNEES!$G$2:$G$1501,$A88)</f>
        <v>10</v>
      </c>
      <c r="C88" s="4" t="n">
        <f aca="false">COUNTIFS(DONNEES!$H$2:$H$1501,"NOTABLE",DONNEES!$L$2:$L$1501,"Correct",DONNEES!$G$2:$G$1501,$A88)</f>
        <v>10</v>
      </c>
      <c r="D88" s="4" t="n">
        <f aca="false">COUNTIFS(DONNEES!$H$2:$H$1501,"NOTABLE",DONNEES!$L$2:$L$1501,"Pas d’info à tort",DONNEES!$G$2:$G$1501,$A88)</f>
        <v>0</v>
      </c>
      <c r="E88" s="4" t="n">
        <f aca="false">COUNTIFS(DONNEES!$H$2:$H$1501,"NOTABLE",DONNEES!$L$2:$L$1501,"Incorrect",DONNEES!$G$2:$G$1501,$A88)</f>
        <v>0</v>
      </c>
      <c r="F88" s="4" t="n">
        <f aca="false">COUNTIFS(DONNEES!$H$2:$H$1501,"NOTABLE",DONNEES!$L$2:$L$1501,"Hors sujet",DONNEES!$G$2:$G$1501,$A88)</f>
        <v>0</v>
      </c>
      <c r="G88" s="25" t="n">
        <f aca="false">IF($B88=0,"",C88/$B88)</f>
        <v>1</v>
      </c>
      <c r="H88" s="25" t="n">
        <f aca="false">IF($B88=0,"",D88/$B88)</f>
        <v>0</v>
      </c>
      <c r="I88" s="25" t="n">
        <f aca="false">IF($B88=0,"",E88/$B88)</f>
        <v>0</v>
      </c>
      <c r="J88" s="25" t="n">
        <f aca="false">IF($B88=0,"",F88/$B88)</f>
        <v>0</v>
      </c>
      <c r="K88" s="26" t="n">
        <f aca="false">IFERROR(AVERAGEIFS(DONNEES!$O$2:$O$1501,DONNEES!$G$2:$G$1501,$A88),"")</f>
        <v>14.721</v>
      </c>
    </row>
    <row r="89" customFormat="false" ht="15" hidden="false" customHeight="false" outlineLevel="0" collapsed="false">
      <c r="A89" s="4" t="s">
        <v>2113</v>
      </c>
      <c r="B89" s="4" t="n">
        <f aca="false">COUNTIFS(DONNEES!$H$2:$H$1501,"NOTABLE",DONNEES!$L$2:$L$1501,"Correct",DONNEES!$G$2:$G$1501,$A89)+COUNTIFS(DONNEES!$H$2:$H$1501,"NOTABLE",DONNEES!$L$2:$L$1501,"Pas d’info à tort",DONNEES!$G$2:$G$1501,$A89)+COUNTIFS(DONNEES!$H$2:$H$1501,"NOTABLE",DONNEES!$L$2:$L$1501,"Incorrect",DONNEES!$G$2:$G$1501,$A89)+COUNTIFS(DONNEES!$H$2:$H$1501,"NOTABLE",DONNEES!$L$2:$L$1501,"Hors sujet",DONNEES!$G$2:$G$1501,$A89)</f>
        <v>9</v>
      </c>
      <c r="C89" s="4" t="n">
        <f aca="false">COUNTIFS(DONNEES!$H$2:$H$1501,"NOTABLE",DONNEES!$L$2:$L$1501,"Correct",DONNEES!$G$2:$G$1501,$A89)</f>
        <v>9</v>
      </c>
      <c r="D89" s="4" t="n">
        <f aca="false">COUNTIFS(DONNEES!$H$2:$H$1501,"NOTABLE",DONNEES!$L$2:$L$1501,"Pas d’info à tort",DONNEES!$G$2:$G$1501,$A89)</f>
        <v>0</v>
      </c>
      <c r="E89" s="4" t="n">
        <f aca="false">COUNTIFS(DONNEES!$H$2:$H$1501,"NOTABLE",DONNEES!$L$2:$L$1501,"Incorrect",DONNEES!$G$2:$G$1501,$A89)</f>
        <v>0</v>
      </c>
      <c r="F89" s="4" t="n">
        <f aca="false">COUNTIFS(DONNEES!$H$2:$H$1501,"NOTABLE",DONNEES!$L$2:$L$1501,"Hors sujet",DONNEES!$G$2:$G$1501,$A89)</f>
        <v>0</v>
      </c>
      <c r="G89" s="25" t="n">
        <f aca="false">IF($B89=0,"",C89/$B89)</f>
        <v>1</v>
      </c>
      <c r="H89" s="25" t="n">
        <f aca="false">IF($B89=0,"",D89/$B89)</f>
        <v>0</v>
      </c>
      <c r="I89" s="25" t="n">
        <f aca="false">IF($B89=0,"",E89/$B89)</f>
        <v>0</v>
      </c>
      <c r="J89" s="25" t="n">
        <f aca="false">IF($B89=0,"",F89/$B89)</f>
        <v>0</v>
      </c>
      <c r="K89" s="26" t="n">
        <f aca="false">IFERROR(AVERAGEIFS(DONNEES!$O$2:$O$1501,DONNEES!$G$2:$G$1501,$A89),"")</f>
        <v>21.42</v>
      </c>
    </row>
    <row r="90" customFormat="false" ht="15" hidden="false" customHeight="false" outlineLevel="0" collapsed="false">
      <c r="A90" s="4" t="s">
        <v>2220</v>
      </c>
      <c r="B90" s="4" t="n">
        <f aca="false">COUNTIFS(DONNEES!$H$2:$H$1501,"NOTABLE",DONNEES!$L$2:$L$1501,"Correct",DONNEES!$G$2:$G$1501,$A90)+COUNTIFS(DONNEES!$H$2:$H$1501,"NOTABLE",DONNEES!$L$2:$L$1501,"Pas d’info à tort",DONNEES!$G$2:$G$1501,$A90)+COUNTIFS(DONNEES!$H$2:$H$1501,"NOTABLE",DONNEES!$L$2:$L$1501,"Incorrect",DONNEES!$G$2:$G$1501,$A90)+COUNTIFS(DONNEES!$H$2:$H$1501,"NOTABLE",DONNEES!$L$2:$L$1501,"Hors sujet",DONNEES!$G$2:$G$1501,$A90)</f>
        <v>9</v>
      </c>
      <c r="C90" s="4" t="n">
        <f aca="false">COUNTIFS(DONNEES!$H$2:$H$1501,"NOTABLE",DONNEES!$L$2:$L$1501,"Correct",DONNEES!$G$2:$G$1501,$A90)</f>
        <v>9</v>
      </c>
      <c r="D90" s="4" t="n">
        <f aca="false">COUNTIFS(DONNEES!$H$2:$H$1501,"NOTABLE",DONNEES!$L$2:$L$1501,"Pas d’info à tort",DONNEES!$G$2:$G$1501,$A90)</f>
        <v>0</v>
      </c>
      <c r="E90" s="4" t="n">
        <f aca="false">COUNTIFS(DONNEES!$H$2:$H$1501,"NOTABLE",DONNEES!$L$2:$L$1501,"Incorrect",DONNEES!$G$2:$G$1501,$A90)</f>
        <v>0</v>
      </c>
      <c r="F90" s="4" t="n">
        <f aca="false">COUNTIFS(DONNEES!$H$2:$H$1501,"NOTABLE",DONNEES!$L$2:$L$1501,"Hors sujet",DONNEES!$G$2:$G$1501,$A90)</f>
        <v>0</v>
      </c>
      <c r="G90" s="25" t="n">
        <f aca="false">IF($B90=0,"",C90/$B90)</f>
        <v>1</v>
      </c>
      <c r="H90" s="25" t="n">
        <f aca="false">IF($B90=0,"",D90/$B90)</f>
        <v>0</v>
      </c>
      <c r="I90" s="25" t="n">
        <f aca="false">IF($B90=0,"",E90/$B90)</f>
        <v>0</v>
      </c>
      <c r="J90" s="25" t="n">
        <f aca="false">IF($B90=0,"",F90/$B90)</f>
        <v>0</v>
      </c>
      <c r="K90" s="26" t="n">
        <f aca="false">IFERROR(AVERAGEIFS(DONNEES!$O$2:$O$1501,DONNEES!$G$2:$G$1501,$A90),"")</f>
        <v>13.6111111111111</v>
      </c>
    </row>
    <row r="91" customFormat="false" ht="15" hidden="false" customHeight="false" outlineLevel="0" collapsed="false">
      <c r="A91" s="4" t="s">
        <v>2195</v>
      </c>
      <c r="B91" s="4" t="n">
        <f aca="false">COUNTIFS(DONNEES!$H$2:$H$1501,"NOTABLE",DONNEES!$L$2:$L$1501,"Correct",DONNEES!$G$2:$G$1501,$A91)+COUNTIFS(DONNEES!$H$2:$H$1501,"NOTABLE",DONNEES!$L$2:$L$1501,"Pas d’info à tort",DONNEES!$G$2:$G$1501,$A91)+COUNTIFS(DONNEES!$H$2:$H$1501,"NOTABLE",DONNEES!$L$2:$L$1501,"Incorrect",DONNEES!$G$2:$G$1501,$A91)+COUNTIFS(DONNEES!$H$2:$H$1501,"NOTABLE",DONNEES!$L$2:$L$1501,"Hors sujet",DONNEES!$G$2:$G$1501,$A91)</f>
        <v>9</v>
      </c>
      <c r="C91" s="4" t="n">
        <f aca="false">COUNTIFS(DONNEES!$H$2:$H$1501,"NOTABLE",DONNEES!$L$2:$L$1501,"Correct",DONNEES!$G$2:$G$1501,$A91)</f>
        <v>9</v>
      </c>
      <c r="D91" s="4" t="n">
        <f aca="false">COUNTIFS(DONNEES!$H$2:$H$1501,"NOTABLE",DONNEES!$L$2:$L$1501,"Pas d’info à tort",DONNEES!$G$2:$G$1501,$A91)</f>
        <v>0</v>
      </c>
      <c r="E91" s="4" t="n">
        <f aca="false">COUNTIFS(DONNEES!$H$2:$H$1501,"NOTABLE",DONNEES!$L$2:$L$1501,"Incorrect",DONNEES!$G$2:$G$1501,$A91)</f>
        <v>0</v>
      </c>
      <c r="F91" s="4" t="n">
        <f aca="false">COUNTIFS(DONNEES!$H$2:$H$1501,"NOTABLE",DONNEES!$L$2:$L$1501,"Hors sujet",DONNEES!$G$2:$G$1501,$A91)</f>
        <v>0</v>
      </c>
      <c r="G91" s="25" t="n">
        <f aca="false">IF($B91=0,"",C91/$B91)</f>
        <v>1</v>
      </c>
      <c r="H91" s="25" t="n">
        <f aca="false">IF($B91=0,"",D91/$B91)</f>
        <v>0</v>
      </c>
      <c r="I91" s="25" t="n">
        <f aca="false">IF($B91=0,"",E91/$B91)</f>
        <v>0</v>
      </c>
      <c r="J91" s="25" t="n">
        <f aca="false">IF($B91=0,"",F91/$B91)</f>
        <v>0</v>
      </c>
      <c r="K91" s="26" t="n">
        <f aca="false">IFERROR(AVERAGEIFS(DONNEES!$O$2:$O$1501,DONNEES!$G$2:$G$1501,$A91),"")</f>
        <v>11.9044444444444</v>
      </c>
    </row>
    <row r="92" customFormat="false" ht="15" hidden="false" customHeight="false" outlineLevel="0" collapsed="false">
      <c r="A92" s="4" t="s">
        <v>2500</v>
      </c>
      <c r="B92" s="4" t="n">
        <f aca="false">COUNTIFS(DONNEES!$H$2:$H$1501,"NOTABLE",DONNEES!$L$2:$L$1501,"Correct",DONNEES!$G$2:$G$1501,$A92)+COUNTIFS(DONNEES!$H$2:$H$1501,"NOTABLE",DONNEES!$L$2:$L$1501,"Pas d’info à tort",DONNEES!$G$2:$G$1501,$A92)+COUNTIFS(DONNEES!$H$2:$H$1501,"NOTABLE",DONNEES!$L$2:$L$1501,"Incorrect",DONNEES!$G$2:$G$1501,$A92)+COUNTIFS(DONNEES!$H$2:$H$1501,"NOTABLE",DONNEES!$L$2:$L$1501,"Hors sujet",DONNEES!$G$2:$G$1501,$A92)</f>
        <v>5</v>
      </c>
      <c r="C92" s="4" t="n">
        <f aca="false">COUNTIFS(DONNEES!$H$2:$H$1501,"NOTABLE",DONNEES!$L$2:$L$1501,"Correct",DONNEES!$G$2:$G$1501,$A92)</f>
        <v>5</v>
      </c>
      <c r="D92" s="4" t="n">
        <f aca="false">COUNTIFS(DONNEES!$H$2:$H$1501,"NOTABLE",DONNEES!$L$2:$L$1501,"Pas d’info à tort",DONNEES!$G$2:$G$1501,$A92)</f>
        <v>0</v>
      </c>
      <c r="E92" s="4" t="n">
        <f aca="false">COUNTIFS(DONNEES!$H$2:$H$1501,"NOTABLE",DONNEES!$L$2:$L$1501,"Incorrect",DONNEES!$G$2:$G$1501,$A92)</f>
        <v>0</v>
      </c>
      <c r="F92" s="4" t="n">
        <f aca="false">COUNTIFS(DONNEES!$H$2:$H$1501,"NOTABLE",DONNEES!$L$2:$L$1501,"Hors sujet",DONNEES!$G$2:$G$1501,$A92)</f>
        <v>0</v>
      </c>
      <c r="G92" s="25" t="n">
        <f aca="false">IF($B92=0,"",C92/$B92)</f>
        <v>1</v>
      </c>
      <c r="H92" s="25" t="n">
        <f aca="false">IF($B92=0,"",D92/$B92)</f>
        <v>0</v>
      </c>
      <c r="I92" s="25" t="n">
        <f aca="false">IF($B92=0,"",E92/$B92)</f>
        <v>0</v>
      </c>
      <c r="J92" s="25" t="n">
        <f aca="false">IF($B92=0,"",F92/$B92)</f>
        <v>0</v>
      </c>
      <c r="K92" s="26" t="n">
        <f aca="false">IFERROR(AVERAGEIFS(DONNEES!$O$2:$O$1501,DONNEES!$G$2:$G$1501,$A92),"")</f>
        <v>16.758</v>
      </c>
    </row>
    <row r="93" customFormat="false" ht="15" hidden="false" customHeight="false" outlineLevel="0" collapsed="false">
      <c r="A93" s="4" t="s">
        <v>2672</v>
      </c>
      <c r="B93" s="4" t="n">
        <f aca="false">COUNTIFS(DONNEES!$H$2:$H$1501,"NOTABLE",DONNEES!$L$2:$L$1501,"Correct",DONNEES!$G$2:$G$1501,$A93)+COUNTIFS(DONNEES!$H$2:$H$1501,"NOTABLE",DONNEES!$L$2:$L$1501,"Pas d’info à tort",DONNEES!$G$2:$G$1501,$A93)+COUNTIFS(DONNEES!$H$2:$H$1501,"NOTABLE",DONNEES!$L$2:$L$1501,"Incorrect",DONNEES!$G$2:$G$1501,$A93)+COUNTIFS(DONNEES!$H$2:$H$1501,"NOTABLE",DONNEES!$L$2:$L$1501,"Hors sujet",DONNEES!$G$2:$G$1501,$A93)</f>
        <v>5</v>
      </c>
      <c r="C93" s="4" t="n">
        <f aca="false">COUNTIFS(DONNEES!$H$2:$H$1501,"NOTABLE",DONNEES!$L$2:$L$1501,"Correct",DONNEES!$G$2:$G$1501,$A93)</f>
        <v>5</v>
      </c>
      <c r="D93" s="4" t="n">
        <f aca="false">COUNTIFS(DONNEES!$H$2:$H$1501,"NOTABLE",DONNEES!$L$2:$L$1501,"Pas d’info à tort",DONNEES!$G$2:$G$1501,$A93)</f>
        <v>0</v>
      </c>
      <c r="E93" s="4" t="n">
        <f aca="false">COUNTIFS(DONNEES!$H$2:$H$1501,"NOTABLE",DONNEES!$L$2:$L$1501,"Incorrect",DONNEES!$G$2:$G$1501,$A93)</f>
        <v>0</v>
      </c>
      <c r="F93" s="4" t="n">
        <f aca="false">COUNTIFS(DONNEES!$H$2:$H$1501,"NOTABLE",DONNEES!$L$2:$L$1501,"Hors sujet",DONNEES!$G$2:$G$1501,$A93)</f>
        <v>0</v>
      </c>
      <c r="G93" s="25" t="n">
        <f aca="false">IF($B93=0,"",C93/$B93)</f>
        <v>1</v>
      </c>
      <c r="H93" s="25" t="n">
        <f aca="false">IF($B93=0,"",D93/$B93)</f>
        <v>0</v>
      </c>
      <c r="I93" s="25" t="n">
        <f aca="false">IF($B93=0,"",E93/$B93)</f>
        <v>0</v>
      </c>
      <c r="J93" s="25" t="n">
        <f aca="false">IF($B93=0,"",F93/$B93)</f>
        <v>0</v>
      </c>
      <c r="K93" s="26" t="n">
        <f aca="false">IFERROR(AVERAGEIFS(DONNEES!$O$2:$O$1501,DONNEES!$G$2:$G$1501,$A93),"")</f>
        <v>31.934</v>
      </c>
    </row>
    <row r="94" customFormat="false" ht="15" hidden="false" customHeight="false" outlineLevel="0" collapsed="false">
      <c r="A94" s="4" t="s">
        <v>2438</v>
      </c>
      <c r="B94" s="4" t="n">
        <f aca="false">COUNTIFS(DONNEES!$H$2:$H$1501,"NOTABLE",DONNEES!$L$2:$L$1501,"Correct",DONNEES!$G$2:$G$1501,$A94)+COUNTIFS(DONNEES!$H$2:$H$1501,"NOTABLE",DONNEES!$L$2:$L$1501,"Pas d’info à tort",DONNEES!$G$2:$G$1501,$A94)+COUNTIFS(DONNEES!$H$2:$H$1501,"NOTABLE",DONNEES!$L$2:$L$1501,"Incorrect",DONNEES!$G$2:$G$1501,$A94)+COUNTIFS(DONNEES!$H$2:$H$1501,"NOTABLE",DONNEES!$L$2:$L$1501,"Hors sujet",DONNEES!$G$2:$G$1501,$A94)</f>
        <v>5</v>
      </c>
      <c r="C94" s="4" t="n">
        <f aca="false">COUNTIFS(DONNEES!$H$2:$H$1501,"NOTABLE",DONNEES!$L$2:$L$1501,"Correct",DONNEES!$G$2:$G$1501,$A94)</f>
        <v>5</v>
      </c>
      <c r="D94" s="4" t="n">
        <f aca="false">COUNTIFS(DONNEES!$H$2:$H$1501,"NOTABLE",DONNEES!$L$2:$L$1501,"Pas d’info à tort",DONNEES!$G$2:$G$1501,$A94)</f>
        <v>0</v>
      </c>
      <c r="E94" s="4" t="n">
        <f aca="false">COUNTIFS(DONNEES!$H$2:$H$1501,"NOTABLE",DONNEES!$L$2:$L$1501,"Incorrect",DONNEES!$G$2:$G$1501,$A94)</f>
        <v>0</v>
      </c>
      <c r="F94" s="4" t="n">
        <f aca="false">COUNTIFS(DONNEES!$H$2:$H$1501,"NOTABLE",DONNEES!$L$2:$L$1501,"Hors sujet",DONNEES!$G$2:$G$1501,$A94)</f>
        <v>0</v>
      </c>
      <c r="G94" s="25" t="n">
        <f aca="false">IF($B94=0,"",C94/$B94)</f>
        <v>1</v>
      </c>
      <c r="H94" s="25" t="n">
        <f aca="false">IF($B94=0,"",D94/$B94)</f>
        <v>0</v>
      </c>
      <c r="I94" s="25" t="n">
        <f aca="false">IF($B94=0,"",E94/$B94)</f>
        <v>0</v>
      </c>
      <c r="J94" s="25" t="n">
        <f aca="false">IF($B94=0,"",F94/$B94)</f>
        <v>0</v>
      </c>
      <c r="K94" s="26" t="n">
        <f aca="false">IFERROR(AVERAGEIFS(DONNEES!$O$2:$O$1501,DONNEES!$G$2:$G$1501,$A94),"")</f>
        <v>22.898</v>
      </c>
    </row>
    <row r="95" customFormat="false" ht="15" hidden="false" customHeight="false" outlineLevel="0" collapsed="false">
      <c r="A95" s="4" t="s">
        <v>2404</v>
      </c>
      <c r="B95" s="4" t="n">
        <f aca="false">COUNTIFS(DONNEES!$H$2:$H$1501,"NOTABLE",DONNEES!$L$2:$L$1501,"Correct",DONNEES!$G$2:$G$1501,$A95)+COUNTIFS(DONNEES!$H$2:$H$1501,"NOTABLE",DONNEES!$L$2:$L$1501,"Pas d’info à tort",DONNEES!$G$2:$G$1501,$A95)+COUNTIFS(DONNEES!$H$2:$H$1501,"NOTABLE",DONNEES!$L$2:$L$1501,"Incorrect",DONNEES!$G$2:$G$1501,$A95)+COUNTIFS(DONNEES!$H$2:$H$1501,"NOTABLE",DONNEES!$L$2:$L$1501,"Hors sujet",DONNEES!$G$2:$G$1501,$A95)</f>
        <v>5</v>
      </c>
      <c r="C95" s="4" t="n">
        <f aca="false">COUNTIFS(DONNEES!$H$2:$H$1501,"NOTABLE",DONNEES!$L$2:$L$1501,"Correct",DONNEES!$G$2:$G$1501,$A95)</f>
        <v>5</v>
      </c>
      <c r="D95" s="4" t="n">
        <f aca="false">COUNTIFS(DONNEES!$H$2:$H$1501,"NOTABLE",DONNEES!$L$2:$L$1501,"Pas d’info à tort",DONNEES!$G$2:$G$1501,$A95)</f>
        <v>0</v>
      </c>
      <c r="E95" s="4" t="n">
        <f aca="false">COUNTIFS(DONNEES!$H$2:$H$1501,"NOTABLE",DONNEES!$L$2:$L$1501,"Incorrect",DONNEES!$G$2:$G$1501,$A95)</f>
        <v>0</v>
      </c>
      <c r="F95" s="4" t="n">
        <f aca="false">COUNTIFS(DONNEES!$H$2:$H$1501,"NOTABLE",DONNEES!$L$2:$L$1501,"Hors sujet",DONNEES!$G$2:$G$1501,$A95)</f>
        <v>0</v>
      </c>
      <c r="G95" s="25" t="n">
        <f aca="false">IF($B95=0,"",C95/$B95)</f>
        <v>1</v>
      </c>
      <c r="H95" s="25" t="n">
        <f aca="false">IF($B95=0,"",D95/$B95)</f>
        <v>0</v>
      </c>
      <c r="I95" s="25" t="n">
        <f aca="false">IF($B95=0,"",E95/$B95)</f>
        <v>0</v>
      </c>
      <c r="J95" s="25" t="n">
        <f aca="false">IF($B95=0,"",F95/$B95)</f>
        <v>0</v>
      </c>
      <c r="K95" s="26" t="n">
        <f aca="false">IFERROR(AVERAGEIFS(DONNEES!$O$2:$O$1501,DONNEES!$G$2:$G$1501,$A95),"")</f>
        <v>15.134</v>
      </c>
    </row>
    <row r="96" customFormat="false" ht="15" hidden="false" customHeight="false" outlineLevel="0" collapsed="false">
      <c r="A96" s="4" t="s">
        <v>181</v>
      </c>
      <c r="B96" s="4" t="n">
        <f aca="false">COUNTIFS(DONNEES!$H$2:$H$1501,"NOTABLE",DONNEES!$L$2:$L$1501,"Correct",DONNEES!$G$2:$G$1501,$A96)+COUNTIFS(DONNEES!$H$2:$H$1501,"NOTABLE",DONNEES!$L$2:$L$1501,"Pas d’info à tort",DONNEES!$G$2:$G$1501,$A96)+COUNTIFS(DONNEES!$H$2:$H$1501,"NOTABLE",DONNEES!$L$2:$L$1501,"Incorrect",DONNEES!$G$2:$G$1501,$A96)+COUNTIFS(DONNEES!$H$2:$H$1501,"NOTABLE",DONNEES!$L$2:$L$1501,"Hors sujet",DONNEES!$G$2:$G$1501,$A96)</f>
        <v>4</v>
      </c>
      <c r="C96" s="4" t="n">
        <f aca="false">COUNTIFS(DONNEES!$H$2:$H$1501,"NOTABLE",DONNEES!$L$2:$L$1501,"Correct",DONNEES!$G$2:$G$1501,$A96)</f>
        <v>4</v>
      </c>
      <c r="D96" s="4" t="n">
        <f aca="false">COUNTIFS(DONNEES!$H$2:$H$1501,"NOTABLE",DONNEES!$L$2:$L$1501,"Pas d’info à tort",DONNEES!$G$2:$G$1501,$A96)</f>
        <v>0</v>
      </c>
      <c r="E96" s="4" t="n">
        <f aca="false">COUNTIFS(DONNEES!$H$2:$H$1501,"NOTABLE",DONNEES!$L$2:$L$1501,"Incorrect",DONNEES!$G$2:$G$1501,$A96)</f>
        <v>0</v>
      </c>
      <c r="F96" s="4" t="n">
        <f aca="false">COUNTIFS(DONNEES!$H$2:$H$1501,"NOTABLE",DONNEES!$L$2:$L$1501,"Hors sujet",DONNEES!$G$2:$G$1501,$A96)</f>
        <v>0</v>
      </c>
      <c r="G96" s="25" t="n">
        <f aca="false">IF($B96=0,"",C96/$B96)</f>
        <v>1</v>
      </c>
      <c r="H96" s="25" t="n">
        <f aca="false">IF($B96=0,"",D96/$B96)</f>
        <v>0</v>
      </c>
      <c r="I96" s="25" t="n">
        <f aca="false">IF($B96=0,"",E96/$B96)</f>
        <v>0</v>
      </c>
      <c r="J96" s="25" t="n">
        <f aca="false">IF($B96=0,"",F96/$B96)</f>
        <v>0</v>
      </c>
      <c r="K96" s="26" t="n">
        <f aca="false">IFERROR(AVERAGEIFS(DONNEES!$O$2:$O$1501,DONNEES!$G$2:$G$1501,$A96),"")</f>
        <v>13.7564285714286</v>
      </c>
    </row>
    <row r="97" customFormat="false" ht="15" hidden="false" customHeight="false" outlineLevel="0" collapsed="false">
      <c r="A97" s="4" t="s">
        <v>2487</v>
      </c>
      <c r="B97" s="4" t="n">
        <f aca="false">COUNTIFS(DONNEES!$H$2:$H$1501,"NOTABLE",DONNEES!$L$2:$L$1501,"Correct",DONNEES!$G$2:$G$1501,$A97)+COUNTIFS(DONNEES!$H$2:$H$1501,"NOTABLE",DONNEES!$L$2:$L$1501,"Pas d’info à tort",DONNEES!$G$2:$G$1501,$A97)+COUNTIFS(DONNEES!$H$2:$H$1501,"NOTABLE",DONNEES!$L$2:$L$1501,"Incorrect",DONNEES!$G$2:$G$1501,$A97)+COUNTIFS(DONNEES!$H$2:$H$1501,"NOTABLE",DONNEES!$L$2:$L$1501,"Hors sujet",DONNEES!$G$2:$G$1501,$A97)</f>
        <v>3</v>
      </c>
      <c r="C97" s="4" t="n">
        <f aca="false">COUNTIFS(DONNEES!$H$2:$H$1501,"NOTABLE",DONNEES!$L$2:$L$1501,"Correct",DONNEES!$G$2:$G$1501,$A97)</f>
        <v>3</v>
      </c>
      <c r="D97" s="4" t="n">
        <f aca="false">COUNTIFS(DONNEES!$H$2:$H$1501,"NOTABLE",DONNEES!$L$2:$L$1501,"Pas d’info à tort",DONNEES!$G$2:$G$1501,$A97)</f>
        <v>0</v>
      </c>
      <c r="E97" s="4" t="n">
        <f aca="false">COUNTIFS(DONNEES!$H$2:$H$1501,"NOTABLE",DONNEES!$L$2:$L$1501,"Incorrect",DONNEES!$G$2:$G$1501,$A97)</f>
        <v>0</v>
      </c>
      <c r="F97" s="4" t="n">
        <f aca="false">COUNTIFS(DONNEES!$H$2:$H$1501,"NOTABLE",DONNEES!$L$2:$L$1501,"Hors sujet",DONNEES!$G$2:$G$1501,$A97)</f>
        <v>0</v>
      </c>
      <c r="G97" s="25" t="n">
        <f aca="false">IF($B97=0,"",C97/$B97)</f>
        <v>1</v>
      </c>
      <c r="H97" s="25" t="n">
        <f aca="false">IF($B97=0,"",D97/$B97)</f>
        <v>0</v>
      </c>
      <c r="I97" s="25" t="n">
        <f aca="false">IF($B97=0,"",E97/$B97)</f>
        <v>0</v>
      </c>
      <c r="J97" s="25" t="n">
        <f aca="false">IF($B97=0,"",F97/$B97)</f>
        <v>0</v>
      </c>
      <c r="K97" s="26" t="n">
        <f aca="false">IFERROR(AVERAGEIFS(DONNEES!$O$2:$O$1501,DONNEES!$G$2:$G$1501,$A97),"")</f>
        <v>34.1533333333333</v>
      </c>
    </row>
    <row r="98" customFormat="false" ht="15" hidden="false" customHeight="false" outlineLevel="0" collapsed="false">
      <c r="A98" s="4" t="s">
        <v>571</v>
      </c>
      <c r="B98" s="4" t="n">
        <f aca="false">COUNTIFS(DONNEES!$H$2:$H$1501,"NOTABLE",DONNEES!$L$2:$L$1501,"Correct",DONNEES!$G$2:$G$1501,$A98)+COUNTIFS(DONNEES!$H$2:$H$1501,"NOTABLE",DONNEES!$L$2:$L$1501,"Pas d’info à tort",DONNEES!$G$2:$G$1501,$A98)+COUNTIFS(DONNEES!$H$2:$H$1501,"NOTABLE",DONNEES!$L$2:$L$1501,"Incorrect",DONNEES!$G$2:$G$1501,$A98)+COUNTIFS(DONNEES!$H$2:$H$1501,"NOTABLE",DONNEES!$L$2:$L$1501,"Hors sujet",DONNEES!$G$2:$G$1501,$A98)</f>
        <v>0</v>
      </c>
      <c r="C98" s="4" t="n">
        <f aca="false">COUNTIFS(DONNEES!$H$2:$H$1501,"NOTABLE",DONNEES!$L$2:$L$1501,"Correct",DONNEES!$G$2:$G$1501,$A98)</f>
        <v>0</v>
      </c>
      <c r="D98" s="4" t="n">
        <f aca="false">COUNTIFS(DONNEES!$H$2:$H$1501,"NOTABLE",DONNEES!$L$2:$L$1501,"Pas d’info à tort",DONNEES!$G$2:$G$1501,$A98)</f>
        <v>0</v>
      </c>
      <c r="E98" s="4" t="n">
        <f aca="false">COUNTIFS(DONNEES!$H$2:$H$1501,"NOTABLE",DONNEES!$L$2:$L$1501,"Incorrect",DONNEES!$G$2:$G$1501,$A98)</f>
        <v>0</v>
      </c>
      <c r="F98" s="4" t="n">
        <f aca="false">COUNTIFS(DONNEES!$H$2:$H$1501,"NOTABLE",DONNEES!$L$2:$L$1501,"Hors sujet",DONNEES!$G$2:$G$1501,$A98)</f>
        <v>0</v>
      </c>
      <c r="G98" s="25" t="str">
        <f aca="false">IF($B98=0,"",C98/$B98)</f>
        <v/>
      </c>
      <c r="H98" s="25" t="str">
        <f aca="false">IF($B98=0,"",D98/$B98)</f>
        <v/>
      </c>
      <c r="I98" s="25" t="str">
        <f aca="false">IF($B98=0,"",E98/$B98)</f>
        <v/>
      </c>
      <c r="J98" s="25" t="str">
        <f aca="false">IF($B98=0,"",F98/$B98)</f>
        <v/>
      </c>
      <c r="K98" s="26" t="n">
        <f aca="false">IFERROR(AVERAGEIFS(DONNEES!$O$2:$O$1501,DONNEES!$G$2:$G$1501,$A98),"")</f>
        <v>11.76</v>
      </c>
    </row>
    <row r="99" customFormat="false" ht="15" hidden="false" customHeight="false" outlineLevel="0" collapsed="false">
      <c r="A99" s="4" t="s">
        <v>363</v>
      </c>
      <c r="B99" s="4" t="n">
        <f aca="false">COUNTIFS(DONNEES!$H$2:$H$1501,"NOTABLE",DONNEES!$L$2:$L$1501,"Correct",DONNEES!$G$2:$G$1501,$A99)+COUNTIFS(DONNEES!$H$2:$H$1501,"NOTABLE",DONNEES!$L$2:$L$1501,"Pas d’info à tort",DONNEES!$G$2:$G$1501,$A99)+COUNTIFS(DONNEES!$H$2:$H$1501,"NOTABLE",DONNEES!$L$2:$L$1501,"Incorrect",DONNEES!$G$2:$G$1501,$A99)+COUNTIFS(DONNEES!$H$2:$H$1501,"NOTABLE",DONNEES!$L$2:$L$1501,"Hors sujet",DONNEES!$G$2:$G$1501,$A99)</f>
        <v>0</v>
      </c>
      <c r="C99" s="4" t="n">
        <f aca="false">COUNTIFS(DONNEES!$H$2:$H$1501,"NOTABLE",DONNEES!$L$2:$L$1501,"Correct",DONNEES!$G$2:$G$1501,$A99)</f>
        <v>0</v>
      </c>
      <c r="D99" s="4" t="n">
        <f aca="false">COUNTIFS(DONNEES!$H$2:$H$1501,"NOTABLE",DONNEES!$L$2:$L$1501,"Pas d’info à tort",DONNEES!$G$2:$G$1501,$A99)</f>
        <v>0</v>
      </c>
      <c r="E99" s="4" t="n">
        <f aca="false">COUNTIFS(DONNEES!$H$2:$H$1501,"NOTABLE",DONNEES!$L$2:$L$1501,"Incorrect",DONNEES!$G$2:$G$1501,$A99)</f>
        <v>0</v>
      </c>
      <c r="F99" s="4" t="n">
        <f aca="false">COUNTIFS(DONNEES!$H$2:$H$1501,"NOTABLE",DONNEES!$L$2:$L$1501,"Hors sujet",DONNEES!$G$2:$G$1501,$A99)</f>
        <v>0</v>
      </c>
      <c r="G99" s="25" t="str">
        <f aca="false">IF($B99=0,"",C99/$B99)</f>
        <v/>
      </c>
      <c r="H99" s="25" t="str">
        <f aca="false">IF($B99=0,"",D99/$B99)</f>
        <v/>
      </c>
      <c r="I99" s="25" t="str">
        <f aca="false">IF($B99=0,"",E99/$B99)</f>
        <v/>
      </c>
      <c r="J99" s="25" t="str">
        <f aca="false">IF($B99=0,"",F99/$B99)</f>
        <v/>
      </c>
      <c r="K99" s="26" t="n">
        <f aca="false">IFERROR(AVERAGEIFS(DONNEES!$O$2:$O$1501,DONNEES!$G$2:$G$1501,$A99),"")</f>
        <v>11.3036363636364</v>
      </c>
    </row>
    <row r="100" customFormat="false" ht="15" hidden="false" customHeight="false" outlineLevel="0" collapsed="false">
      <c r="A100" s="4" t="s">
        <v>1883</v>
      </c>
      <c r="B100" s="4" t="n">
        <f aca="false">COUNTIFS(DONNEES!$H$2:$H$1501,"NOTABLE",DONNEES!$L$2:$L$1501,"Correct",DONNEES!$G$2:$G$1501,$A100)+COUNTIFS(DONNEES!$H$2:$H$1501,"NOTABLE",DONNEES!$L$2:$L$1501,"Pas d’info à tort",DONNEES!$G$2:$G$1501,$A100)+COUNTIFS(DONNEES!$H$2:$H$1501,"NOTABLE",DONNEES!$L$2:$L$1501,"Incorrect",DONNEES!$G$2:$G$1501,$A100)+COUNTIFS(DONNEES!$H$2:$H$1501,"NOTABLE",DONNEES!$L$2:$L$1501,"Hors sujet",DONNEES!$G$2:$G$1501,$A100)</f>
        <v>0</v>
      </c>
      <c r="C100" s="4" t="n">
        <f aca="false">COUNTIFS(DONNEES!$H$2:$H$1501,"NOTABLE",DONNEES!$L$2:$L$1501,"Correct",DONNEES!$G$2:$G$1501,$A100)</f>
        <v>0</v>
      </c>
      <c r="D100" s="4" t="n">
        <f aca="false">COUNTIFS(DONNEES!$H$2:$H$1501,"NOTABLE",DONNEES!$L$2:$L$1501,"Pas d’info à tort",DONNEES!$G$2:$G$1501,$A100)</f>
        <v>0</v>
      </c>
      <c r="E100" s="4" t="n">
        <f aca="false">COUNTIFS(DONNEES!$H$2:$H$1501,"NOTABLE",DONNEES!$L$2:$L$1501,"Incorrect",DONNEES!$G$2:$G$1501,$A100)</f>
        <v>0</v>
      </c>
      <c r="F100" s="4" t="n">
        <f aca="false">COUNTIFS(DONNEES!$H$2:$H$1501,"NOTABLE",DONNEES!$L$2:$L$1501,"Hors sujet",DONNEES!$G$2:$G$1501,$A100)</f>
        <v>0</v>
      </c>
      <c r="G100" s="25" t="str">
        <f aca="false">IF($B100=0,"",C100/$B100)</f>
        <v/>
      </c>
      <c r="H100" s="25" t="str">
        <f aca="false">IF($B100=0,"",D100/$B100)</f>
        <v/>
      </c>
      <c r="I100" s="25" t="str">
        <f aca="false">IF($B100=0,"",E100/$B100)</f>
        <v/>
      </c>
      <c r="J100" s="25" t="str">
        <f aca="false">IF($B100=0,"",F100/$B100)</f>
        <v/>
      </c>
      <c r="K100" s="26" t="n">
        <f aca="false">IFERROR(AVERAGEIFS(DONNEES!$O$2:$O$1501,DONNEES!$G$2:$G$1501,$A100),"")</f>
        <v>15.637</v>
      </c>
    </row>
    <row r="101" customFormat="false" ht="15" hidden="false" customHeight="false" outlineLevel="0" collapsed="false">
      <c r="A101" s="4" t="s">
        <v>1980</v>
      </c>
      <c r="B101" s="4" t="n">
        <f aca="false">COUNTIFS(DONNEES!$H$2:$H$1501,"NOTABLE",DONNEES!$L$2:$L$1501,"Correct",DONNEES!$G$2:$G$1501,$A101)+COUNTIFS(DONNEES!$H$2:$H$1501,"NOTABLE",DONNEES!$L$2:$L$1501,"Pas d’info à tort",DONNEES!$G$2:$G$1501,$A101)+COUNTIFS(DONNEES!$H$2:$H$1501,"NOTABLE",DONNEES!$L$2:$L$1501,"Incorrect",DONNEES!$G$2:$G$1501,$A101)+COUNTIFS(DONNEES!$H$2:$H$1501,"NOTABLE",DONNEES!$L$2:$L$1501,"Hors sujet",DONNEES!$G$2:$G$1501,$A101)</f>
        <v>0</v>
      </c>
      <c r="C101" s="4" t="n">
        <f aca="false">COUNTIFS(DONNEES!$H$2:$H$1501,"NOTABLE",DONNEES!$L$2:$L$1501,"Correct",DONNEES!$G$2:$G$1501,$A101)</f>
        <v>0</v>
      </c>
      <c r="D101" s="4" t="n">
        <f aca="false">COUNTIFS(DONNEES!$H$2:$H$1501,"NOTABLE",DONNEES!$L$2:$L$1501,"Pas d’info à tort",DONNEES!$G$2:$G$1501,$A101)</f>
        <v>0</v>
      </c>
      <c r="E101" s="4" t="n">
        <f aca="false">COUNTIFS(DONNEES!$H$2:$H$1501,"NOTABLE",DONNEES!$L$2:$L$1501,"Incorrect",DONNEES!$G$2:$G$1501,$A101)</f>
        <v>0</v>
      </c>
      <c r="F101" s="4" t="n">
        <f aca="false">COUNTIFS(DONNEES!$H$2:$H$1501,"NOTABLE",DONNEES!$L$2:$L$1501,"Hors sujet",DONNEES!$G$2:$G$1501,$A101)</f>
        <v>0</v>
      </c>
      <c r="G101" s="25" t="str">
        <f aca="false">IF($B101=0,"",C101/$B101)</f>
        <v/>
      </c>
      <c r="H101" s="25" t="str">
        <f aca="false">IF($B101=0,"",D101/$B101)</f>
        <v/>
      </c>
      <c r="I101" s="25" t="str">
        <f aca="false">IF($B101=0,"",E101/$B101)</f>
        <v/>
      </c>
      <c r="J101" s="25" t="str">
        <f aca="false">IF($B101=0,"",F101/$B101)</f>
        <v/>
      </c>
      <c r="K101" s="26" t="n">
        <f aca="false">IFERROR(AVERAGEIFS(DONNEES!$O$2:$O$1501,DONNEES!$G$2:$G$1501,$A101),"")</f>
        <v>10.655</v>
      </c>
    </row>
    <row r="102" customFormat="false" ht="15" hidden="false" customHeight="false" outlineLevel="0" collapsed="false">
      <c r="A102" s="4" t="s">
        <v>1930</v>
      </c>
      <c r="B102" s="4" t="n">
        <f aca="false">COUNTIFS(DONNEES!$H$2:$H$1501,"NOTABLE",DONNEES!$L$2:$L$1501,"Correct",DONNEES!$G$2:$G$1501,$A102)+COUNTIFS(DONNEES!$H$2:$H$1501,"NOTABLE",DONNEES!$L$2:$L$1501,"Pas d’info à tort",DONNEES!$G$2:$G$1501,$A102)+COUNTIFS(DONNEES!$H$2:$H$1501,"NOTABLE",DONNEES!$L$2:$L$1501,"Incorrect",DONNEES!$G$2:$G$1501,$A102)+COUNTIFS(DONNEES!$H$2:$H$1501,"NOTABLE",DONNEES!$L$2:$L$1501,"Hors sujet",DONNEES!$G$2:$G$1501,$A102)</f>
        <v>0</v>
      </c>
      <c r="C102" s="4" t="n">
        <f aca="false">COUNTIFS(DONNEES!$H$2:$H$1501,"NOTABLE",DONNEES!$L$2:$L$1501,"Correct",DONNEES!$G$2:$G$1501,$A102)</f>
        <v>0</v>
      </c>
      <c r="D102" s="4" t="n">
        <f aca="false">COUNTIFS(DONNEES!$H$2:$H$1501,"NOTABLE",DONNEES!$L$2:$L$1501,"Pas d’info à tort",DONNEES!$G$2:$G$1501,$A102)</f>
        <v>0</v>
      </c>
      <c r="E102" s="4" t="n">
        <f aca="false">COUNTIFS(DONNEES!$H$2:$H$1501,"NOTABLE",DONNEES!$L$2:$L$1501,"Incorrect",DONNEES!$G$2:$G$1501,$A102)</f>
        <v>0</v>
      </c>
      <c r="F102" s="4" t="n">
        <f aca="false">COUNTIFS(DONNEES!$H$2:$H$1501,"NOTABLE",DONNEES!$L$2:$L$1501,"Hors sujet",DONNEES!$G$2:$G$1501,$A102)</f>
        <v>0</v>
      </c>
      <c r="G102" s="25" t="str">
        <f aca="false">IF($B102=0,"",C102/$B102)</f>
        <v/>
      </c>
      <c r="H102" s="25" t="str">
        <f aca="false">IF($B102=0,"",D102/$B102)</f>
        <v/>
      </c>
      <c r="I102" s="25" t="str">
        <f aca="false">IF($B102=0,"",E102/$B102)</f>
        <v/>
      </c>
      <c r="J102" s="25" t="str">
        <f aca="false">IF($B102=0,"",F102/$B102)</f>
        <v/>
      </c>
      <c r="K102" s="26" t="n">
        <f aca="false">IFERROR(AVERAGEIFS(DONNEES!$O$2:$O$1501,DONNEES!$G$2:$G$1501,$A102),"")</f>
        <v>13.095</v>
      </c>
    </row>
    <row r="103" customFormat="false" ht="15" hidden="false" customHeight="false" outlineLevel="0" collapsed="false">
      <c r="A103" s="4" t="s">
        <v>639</v>
      </c>
      <c r="B103" s="4" t="n">
        <f aca="false">COUNTIFS(DONNEES!$H$2:$H$1501,"NOTABLE",DONNEES!$L$2:$L$1501,"Correct",DONNEES!$G$2:$G$1501,$A103)+COUNTIFS(DONNEES!$H$2:$H$1501,"NOTABLE",DONNEES!$L$2:$L$1501,"Pas d’info à tort",DONNEES!$G$2:$G$1501,$A103)+COUNTIFS(DONNEES!$H$2:$H$1501,"NOTABLE",DONNEES!$L$2:$L$1501,"Incorrect",DONNEES!$G$2:$G$1501,$A103)+COUNTIFS(DONNEES!$H$2:$H$1501,"NOTABLE",DONNEES!$L$2:$L$1501,"Hors sujet",DONNEES!$G$2:$G$1501,$A103)</f>
        <v>0</v>
      </c>
      <c r="C103" s="4" t="n">
        <f aca="false">COUNTIFS(DONNEES!$H$2:$H$1501,"NOTABLE",DONNEES!$L$2:$L$1501,"Correct",DONNEES!$G$2:$G$1501,$A103)</f>
        <v>0</v>
      </c>
      <c r="D103" s="4" t="n">
        <f aca="false">COUNTIFS(DONNEES!$H$2:$H$1501,"NOTABLE",DONNEES!$L$2:$L$1501,"Pas d’info à tort",DONNEES!$G$2:$G$1501,$A103)</f>
        <v>0</v>
      </c>
      <c r="E103" s="4" t="n">
        <f aca="false">COUNTIFS(DONNEES!$H$2:$H$1501,"NOTABLE",DONNEES!$L$2:$L$1501,"Incorrect",DONNEES!$G$2:$G$1501,$A103)</f>
        <v>0</v>
      </c>
      <c r="F103" s="4" t="n">
        <f aca="false">COUNTIFS(DONNEES!$H$2:$H$1501,"NOTABLE",DONNEES!$L$2:$L$1501,"Hors sujet",DONNEES!$G$2:$G$1501,$A103)</f>
        <v>0</v>
      </c>
      <c r="G103" s="25" t="str">
        <f aca="false">IF($B103=0,"",C103/$B103)</f>
        <v/>
      </c>
      <c r="H103" s="25" t="str">
        <f aca="false">IF($B103=0,"",D103/$B103)</f>
        <v/>
      </c>
      <c r="I103" s="25" t="str">
        <f aca="false">IF($B103=0,"",E103/$B103)</f>
        <v/>
      </c>
      <c r="J103" s="25" t="str">
        <f aca="false">IF($B103=0,"",F103/$B103)</f>
        <v/>
      </c>
      <c r="K103" s="26" t="n">
        <f aca="false">IFERROR(AVERAGEIFS(DONNEES!$O$2:$O$1501,DONNEES!$G$2:$G$1501,$A103),"")</f>
        <v>13.8613333333333</v>
      </c>
    </row>
    <row r="104" customFormat="false" ht="15" hidden="false" customHeight="false" outlineLevel="0" collapsed="false">
      <c r="A104" s="4" t="s">
        <v>2483</v>
      </c>
      <c r="B104" s="4" t="n">
        <f aca="false">COUNTIFS(DONNEES!$H$2:$H$1501,"NOTABLE",DONNEES!$L$2:$L$1501,"Correct",DONNEES!$G$2:$G$1501,$A104)+COUNTIFS(DONNEES!$H$2:$H$1501,"NOTABLE",DONNEES!$L$2:$L$1501,"Pas d’info à tort",DONNEES!$G$2:$G$1501,$A104)+COUNTIFS(DONNEES!$H$2:$H$1501,"NOTABLE",DONNEES!$L$2:$L$1501,"Incorrect",DONNEES!$G$2:$G$1501,$A104)+COUNTIFS(DONNEES!$H$2:$H$1501,"NOTABLE",DONNEES!$L$2:$L$1501,"Hors sujet",DONNEES!$G$2:$G$1501,$A104)</f>
        <v>0</v>
      </c>
      <c r="C104" s="4" t="n">
        <f aca="false">COUNTIFS(DONNEES!$H$2:$H$1501,"NOTABLE",DONNEES!$L$2:$L$1501,"Correct",DONNEES!$G$2:$G$1501,$A104)</f>
        <v>0</v>
      </c>
      <c r="D104" s="4" t="n">
        <f aca="false">COUNTIFS(DONNEES!$H$2:$H$1501,"NOTABLE",DONNEES!$L$2:$L$1501,"Pas d’info à tort",DONNEES!$G$2:$G$1501,$A104)</f>
        <v>0</v>
      </c>
      <c r="E104" s="4" t="n">
        <f aca="false">COUNTIFS(DONNEES!$H$2:$H$1501,"NOTABLE",DONNEES!$L$2:$L$1501,"Incorrect",DONNEES!$G$2:$G$1501,$A104)</f>
        <v>0</v>
      </c>
      <c r="F104" s="4" t="n">
        <f aca="false">COUNTIFS(DONNEES!$H$2:$H$1501,"NOTABLE",DONNEES!$L$2:$L$1501,"Hors sujet",DONNEES!$G$2:$G$1501,$A104)</f>
        <v>0</v>
      </c>
      <c r="G104" s="25" t="str">
        <f aca="false">IF($B104=0,"",C104/$B104)</f>
        <v/>
      </c>
      <c r="H104" s="25" t="str">
        <f aca="false">IF($B104=0,"",D104/$B104)</f>
        <v/>
      </c>
      <c r="I104" s="25" t="str">
        <f aca="false">IF($B104=0,"",E104/$B104)</f>
        <v/>
      </c>
      <c r="J104" s="25" t="str">
        <f aca="false">IF($B104=0,"",F104/$B104)</f>
        <v/>
      </c>
      <c r="K104" s="26" t="n">
        <f aca="false">IFERROR(AVERAGEIFS(DONNEES!$O$2:$O$1501,DONNEES!$G$2:$G$1501,$A104),"")</f>
        <v>12.368</v>
      </c>
    </row>
    <row r="105" customFormat="false" ht="15" hidden="false" customHeight="false" outlineLevel="0" collapsed="false">
      <c r="A105" s="4" t="s">
        <v>380</v>
      </c>
      <c r="B105" s="4" t="n">
        <f aca="false">COUNTIFS(DONNEES!$H$2:$H$1501,"NOTABLE",DONNEES!$L$2:$L$1501,"Correct",DONNEES!$G$2:$G$1501,$A105)+COUNTIFS(DONNEES!$H$2:$H$1501,"NOTABLE",DONNEES!$L$2:$L$1501,"Pas d’info à tort",DONNEES!$G$2:$G$1501,$A105)+COUNTIFS(DONNEES!$H$2:$H$1501,"NOTABLE",DONNEES!$L$2:$L$1501,"Incorrect",DONNEES!$G$2:$G$1501,$A105)+COUNTIFS(DONNEES!$H$2:$H$1501,"NOTABLE",DONNEES!$L$2:$L$1501,"Hors sujet",DONNEES!$G$2:$G$1501,$A105)</f>
        <v>0</v>
      </c>
      <c r="C105" s="4" t="n">
        <f aca="false">COUNTIFS(DONNEES!$H$2:$H$1501,"NOTABLE",DONNEES!$L$2:$L$1501,"Correct",DONNEES!$G$2:$G$1501,$A105)</f>
        <v>0</v>
      </c>
      <c r="D105" s="4" t="n">
        <f aca="false">COUNTIFS(DONNEES!$H$2:$H$1501,"NOTABLE",DONNEES!$L$2:$L$1501,"Pas d’info à tort",DONNEES!$G$2:$G$1501,$A105)</f>
        <v>0</v>
      </c>
      <c r="E105" s="4" t="n">
        <f aca="false">COUNTIFS(DONNEES!$H$2:$H$1501,"NOTABLE",DONNEES!$L$2:$L$1501,"Incorrect",DONNEES!$G$2:$G$1501,$A105)</f>
        <v>0</v>
      </c>
      <c r="F105" s="4" t="n">
        <f aca="false">COUNTIFS(DONNEES!$H$2:$H$1501,"NOTABLE",DONNEES!$L$2:$L$1501,"Hors sujet",DONNEES!$G$2:$G$1501,$A105)</f>
        <v>0</v>
      </c>
      <c r="G105" s="25" t="str">
        <f aca="false">IF($B105=0,"",C105/$B105)</f>
        <v/>
      </c>
      <c r="H105" s="25" t="str">
        <f aca="false">IF($B105=0,"",D105/$B105)</f>
        <v/>
      </c>
      <c r="I105" s="25" t="str">
        <f aca="false">IF($B105=0,"",E105/$B105)</f>
        <v/>
      </c>
      <c r="J105" s="25" t="str">
        <f aca="false">IF($B105=0,"",F105/$B105)</f>
        <v/>
      </c>
      <c r="K105" s="26" t="n">
        <f aca="false">IFERROR(AVERAGEIFS(DONNEES!$O$2:$O$1501,DONNEES!$G$2:$G$1501,$A105),"")</f>
        <v>13.2854545454545</v>
      </c>
    </row>
    <row r="106" customFormat="false" ht="15" hidden="false" customHeight="false" outlineLevel="0" collapsed="false">
      <c r="A106" s="4" t="s">
        <v>1824</v>
      </c>
      <c r="B106" s="4" t="n">
        <f aca="false">COUNTIFS(DONNEES!$H$2:$H$1501,"NOTABLE",DONNEES!$L$2:$L$1501,"Correct",DONNEES!$G$2:$G$1501,$A106)+COUNTIFS(DONNEES!$H$2:$H$1501,"NOTABLE",DONNEES!$L$2:$L$1501,"Pas d’info à tort",DONNEES!$G$2:$G$1501,$A106)+COUNTIFS(DONNEES!$H$2:$H$1501,"NOTABLE",DONNEES!$L$2:$L$1501,"Incorrect",DONNEES!$G$2:$G$1501,$A106)+COUNTIFS(DONNEES!$H$2:$H$1501,"NOTABLE",DONNEES!$L$2:$L$1501,"Hors sujet",DONNEES!$G$2:$G$1501,$A106)</f>
        <v>0</v>
      </c>
      <c r="C106" s="4" t="n">
        <f aca="false">COUNTIFS(DONNEES!$H$2:$H$1501,"NOTABLE",DONNEES!$L$2:$L$1501,"Correct",DONNEES!$G$2:$G$1501,$A106)</f>
        <v>0</v>
      </c>
      <c r="D106" s="4" t="n">
        <f aca="false">COUNTIFS(DONNEES!$H$2:$H$1501,"NOTABLE",DONNEES!$L$2:$L$1501,"Pas d’info à tort",DONNEES!$G$2:$G$1501,$A106)</f>
        <v>0</v>
      </c>
      <c r="E106" s="4" t="n">
        <f aca="false">COUNTIFS(DONNEES!$H$2:$H$1501,"NOTABLE",DONNEES!$L$2:$L$1501,"Incorrect",DONNEES!$G$2:$G$1501,$A106)</f>
        <v>0</v>
      </c>
      <c r="F106" s="4" t="n">
        <f aca="false">COUNTIFS(DONNEES!$H$2:$H$1501,"NOTABLE",DONNEES!$L$2:$L$1501,"Hors sujet",DONNEES!$G$2:$G$1501,$A106)</f>
        <v>0</v>
      </c>
      <c r="G106" s="25" t="str">
        <f aca="false">IF($B106=0,"",C106/$B106)</f>
        <v/>
      </c>
      <c r="H106" s="25" t="str">
        <f aca="false">IF($B106=0,"",D106/$B106)</f>
        <v/>
      </c>
      <c r="I106" s="25" t="str">
        <f aca="false">IF($B106=0,"",E106/$B106)</f>
        <v/>
      </c>
      <c r="J106" s="25" t="str">
        <f aca="false">IF($B106=0,"",F106/$B106)</f>
        <v/>
      </c>
      <c r="K106" s="26" t="n">
        <f aca="false">IFERROR(AVERAGEIFS(DONNEES!$O$2:$O$1501,DONNEES!$G$2:$G$1501,$A106),"")</f>
        <v>16.8166666666667</v>
      </c>
    </row>
  </sheetData>
  <conditionalFormatting sqref="G5:G106">
    <cfRule type="colorScale" priority="2">
      <colorScale>
        <cfvo type="num" val="0.4"/>
        <cfvo type="num" val="0.8"/>
        <cfvo type="num" val="1"/>
        <color rgb="FFF6D5D5"/>
        <color rgb="FFFFFFFF"/>
        <color rgb="FFD9F2E8"/>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3" min="2" style="0" width="9"/>
    <col collapsed="false" customWidth="true" hidden="false" outlineLevel="0" max="4" min="4" style="0" width="13"/>
    <col collapsed="false" customWidth="true" hidden="false" outlineLevel="0" max="5" min="5" style="0" width="11"/>
    <col collapsed="false" customWidth="true" hidden="false" outlineLevel="0" max="7" min="6" style="0" width="10"/>
    <col collapsed="false" customWidth="true" hidden="false" outlineLevel="0" max="8" min="8" style="0" width="11"/>
    <col collapsed="false" customWidth="true" hidden="false" outlineLevel="0" max="9" min="9" style="0" width="9"/>
    <col collapsed="false" customWidth="true" hidden="false" outlineLevel="0" max="10" min="10" style="0" width="10"/>
    <col collapsed="false" customWidth="true" hidden="false" outlineLevel="0" max="11" min="11" style="0" width="11"/>
  </cols>
  <sheetData>
    <row r="1" customFormat="false" ht="18.55" hidden="false" customHeight="false" outlineLevel="0" collapsed="false">
      <c r="A1" s="1" t="s">
        <v>5381</v>
      </c>
    </row>
    <row r="2" customFormat="false" ht="15" hidden="false" customHeight="false" outlineLevel="0" collapsed="false">
      <c r="A2" s="2" t="s">
        <v>5382</v>
      </c>
    </row>
    <row r="4" customFormat="false" ht="23.85" hidden="false" customHeight="false" outlineLevel="0" collapsed="false">
      <c r="A4" s="3" t="s">
        <v>5383</v>
      </c>
      <c r="B4" s="3" t="s">
        <v>5369</v>
      </c>
      <c r="C4" s="3" t="s">
        <v>36</v>
      </c>
      <c r="D4" s="3" t="s">
        <v>5370</v>
      </c>
      <c r="E4" s="3" t="s">
        <v>5371</v>
      </c>
      <c r="F4" s="3" t="s">
        <v>39</v>
      </c>
      <c r="G4" s="3" t="s">
        <v>5372</v>
      </c>
      <c r="H4" s="3" t="s">
        <v>5373</v>
      </c>
      <c r="I4" s="3" t="s">
        <v>5374</v>
      </c>
      <c r="J4" s="3" t="s">
        <v>5375</v>
      </c>
      <c r="K4" s="3" t="s">
        <v>5376</v>
      </c>
    </row>
    <row r="5" customFormat="false" ht="15" hidden="false" customHeight="false" outlineLevel="0" collapsed="false">
      <c r="A5" s="4" t="s">
        <v>1429</v>
      </c>
      <c r="B5" s="4" t="n">
        <f aca="false">COUNTIFS(DONNEES!$H$2:$H$1501,"NOTABLE",DONNEES!$L$2:$L$1501,"Correct",DONNEES!$F$2:$F$1501,$A5)+COUNTIFS(DONNEES!$H$2:$H$1501,"NOTABLE",DONNEES!$L$2:$L$1501,"Pas d’info à tort",DONNEES!$F$2:$F$1501,$A5)+COUNTIFS(DONNEES!$H$2:$H$1501,"NOTABLE",DONNEES!$L$2:$L$1501,"Incorrect",DONNEES!$F$2:$F$1501,$A5)+COUNTIFS(DONNEES!$H$2:$H$1501,"NOTABLE",DONNEES!$L$2:$L$1501,"Hors sujet",DONNEES!$F$2:$F$1501,$A5)</f>
        <v>5</v>
      </c>
      <c r="C5" s="4" t="n">
        <f aca="false">COUNTIFS(DONNEES!$H$2:$H$1501,"NOTABLE",DONNEES!$L$2:$L$1501,"Correct",DONNEES!$F$2:$F$1501,$A5)</f>
        <v>0</v>
      </c>
      <c r="D5" s="4" t="n">
        <f aca="false">COUNTIFS(DONNEES!$H$2:$H$1501,"NOTABLE",DONNEES!$L$2:$L$1501,"Pas d’info à tort",DONNEES!$F$2:$F$1501,$A5)</f>
        <v>5</v>
      </c>
      <c r="E5" s="4" t="n">
        <f aca="false">COUNTIFS(DONNEES!$H$2:$H$1501,"NOTABLE",DONNEES!$L$2:$L$1501,"Incorrect",DONNEES!$F$2:$F$1501,$A5)</f>
        <v>0</v>
      </c>
      <c r="F5" s="4" t="n">
        <f aca="false">COUNTIFS(DONNEES!$H$2:$H$1501,"NOTABLE",DONNEES!$L$2:$L$1501,"Hors sujet",DONNEES!$F$2:$F$1501,$A5)</f>
        <v>0</v>
      </c>
      <c r="G5" s="25" t="n">
        <f aca="false">IF($B5=0,"",C5/$B5)</f>
        <v>0</v>
      </c>
      <c r="H5" s="25" t="n">
        <f aca="false">IF($B5=0,"",D5/$B5)</f>
        <v>1</v>
      </c>
      <c r="I5" s="25" t="n">
        <f aca="false">IF($B5=0,"",E5/$B5)</f>
        <v>0</v>
      </c>
      <c r="J5" s="25" t="n">
        <f aca="false">IF($B5=0,"",F5/$B5)</f>
        <v>0</v>
      </c>
      <c r="K5" s="26" t="n">
        <f aca="false">IFERROR(AVERAGEIFS(DONNEES!$O$2:$O$1501,DONNEES!$F$2:$F$1501,$A5),"")</f>
        <v>14.812</v>
      </c>
    </row>
    <row r="6" customFormat="false" ht="15" hidden="false" customHeight="false" outlineLevel="0" collapsed="false">
      <c r="A6" s="4" t="s">
        <v>2580</v>
      </c>
      <c r="B6" s="4" t="n">
        <f aca="false">COUNTIFS(DONNEES!$H$2:$H$1501,"NOTABLE",DONNEES!$L$2:$L$1501,"Correct",DONNEES!$F$2:$F$1501,$A6)+COUNTIFS(DONNEES!$H$2:$H$1501,"NOTABLE",DONNEES!$L$2:$L$1501,"Pas d’info à tort",DONNEES!$F$2:$F$1501,$A6)+COUNTIFS(DONNEES!$H$2:$H$1501,"NOTABLE",DONNEES!$L$2:$L$1501,"Incorrect",DONNEES!$F$2:$F$1501,$A6)+COUNTIFS(DONNEES!$H$2:$H$1501,"NOTABLE",DONNEES!$L$2:$L$1501,"Hors sujet",DONNEES!$F$2:$F$1501,$A6)</f>
        <v>6</v>
      </c>
      <c r="C6" s="4" t="n">
        <f aca="false">COUNTIFS(DONNEES!$H$2:$H$1501,"NOTABLE",DONNEES!$L$2:$L$1501,"Correct",DONNEES!$F$2:$F$1501,$A6)</f>
        <v>1</v>
      </c>
      <c r="D6" s="4" t="n">
        <f aca="false">COUNTIFS(DONNEES!$H$2:$H$1501,"NOTABLE",DONNEES!$L$2:$L$1501,"Pas d’info à tort",DONNEES!$F$2:$F$1501,$A6)</f>
        <v>5</v>
      </c>
      <c r="E6" s="4" t="n">
        <f aca="false">COUNTIFS(DONNEES!$H$2:$H$1501,"NOTABLE",DONNEES!$L$2:$L$1501,"Incorrect",DONNEES!$F$2:$F$1501,$A6)</f>
        <v>0</v>
      </c>
      <c r="F6" s="4" t="n">
        <f aca="false">COUNTIFS(DONNEES!$H$2:$H$1501,"NOTABLE",DONNEES!$L$2:$L$1501,"Hors sujet",DONNEES!$F$2:$F$1501,$A6)</f>
        <v>0</v>
      </c>
      <c r="G6" s="25" t="n">
        <f aca="false">IF($B6=0,"",C6/$B6)</f>
        <v>0.166666666666667</v>
      </c>
      <c r="H6" s="25" t="n">
        <f aca="false">IF($B6=0,"",D6/$B6)</f>
        <v>0.833333333333333</v>
      </c>
      <c r="I6" s="25" t="n">
        <f aca="false">IF($B6=0,"",E6/$B6)</f>
        <v>0</v>
      </c>
      <c r="J6" s="25" t="n">
        <f aca="false">IF($B6=0,"",F6/$B6)</f>
        <v>0</v>
      </c>
      <c r="K6" s="26" t="n">
        <f aca="false">IFERROR(AVERAGEIFS(DONNEES!$O$2:$O$1501,DONNEES!$F$2:$F$1501,$A6),"")</f>
        <v>15.9257142857143</v>
      </c>
    </row>
    <row r="7" customFormat="false" ht="15" hidden="false" customHeight="false" outlineLevel="0" collapsed="false">
      <c r="A7" s="4" t="s">
        <v>3153</v>
      </c>
      <c r="B7" s="4" t="n">
        <f aca="false">COUNTIFS(DONNEES!$H$2:$H$1501,"NOTABLE",DONNEES!$L$2:$L$1501,"Correct",DONNEES!$F$2:$F$1501,$A7)+COUNTIFS(DONNEES!$H$2:$H$1501,"NOTABLE",DONNEES!$L$2:$L$1501,"Pas d’info à tort",DONNEES!$F$2:$F$1501,$A7)+COUNTIFS(DONNEES!$H$2:$H$1501,"NOTABLE",DONNEES!$L$2:$L$1501,"Incorrect",DONNEES!$F$2:$F$1501,$A7)+COUNTIFS(DONNEES!$H$2:$H$1501,"NOTABLE",DONNEES!$L$2:$L$1501,"Hors sujet",DONNEES!$F$2:$F$1501,$A7)</f>
        <v>6</v>
      </c>
      <c r="C7" s="4" t="n">
        <f aca="false">COUNTIFS(DONNEES!$H$2:$H$1501,"NOTABLE",DONNEES!$L$2:$L$1501,"Correct",DONNEES!$F$2:$F$1501,$A7)</f>
        <v>1</v>
      </c>
      <c r="D7" s="4" t="n">
        <f aca="false">COUNTIFS(DONNEES!$H$2:$H$1501,"NOTABLE",DONNEES!$L$2:$L$1501,"Pas d’info à tort",DONNEES!$F$2:$F$1501,$A7)</f>
        <v>5</v>
      </c>
      <c r="E7" s="4" t="n">
        <f aca="false">COUNTIFS(DONNEES!$H$2:$H$1501,"NOTABLE",DONNEES!$L$2:$L$1501,"Incorrect",DONNEES!$F$2:$F$1501,$A7)</f>
        <v>0</v>
      </c>
      <c r="F7" s="4" t="n">
        <f aca="false">COUNTIFS(DONNEES!$H$2:$H$1501,"NOTABLE",DONNEES!$L$2:$L$1501,"Hors sujet",DONNEES!$F$2:$F$1501,$A7)</f>
        <v>0</v>
      </c>
      <c r="G7" s="25" t="n">
        <f aca="false">IF($B7=0,"",C7/$B7)</f>
        <v>0.166666666666667</v>
      </c>
      <c r="H7" s="25" t="n">
        <f aca="false">IF($B7=0,"",D7/$B7)</f>
        <v>0.833333333333333</v>
      </c>
      <c r="I7" s="25" t="n">
        <f aca="false">IF($B7=0,"",E7/$B7)</f>
        <v>0</v>
      </c>
      <c r="J7" s="25" t="n">
        <f aca="false">IF($B7=0,"",F7/$B7)</f>
        <v>0</v>
      </c>
      <c r="K7" s="26" t="n">
        <f aca="false">IFERROR(AVERAGEIFS(DONNEES!$O$2:$O$1501,DONNEES!$F$2:$F$1501,$A7),"")</f>
        <v>14.2885714285714</v>
      </c>
    </row>
    <row r="8" customFormat="false" ht="15" hidden="false" customHeight="false" outlineLevel="0" collapsed="false">
      <c r="A8" s="4" t="s">
        <v>3625</v>
      </c>
      <c r="B8" s="4" t="n">
        <f aca="false">COUNTIFS(DONNEES!$H$2:$H$1501,"NOTABLE",DONNEES!$L$2:$L$1501,"Correct",DONNEES!$F$2:$F$1501,$A8)+COUNTIFS(DONNEES!$H$2:$H$1501,"NOTABLE",DONNEES!$L$2:$L$1501,"Pas d’info à tort",DONNEES!$F$2:$F$1501,$A8)+COUNTIFS(DONNEES!$H$2:$H$1501,"NOTABLE",DONNEES!$L$2:$L$1501,"Incorrect",DONNEES!$F$2:$F$1501,$A8)+COUNTIFS(DONNEES!$H$2:$H$1501,"NOTABLE",DONNEES!$L$2:$L$1501,"Hors sujet",DONNEES!$F$2:$F$1501,$A8)</f>
        <v>5</v>
      </c>
      <c r="C8" s="4" t="n">
        <f aca="false">COUNTIFS(DONNEES!$H$2:$H$1501,"NOTABLE",DONNEES!$L$2:$L$1501,"Correct",DONNEES!$F$2:$F$1501,$A8)</f>
        <v>1</v>
      </c>
      <c r="D8" s="4" t="n">
        <f aca="false">COUNTIFS(DONNEES!$H$2:$H$1501,"NOTABLE",DONNEES!$L$2:$L$1501,"Pas d’info à tort",DONNEES!$F$2:$F$1501,$A8)</f>
        <v>3</v>
      </c>
      <c r="E8" s="4" t="n">
        <f aca="false">COUNTIFS(DONNEES!$H$2:$H$1501,"NOTABLE",DONNEES!$L$2:$L$1501,"Incorrect",DONNEES!$F$2:$F$1501,$A8)</f>
        <v>1</v>
      </c>
      <c r="F8" s="4" t="n">
        <f aca="false">COUNTIFS(DONNEES!$H$2:$H$1501,"NOTABLE",DONNEES!$L$2:$L$1501,"Hors sujet",DONNEES!$F$2:$F$1501,$A8)</f>
        <v>0</v>
      </c>
      <c r="G8" s="25" t="n">
        <f aca="false">IF($B8=0,"",C8/$B8)</f>
        <v>0.2</v>
      </c>
      <c r="H8" s="25" t="n">
        <f aca="false">IF($B8=0,"",D8/$B8)</f>
        <v>0.6</v>
      </c>
      <c r="I8" s="25" t="n">
        <f aca="false">IF($B8=0,"",E8/$B8)</f>
        <v>0.2</v>
      </c>
      <c r="J8" s="25" t="n">
        <f aca="false">IF($B8=0,"",F8/$B8)</f>
        <v>0</v>
      </c>
      <c r="K8" s="26" t="n">
        <f aca="false">IFERROR(AVERAGEIFS(DONNEES!$O$2:$O$1501,DONNEES!$F$2:$F$1501,$A8),"")</f>
        <v>11.474</v>
      </c>
    </row>
    <row r="9" customFormat="false" ht="15" hidden="false" customHeight="false" outlineLevel="0" collapsed="false">
      <c r="A9" s="4" t="s">
        <v>2269</v>
      </c>
      <c r="B9" s="4" t="n">
        <f aca="false">COUNTIFS(DONNEES!$H$2:$H$1501,"NOTABLE",DONNEES!$L$2:$L$1501,"Correct",DONNEES!$F$2:$F$1501,$A9)+COUNTIFS(DONNEES!$H$2:$H$1501,"NOTABLE",DONNEES!$L$2:$L$1501,"Pas d’info à tort",DONNEES!$F$2:$F$1501,$A9)+COUNTIFS(DONNEES!$H$2:$H$1501,"NOTABLE",DONNEES!$L$2:$L$1501,"Incorrect",DONNEES!$F$2:$F$1501,$A9)+COUNTIFS(DONNEES!$H$2:$H$1501,"NOTABLE",DONNEES!$L$2:$L$1501,"Hors sujet",DONNEES!$F$2:$F$1501,$A9)</f>
        <v>6</v>
      </c>
      <c r="C9" s="4" t="n">
        <f aca="false">COUNTIFS(DONNEES!$H$2:$H$1501,"NOTABLE",DONNEES!$L$2:$L$1501,"Correct",DONNEES!$F$2:$F$1501,$A9)</f>
        <v>2</v>
      </c>
      <c r="D9" s="4" t="n">
        <f aca="false">COUNTIFS(DONNEES!$H$2:$H$1501,"NOTABLE",DONNEES!$L$2:$L$1501,"Pas d’info à tort",DONNEES!$F$2:$F$1501,$A9)</f>
        <v>4</v>
      </c>
      <c r="E9" s="4" t="n">
        <f aca="false">COUNTIFS(DONNEES!$H$2:$H$1501,"NOTABLE",DONNEES!$L$2:$L$1501,"Incorrect",DONNEES!$F$2:$F$1501,$A9)</f>
        <v>0</v>
      </c>
      <c r="F9" s="4" t="n">
        <f aca="false">COUNTIFS(DONNEES!$H$2:$H$1501,"NOTABLE",DONNEES!$L$2:$L$1501,"Hors sujet",DONNEES!$F$2:$F$1501,$A9)</f>
        <v>0</v>
      </c>
      <c r="G9" s="25" t="n">
        <f aca="false">IF($B9=0,"",C9/$B9)</f>
        <v>0.333333333333333</v>
      </c>
      <c r="H9" s="25" t="n">
        <f aca="false">IF($B9=0,"",D9/$B9)</f>
        <v>0.666666666666667</v>
      </c>
      <c r="I9" s="25" t="n">
        <f aca="false">IF($B9=0,"",E9/$B9)</f>
        <v>0</v>
      </c>
      <c r="J9" s="25" t="n">
        <f aca="false">IF($B9=0,"",F9/$B9)</f>
        <v>0</v>
      </c>
      <c r="K9" s="26" t="n">
        <f aca="false">IFERROR(AVERAGEIFS(DONNEES!$O$2:$O$1501,DONNEES!$F$2:$F$1501,$A9),"")</f>
        <v>18.4742857142857</v>
      </c>
    </row>
    <row r="10" customFormat="false" ht="15" hidden="false" customHeight="false" outlineLevel="0" collapsed="false">
      <c r="A10" s="4" t="s">
        <v>816</v>
      </c>
      <c r="B10" s="4" t="n">
        <f aca="false">COUNTIFS(DONNEES!$H$2:$H$1501,"NOTABLE",DONNEES!$L$2:$L$1501,"Correct",DONNEES!$F$2:$F$1501,$A10)+COUNTIFS(DONNEES!$H$2:$H$1501,"NOTABLE",DONNEES!$L$2:$L$1501,"Pas d’info à tort",DONNEES!$F$2:$F$1501,$A10)+COUNTIFS(DONNEES!$H$2:$H$1501,"NOTABLE",DONNEES!$L$2:$L$1501,"Incorrect",DONNEES!$F$2:$F$1501,$A10)+COUNTIFS(DONNEES!$H$2:$H$1501,"NOTABLE",DONNEES!$L$2:$L$1501,"Hors sujet",DONNEES!$F$2:$F$1501,$A10)</f>
        <v>26</v>
      </c>
      <c r="C10" s="4" t="n">
        <f aca="false">COUNTIFS(DONNEES!$H$2:$H$1501,"NOTABLE",DONNEES!$L$2:$L$1501,"Correct",DONNEES!$F$2:$F$1501,$A10)</f>
        <v>10</v>
      </c>
      <c r="D10" s="4" t="n">
        <f aca="false">COUNTIFS(DONNEES!$H$2:$H$1501,"NOTABLE",DONNEES!$L$2:$L$1501,"Pas d’info à tort",DONNEES!$F$2:$F$1501,$A10)</f>
        <v>4</v>
      </c>
      <c r="E10" s="4" t="n">
        <f aca="false">COUNTIFS(DONNEES!$H$2:$H$1501,"NOTABLE",DONNEES!$L$2:$L$1501,"Incorrect",DONNEES!$F$2:$F$1501,$A10)</f>
        <v>12</v>
      </c>
      <c r="F10" s="4" t="n">
        <f aca="false">COUNTIFS(DONNEES!$H$2:$H$1501,"NOTABLE",DONNEES!$L$2:$L$1501,"Hors sujet",DONNEES!$F$2:$F$1501,$A10)</f>
        <v>0</v>
      </c>
      <c r="G10" s="25" t="n">
        <f aca="false">IF($B10=0,"",C10/$B10)</f>
        <v>0.384615384615385</v>
      </c>
      <c r="H10" s="25" t="n">
        <f aca="false">IF($B10=0,"",D10/$B10)</f>
        <v>0.153846153846154</v>
      </c>
      <c r="I10" s="25" t="n">
        <f aca="false">IF($B10=0,"",E10/$B10)</f>
        <v>0.461538461538462</v>
      </c>
      <c r="J10" s="25" t="n">
        <f aca="false">IF($B10=0,"",F10/$B10)</f>
        <v>0</v>
      </c>
      <c r="K10" s="26" t="n">
        <f aca="false">IFERROR(AVERAGEIFS(DONNEES!$O$2:$O$1501,DONNEES!$F$2:$F$1501,$A10),"")</f>
        <v>21.8411111111111</v>
      </c>
    </row>
    <row r="11" customFormat="false" ht="15" hidden="false" customHeight="false" outlineLevel="0" collapsed="false">
      <c r="A11" s="4" t="s">
        <v>680</v>
      </c>
      <c r="B11" s="4" t="n">
        <f aca="false">COUNTIFS(DONNEES!$H$2:$H$1501,"NOTABLE",DONNEES!$L$2:$L$1501,"Correct",DONNEES!$F$2:$F$1501,$A11)+COUNTIFS(DONNEES!$H$2:$H$1501,"NOTABLE",DONNEES!$L$2:$L$1501,"Pas d’info à tort",DONNEES!$F$2:$F$1501,$A11)+COUNTIFS(DONNEES!$H$2:$H$1501,"NOTABLE",DONNEES!$L$2:$L$1501,"Incorrect",DONNEES!$F$2:$F$1501,$A11)+COUNTIFS(DONNEES!$H$2:$H$1501,"NOTABLE",DONNEES!$L$2:$L$1501,"Hors sujet",DONNEES!$F$2:$F$1501,$A11)</f>
        <v>5</v>
      </c>
      <c r="C11" s="4" t="n">
        <f aca="false">COUNTIFS(DONNEES!$H$2:$H$1501,"NOTABLE",DONNEES!$L$2:$L$1501,"Correct",DONNEES!$F$2:$F$1501,$A11)</f>
        <v>2</v>
      </c>
      <c r="D11" s="4" t="n">
        <f aca="false">COUNTIFS(DONNEES!$H$2:$H$1501,"NOTABLE",DONNEES!$L$2:$L$1501,"Pas d’info à tort",DONNEES!$F$2:$F$1501,$A11)</f>
        <v>2</v>
      </c>
      <c r="E11" s="4" t="n">
        <f aca="false">COUNTIFS(DONNEES!$H$2:$H$1501,"NOTABLE",DONNEES!$L$2:$L$1501,"Incorrect",DONNEES!$F$2:$F$1501,$A11)</f>
        <v>0</v>
      </c>
      <c r="F11" s="4" t="n">
        <f aca="false">COUNTIFS(DONNEES!$H$2:$H$1501,"NOTABLE",DONNEES!$L$2:$L$1501,"Hors sujet",DONNEES!$F$2:$F$1501,$A11)</f>
        <v>1</v>
      </c>
      <c r="G11" s="25" t="n">
        <f aca="false">IF($B11=0,"",C11/$B11)</f>
        <v>0.4</v>
      </c>
      <c r="H11" s="25" t="n">
        <f aca="false">IF($B11=0,"",D11/$B11)</f>
        <v>0.4</v>
      </c>
      <c r="I11" s="25" t="n">
        <f aca="false">IF($B11=0,"",E11/$B11)</f>
        <v>0</v>
      </c>
      <c r="J11" s="25" t="n">
        <f aca="false">IF($B11=0,"",F11/$B11)</f>
        <v>0.2</v>
      </c>
      <c r="K11" s="26" t="n">
        <f aca="false">IFERROR(AVERAGEIFS(DONNEES!$O$2:$O$1501,DONNEES!$F$2:$F$1501,$A11),"")</f>
        <v>17.506</v>
      </c>
    </row>
    <row r="12" customFormat="false" ht="15" hidden="false" customHeight="false" outlineLevel="0" collapsed="false">
      <c r="A12" s="4" t="s">
        <v>3146</v>
      </c>
      <c r="B12" s="4" t="n">
        <f aca="false">COUNTIFS(DONNEES!$H$2:$H$1501,"NOTABLE",DONNEES!$L$2:$L$1501,"Correct",DONNEES!$F$2:$F$1501,$A12)+COUNTIFS(DONNEES!$H$2:$H$1501,"NOTABLE",DONNEES!$L$2:$L$1501,"Pas d’info à tort",DONNEES!$F$2:$F$1501,$A12)+COUNTIFS(DONNEES!$H$2:$H$1501,"NOTABLE",DONNEES!$L$2:$L$1501,"Incorrect",DONNEES!$F$2:$F$1501,$A12)+COUNTIFS(DONNEES!$H$2:$H$1501,"NOTABLE",DONNEES!$L$2:$L$1501,"Hors sujet",DONNEES!$F$2:$F$1501,$A12)</f>
        <v>5</v>
      </c>
      <c r="C12" s="4" t="n">
        <f aca="false">COUNTIFS(DONNEES!$H$2:$H$1501,"NOTABLE",DONNEES!$L$2:$L$1501,"Correct",DONNEES!$F$2:$F$1501,$A12)</f>
        <v>2</v>
      </c>
      <c r="D12" s="4" t="n">
        <f aca="false">COUNTIFS(DONNEES!$H$2:$H$1501,"NOTABLE",DONNEES!$L$2:$L$1501,"Pas d’info à tort",DONNEES!$F$2:$F$1501,$A12)</f>
        <v>3</v>
      </c>
      <c r="E12" s="4" t="n">
        <f aca="false">COUNTIFS(DONNEES!$H$2:$H$1501,"NOTABLE",DONNEES!$L$2:$L$1501,"Incorrect",DONNEES!$F$2:$F$1501,$A12)</f>
        <v>0</v>
      </c>
      <c r="F12" s="4" t="n">
        <f aca="false">COUNTIFS(DONNEES!$H$2:$H$1501,"NOTABLE",DONNEES!$L$2:$L$1501,"Hors sujet",DONNEES!$F$2:$F$1501,$A12)</f>
        <v>0</v>
      </c>
      <c r="G12" s="25" t="n">
        <f aca="false">IF($B12=0,"",C12/$B12)</f>
        <v>0.4</v>
      </c>
      <c r="H12" s="25" t="n">
        <f aca="false">IF($B12=0,"",D12/$B12)</f>
        <v>0.6</v>
      </c>
      <c r="I12" s="25" t="n">
        <f aca="false">IF($B12=0,"",E12/$B12)</f>
        <v>0</v>
      </c>
      <c r="J12" s="25" t="n">
        <f aca="false">IF($B12=0,"",F12/$B12)</f>
        <v>0</v>
      </c>
      <c r="K12" s="26" t="n">
        <f aca="false">IFERROR(AVERAGEIFS(DONNEES!$O$2:$O$1501,DONNEES!$F$2:$F$1501,$A12),"")</f>
        <v>23.4</v>
      </c>
    </row>
    <row r="13" customFormat="false" ht="15" hidden="false" customHeight="false" outlineLevel="0" collapsed="false">
      <c r="A13" s="4" t="s">
        <v>3446</v>
      </c>
      <c r="B13" s="4" t="n">
        <f aca="false">COUNTIFS(DONNEES!$H$2:$H$1501,"NOTABLE",DONNEES!$L$2:$L$1501,"Correct",DONNEES!$F$2:$F$1501,$A13)+COUNTIFS(DONNEES!$H$2:$H$1501,"NOTABLE",DONNEES!$L$2:$L$1501,"Pas d’info à tort",DONNEES!$F$2:$F$1501,$A13)+COUNTIFS(DONNEES!$H$2:$H$1501,"NOTABLE",DONNEES!$L$2:$L$1501,"Incorrect",DONNEES!$F$2:$F$1501,$A13)+COUNTIFS(DONNEES!$H$2:$H$1501,"NOTABLE",DONNEES!$L$2:$L$1501,"Hors sujet",DONNEES!$F$2:$F$1501,$A13)</f>
        <v>5</v>
      </c>
      <c r="C13" s="4" t="n">
        <f aca="false">COUNTIFS(DONNEES!$H$2:$H$1501,"NOTABLE",DONNEES!$L$2:$L$1501,"Correct",DONNEES!$F$2:$F$1501,$A13)</f>
        <v>2</v>
      </c>
      <c r="D13" s="4" t="n">
        <f aca="false">COUNTIFS(DONNEES!$H$2:$H$1501,"NOTABLE",DONNEES!$L$2:$L$1501,"Pas d’info à tort",DONNEES!$F$2:$F$1501,$A13)</f>
        <v>3</v>
      </c>
      <c r="E13" s="4" t="n">
        <f aca="false">COUNTIFS(DONNEES!$H$2:$H$1501,"NOTABLE",DONNEES!$L$2:$L$1501,"Incorrect",DONNEES!$F$2:$F$1501,$A13)</f>
        <v>0</v>
      </c>
      <c r="F13" s="4" t="n">
        <f aca="false">COUNTIFS(DONNEES!$H$2:$H$1501,"NOTABLE",DONNEES!$L$2:$L$1501,"Hors sujet",DONNEES!$F$2:$F$1501,$A13)</f>
        <v>0</v>
      </c>
      <c r="G13" s="25" t="n">
        <f aca="false">IF($B13=0,"",C13/$B13)</f>
        <v>0.4</v>
      </c>
      <c r="H13" s="25" t="n">
        <f aca="false">IF($B13=0,"",D13/$B13)</f>
        <v>0.6</v>
      </c>
      <c r="I13" s="25" t="n">
        <f aca="false">IF($B13=0,"",E13/$B13)</f>
        <v>0</v>
      </c>
      <c r="J13" s="25" t="n">
        <f aca="false">IF($B13=0,"",F13/$B13)</f>
        <v>0</v>
      </c>
      <c r="K13" s="26" t="n">
        <f aca="false">IFERROR(AVERAGEIFS(DONNEES!$O$2:$O$1501,DONNEES!$F$2:$F$1501,$A13),"")</f>
        <v>13.182</v>
      </c>
    </row>
    <row r="14" customFormat="false" ht="15" hidden="false" customHeight="false" outlineLevel="0" collapsed="false">
      <c r="A14" s="4" t="s">
        <v>1615</v>
      </c>
      <c r="B14" s="4" t="n">
        <f aca="false">COUNTIFS(DONNEES!$H$2:$H$1501,"NOTABLE",DONNEES!$L$2:$L$1501,"Correct",DONNEES!$F$2:$F$1501,$A14)+COUNTIFS(DONNEES!$H$2:$H$1501,"NOTABLE",DONNEES!$L$2:$L$1501,"Pas d’info à tort",DONNEES!$F$2:$F$1501,$A14)+COUNTIFS(DONNEES!$H$2:$H$1501,"NOTABLE",DONNEES!$L$2:$L$1501,"Incorrect",DONNEES!$F$2:$F$1501,$A14)+COUNTIFS(DONNEES!$H$2:$H$1501,"NOTABLE",DONNEES!$L$2:$L$1501,"Hors sujet",DONNEES!$F$2:$F$1501,$A14)</f>
        <v>15</v>
      </c>
      <c r="C14" s="4" t="n">
        <f aca="false">COUNTIFS(DONNEES!$H$2:$H$1501,"NOTABLE",DONNEES!$L$2:$L$1501,"Correct",DONNEES!$F$2:$F$1501,$A14)</f>
        <v>9</v>
      </c>
      <c r="D14" s="4" t="n">
        <f aca="false">COUNTIFS(DONNEES!$H$2:$H$1501,"NOTABLE",DONNEES!$L$2:$L$1501,"Pas d’info à tort",DONNEES!$F$2:$F$1501,$A14)</f>
        <v>2</v>
      </c>
      <c r="E14" s="4" t="n">
        <f aca="false">COUNTIFS(DONNEES!$H$2:$H$1501,"NOTABLE",DONNEES!$L$2:$L$1501,"Incorrect",DONNEES!$F$2:$F$1501,$A14)</f>
        <v>4</v>
      </c>
      <c r="F14" s="4" t="n">
        <f aca="false">COUNTIFS(DONNEES!$H$2:$H$1501,"NOTABLE",DONNEES!$L$2:$L$1501,"Hors sujet",DONNEES!$F$2:$F$1501,$A14)</f>
        <v>0</v>
      </c>
      <c r="G14" s="25" t="n">
        <f aca="false">IF($B14=0,"",C14/$B14)</f>
        <v>0.6</v>
      </c>
      <c r="H14" s="25" t="n">
        <f aca="false">IF($B14=0,"",D14/$B14)</f>
        <v>0.133333333333333</v>
      </c>
      <c r="I14" s="25" t="n">
        <f aca="false">IF($B14=0,"",E14/$B14)</f>
        <v>0.266666666666667</v>
      </c>
      <c r="J14" s="25" t="n">
        <f aca="false">IF($B14=0,"",F14/$B14)</f>
        <v>0</v>
      </c>
      <c r="K14" s="26" t="n">
        <f aca="false">IFERROR(AVERAGEIFS(DONNEES!$O$2:$O$1501,DONNEES!$F$2:$F$1501,$A14),"")</f>
        <v>31.66</v>
      </c>
    </row>
    <row r="15" customFormat="false" ht="15" hidden="false" customHeight="false" outlineLevel="0" collapsed="false">
      <c r="A15" s="4" t="s">
        <v>3796</v>
      </c>
      <c r="B15" s="4" t="n">
        <f aca="false">COUNTIFS(DONNEES!$H$2:$H$1501,"NOTABLE",DONNEES!$L$2:$L$1501,"Correct",DONNEES!$F$2:$F$1501,$A15)+COUNTIFS(DONNEES!$H$2:$H$1501,"NOTABLE",DONNEES!$L$2:$L$1501,"Pas d’info à tort",DONNEES!$F$2:$F$1501,$A15)+COUNTIFS(DONNEES!$H$2:$H$1501,"NOTABLE",DONNEES!$L$2:$L$1501,"Incorrect",DONNEES!$F$2:$F$1501,$A15)+COUNTIFS(DONNEES!$H$2:$H$1501,"NOTABLE",DONNEES!$L$2:$L$1501,"Hors sujet",DONNEES!$F$2:$F$1501,$A15)</f>
        <v>5</v>
      </c>
      <c r="C15" s="4" t="n">
        <f aca="false">COUNTIFS(DONNEES!$H$2:$H$1501,"NOTABLE",DONNEES!$L$2:$L$1501,"Correct",DONNEES!$F$2:$F$1501,$A15)</f>
        <v>3</v>
      </c>
      <c r="D15" s="4" t="n">
        <f aca="false">COUNTIFS(DONNEES!$H$2:$H$1501,"NOTABLE",DONNEES!$L$2:$L$1501,"Pas d’info à tort",DONNEES!$F$2:$F$1501,$A15)</f>
        <v>0</v>
      </c>
      <c r="E15" s="4" t="n">
        <f aca="false">COUNTIFS(DONNEES!$H$2:$H$1501,"NOTABLE",DONNEES!$L$2:$L$1501,"Incorrect",DONNEES!$F$2:$F$1501,$A15)</f>
        <v>2</v>
      </c>
      <c r="F15" s="4" t="n">
        <f aca="false">COUNTIFS(DONNEES!$H$2:$H$1501,"NOTABLE",DONNEES!$L$2:$L$1501,"Hors sujet",DONNEES!$F$2:$F$1501,$A15)</f>
        <v>0</v>
      </c>
      <c r="G15" s="25" t="n">
        <f aca="false">IF($B15=0,"",C15/$B15)</f>
        <v>0.6</v>
      </c>
      <c r="H15" s="25" t="n">
        <f aca="false">IF($B15=0,"",D15/$B15)</f>
        <v>0</v>
      </c>
      <c r="I15" s="25" t="n">
        <f aca="false">IF($B15=0,"",E15/$B15)</f>
        <v>0.4</v>
      </c>
      <c r="J15" s="25" t="n">
        <f aca="false">IF($B15=0,"",F15/$B15)</f>
        <v>0</v>
      </c>
      <c r="K15" s="26" t="n">
        <f aca="false">IFERROR(AVERAGEIFS(DONNEES!$O$2:$O$1501,DONNEES!$F$2:$F$1501,$A15),"")</f>
        <v>17.644</v>
      </c>
    </row>
    <row r="16" customFormat="false" ht="15" hidden="false" customHeight="false" outlineLevel="0" collapsed="false">
      <c r="A16" s="4" t="s">
        <v>3081</v>
      </c>
      <c r="B16" s="4" t="n">
        <f aca="false">COUNTIFS(DONNEES!$H$2:$H$1501,"NOTABLE",DONNEES!$L$2:$L$1501,"Correct",DONNEES!$F$2:$F$1501,$A16)+COUNTIFS(DONNEES!$H$2:$H$1501,"NOTABLE",DONNEES!$L$2:$L$1501,"Pas d’info à tort",DONNEES!$F$2:$F$1501,$A16)+COUNTIFS(DONNEES!$H$2:$H$1501,"NOTABLE",DONNEES!$L$2:$L$1501,"Incorrect",DONNEES!$F$2:$F$1501,$A16)+COUNTIFS(DONNEES!$H$2:$H$1501,"NOTABLE",DONNEES!$L$2:$L$1501,"Hors sujet",DONNEES!$F$2:$F$1501,$A16)</f>
        <v>5</v>
      </c>
      <c r="C16" s="4" t="n">
        <f aca="false">COUNTIFS(DONNEES!$H$2:$H$1501,"NOTABLE",DONNEES!$L$2:$L$1501,"Correct",DONNEES!$F$2:$F$1501,$A16)</f>
        <v>3</v>
      </c>
      <c r="D16" s="4" t="n">
        <f aca="false">COUNTIFS(DONNEES!$H$2:$H$1501,"NOTABLE",DONNEES!$L$2:$L$1501,"Pas d’info à tort",DONNEES!$F$2:$F$1501,$A16)</f>
        <v>0</v>
      </c>
      <c r="E16" s="4" t="n">
        <f aca="false">COUNTIFS(DONNEES!$H$2:$H$1501,"NOTABLE",DONNEES!$L$2:$L$1501,"Incorrect",DONNEES!$F$2:$F$1501,$A16)</f>
        <v>0</v>
      </c>
      <c r="F16" s="4" t="n">
        <f aca="false">COUNTIFS(DONNEES!$H$2:$H$1501,"NOTABLE",DONNEES!$L$2:$L$1501,"Hors sujet",DONNEES!$F$2:$F$1501,$A16)</f>
        <v>2</v>
      </c>
      <c r="G16" s="25" t="n">
        <f aca="false">IF($B16=0,"",C16/$B16)</f>
        <v>0.6</v>
      </c>
      <c r="H16" s="25" t="n">
        <f aca="false">IF($B16=0,"",D16/$B16)</f>
        <v>0</v>
      </c>
      <c r="I16" s="25" t="n">
        <f aca="false">IF($B16=0,"",E16/$B16)</f>
        <v>0</v>
      </c>
      <c r="J16" s="25" t="n">
        <f aca="false">IF($B16=0,"",F16/$B16)</f>
        <v>0.4</v>
      </c>
      <c r="K16" s="26" t="n">
        <f aca="false">IFERROR(AVERAGEIFS(DONNEES!$O$2:$O$1501,DONNEES!$F$2:$F$1501,$A16),"")</f>
        <v>11.358</v>
      </c>
    </row>
    <row r="17" customFormat="false" ht="15" hidden="false" customHeight="false" outlineLevel="0" collapsed="false">
      <c r="A17" s="4" t="s">
        <v>2789</v>
      </c>
      <c r="B17" s="4" t="n">
        <f aca="false">COUNTIFS(DONNEES!$H$2:$H$1501,"NOTABLE",DONNEES!$L$2:$L$1501,"Correct",DONNEES!$F$2:$F$1501,$A17)+COUNTIFS(DONNEES!$H$2:$H$1501,"NOTABLE",DONNEES!$L$2:$L$1501,"Pas d’info à tort",DONNEES!$F$2:$F$1501,$A17)+COUNTIFS(DONNEES!$H$2:$H$1501,"NOTABLE",DONNEES!$L$2:$L$1501,"Incorrect",DONNEES!$F$2:$F$1501,$A17)+COUNTIFS(DONNEES!$H$2:$H$1501,"NOTABLE",DONNEES!$L$2:$L$1501,"Hors sujet",DONNEES!$F$2:$F$1501,$A17)</f>
        <v>5</v>
      </c>
      <c r="C17" s="4" t="n">
        <f aca="false">COUNTIFS(DONNEES!$H$2:$H$1501,"NOTABLE",DONNEES!$L$2:$L$1501,"Correct",DONNEES!$F$2:$F$1501,$A17)</f>
        <v>3</v>
      </c>
      <c r="D17" s="4" t="n">
        <f aca="false">COUNTIFS(DONNEES!$H$2:$H$1501,"NOTABLE",DONNEES!$L$2:$L$1501,"Pas d’info à tort",DONNEES!$F$2:$F$1501,$A17)</f>
        <v>2</v>
      </c>
      <c r="E17" s="4" t="n">
        <f aca="false">COUNTIFS(DONNEES!$H$2:$H$1501,"NOTABLE",DONNEES!$L$2:$L$1501,"Incorrect",DONNEES!$F$2:$F$1501,$A17)</f>
        <v>0</v>
      </c>
      <c r="F17" s="4" t="n">
        <f aca="false">COUNTIFS(DONNEES!$H$2:$H$1501,"NOTABLE",DONNEES!$L$2:$L$1501,"Hors sujet",DONNEES!$F$2:$F$1501,$A17)</f>
        <v>0</v>
      </c>
      <c r="G17" s="25" t="n">
        <f aca="false">IF($B17=0,"",C17/$B17)</f>
        <v>0.6</v>
      </c>
      <c r="H17" s="25" t="n">
        <f aca="false">IF($B17=0,"",D17/$B17)</f>
        <v>0.4</v>
      </c>
      <c r="I17" s="25" t="n">
        <f aca="false">IF($B17=0,"",E17/$B17)</f>
        <v>0</v>
      </c>
      <c r="J17" s="25" t="n">
        <f aca="false">IF($B17=0,"",F17/$B17)</f>
        <v>0</v>
      </c>
      <c r="K17" s="26" t="n">
        <f aca="false">IFERROR(AVERAGEIFS(DONNEES!$O$2:$O$1501,DONNEES!$F$2:$F$1501,$A17),"")</f>
        <v>16.718</v>
      </c>
    </row>
    <row r="18" customFormat="false" ht="15" hidden="false" customHeight="false" outlineLevel="0" collapsed="false">
      <c r="A18" s="4" t="s">
        <v>1810</v>
      </c>
      <c r="B18" s="4" t="n">
        <f aca="false">COUNTIFS(DONNEES!$H$2:$H$1501,"NOTABLE",DONNEES!$L$2:$L$1501,"Correct",DONNEES!$F$2:$F$1501,$A18)+COUNTIFS(DONNEES!$H$2:$H$1501,"NOTABLE",DONNEES!$L$2:$L$1501,"Pas d’info à tort",DONNEES!$F$2:$F$1501,$A18)+COUNTIFS(DONNEES!$H$2:$H$1501,"NOTABLE",DONNEES!$L$2:$L$1501,"Incorrect",DONNEES!$F$2:$F$1501,$A18)+COUNTIFS(DONNEES!$H$2:$H$1501,"NOTABLE",DONNEES!$L$2:$L$1501,"Hors sujet",DONNEES!$F$2:$F$1501,$A18)</f>
        <v>5</v>
      </c>
      <c r="C18" s="4" t="n">
        <f aca="false">COUNTIFS(DONNEES!$H$2:$H$1501,"NOTABLE",DONNEES!$L$2:$L$1501,"Correct",DONNEES!$F$2:$F$1501,$A18)</f>
        <v>3</v>
      </c>
      <c r="D18" s="4" t="n">
        <f aca="false">COUNTIFS(DONNEES!$H$2:$H$1501,"NOTABLE",DONNEES!$L$2:$L$1501,"Pas d’info à tort",DONNEES!$F$2:$F$1501,$A18)</f>
        <v>1</v>
      </c>
      <c r="E18" s="4" t="n">
        <f aca="false">COUNTIFS(DONNEES!$H$2:$H$1501,"NOTABLE",DONNEES!$L$2:$L$1501,"Incorrect",DONNEES!$F$2:$F$1501,$A18)</f>
        <v>1</v>
      </c>
      <c r="F18" s="4" t="n">
        <f aca="false">COUNTIFS(DONNEES!$H$2:$H$1501,"NOTABLE",DONNEES!$L$2:$L$1501,"Hors sujet",DONNEES!$F$2:$F$1501,$A18)</f>
        <v>0</v>
      </c>
      <c r="G18" s="25" t="n">
        <f aca="false">IF($B18=0,"",C18/$B18)</f>
        <v>0.6</v>
      </c>
      <c r="H18" s="25" t="n">
        <f aca="false">IF($B18=0,"",D18/$B18)</f>
        <v>0.2</v>
      </c>
      <c r="I18" s="25" t="n">
        <f aca="false">IF($B18=0,"",E18/$B18)</f>
        <v>0.2</v>
      </c>
      <c r="J18" s="25" t="n">
        <f aca="false">IF($B18=0,"",F18/$B18)</f>
        <v>0</v>
      </c>
      <c r="K18" s="26" t="n">
        <f aca="false">IFERROR(AVERAGEIFS(DONNEES!$O$2:$O$1501,DONNEES!$F$2:$F$1501,$A18),"")</f>
        <v>15.526</v>
      </c>
    </row>
    <row r="19" customFormat="false" ht="15" hidden="false" customHeight="false" outlineLevel="0" collapsed="false">
      <c r="A19" s="4" t="s">
        <v>1572</v>
      </c>
      <c r="B19" s="4" t="n">
        <f aca="false">COUNTIFS(DONNEES!$H$2:$H$1501,"NOTABLE",DONNEES!$L$2:$L$1501,"Correct",DONNEES!$F$2:$F$1501,$A19)+COUNTIFS(DONNEES!$H$2:$H$1501,"NOTABLE",DONNEES!$L$2:$L$1501,"Pas d’info à tort",DONNEES!$F$2:$F$1501,$A19)+COUNTIFS(DONNEES!$H$2:$H$1501,"NOTABLE",DONNEES!$L$2:$L$1501,"Incorrect",DONNEES!$F$2:$F$1501,$A19)+COUNTIFS(DONNEES!$H$2:$H$1501,"NOTABLE",DONNEES!$L$2:$L$1501,"Hors sujet",DONNEES!$F$2:$F$1501,$A19)</f>
        <v>5</v>
      </c>
      <c r="C19" s="4" t="n">
        <f aca="false">COUNTIFS(DONNEES!$H$2:$H$1501,"NOTABLE",DONNEES!$L$2:$L$1501,"Correct",DONNEES!$F$2:$F$1501,$A19)</f>
        <v>3</v>
      </c>
      <c r="D19" s="4" t="n">
        <f aca="false">COUNTIFS(DONNEES!$H$2:$H$1501,"NOTABLE",DONNEES!$L$2:$L$1501,"Pas d’info à tort",DONNEES!$F$2:$F$1501,$A19)</f>
        <v>2</v>
      </c>
      <c r="E19" s="4" t="n">
        <f aca="false">COUNTIFS(DONNEES!$H$2:$H$1501,"NOTABLE",DONNEES!$L$2:$L$1501,"Incorrect",DONNEES!$F$2:$F$1501,$A19)</f>
        <v>0</v>
      </c>
      <c r="F19" s="4" t="n">
        <f aca="false">COUNTIFS(DONNEES!$H$2:$H$1501,"NOTABLE",DONNEES!$L$2:$L$1501,"Hors sujet",DONNEES!$F$2:$F$1501,$A19)</f>
        <v>0</v>
      </c>
      <c r="G19" s="25" t="n">
        <f aca="false">IF($B19=0,"",C19/$B19)</f>
        <v>0.6</v>
      </c>
      <c r="H19" s="25" t="n">
        <f aca="false">IF($B19=0,"",D19/$B19)</f>
        <v>0.4</v>
      </c>
      <c r="I19" s="25" t="n">
        <f aca="false">IF($B19=0,"",E19/$B19)</f>
        <v>0</v>
      </c>
      <c r="J19" s="25" t="n">
        <f aca="false">IF($B19=0,"",F19/$B19)</f>
        <v>0</v>
      </c>
      <c r="K19" s="26" t="n">
        <f aca="false">IFERROR(AVERAGEIFS(DONNEES!$O$2:$O$1501,DONNEES!$F$2:$F$1501,$A19),"")</f>
        <v>18.216</v>
      </c>
    </row>
    <row r="20" customFormat="false" ht="15" hidden="false" customHeight="false" outlineLevel="0" collapsed="false">
      <c r="A20" s="4" t="s">
        <v>559</v>
      </c>
      <c r="B20" s="4" t="n">
        <f aca="false">COUNTIFS(DONNEES!$H$2:$H$1501,"NOTABLE",DONNEES!$L$2:$L$1501,"Correct",DONNEES!$F$2:$F$1501,$A20)+COUNTIFS(DONNEES!$H$2:$H$1501,"NOTABLE",DONNEES!$L$2:$L$1501,"Pas d’info à tort",DONNEES!$F$2:$F$1501,$A20)+COUNTIFS(DONNEES!$H$2:$H$1501,"NOTABLE",DONNEES!$L$2:$L$1501,"Incorrect",DONNEES!$F$2:$F$1501,$A20)+COUNTIFS(DONNEES!$H$2:$H$1501,"NOTABLE",DONNEES!$L$2:$L$1501,"Hors sujet",DONNEES!$F$2:$F$1501,$A20)</f>
        <v>24</v>
      </c>
      <c r="C20" s="4" t="n">
        <f aca="false">COUNTIFS(DONNEES!$H$2:$H$1501,"NOTABLE",DONNEES!$L$2:$L$1501,"Correct",DONNEES!$F$2:$F$1501,$A20)</f>
        <v>16</v>
      </c>
      <c r="D20" s="4" t="n">
        <f aca="false">COUNTIFS(DONNEES!$H$2:$H$1501,"NOTABLE",DONNEES!$L$2:$L$1501,"Pas d’info à tort",DONNEES!$F$2:$F$1501,$A20)</f>
        <v>6</v>
      </c>
      <c r="E20" s="4" t="n">
        <f aca="false">COUNTIFS(DONNEES!$H$2:$H$1501,"NOTABLE",DONNEES!$L$2:$L$1501,"Incorrect",DONNEES!$F$2:$F$1501,$A20)</f>
        <v>1</v>
      </c>
      <c r="F20" s="4" t="n">
        <f aca="false">COUNTIFS(DONNEES!$H$2:$H$1501,"NOTABLE",DONNEES!$L$2:$L$1501,"Hors sujet",DONNEES!$F$2:$F$1501,$A20)</f>
        <v>1</v>
      </c>
      <c r="G20" s="25" t="n">
        <f aca="false">IF($B20=0,"",C20/$B20)</f>
        <v>0.666666666666667</v>
      </c>
      <c r="H20" s="25" t="n">
        <f aca="false">IF($B20=0,"",D20/$B20)</f>
        <v>0.25</v>
      </c>
      <c r="I20" s="25" t="n">
        <f aca="false">IF($B20=0,"",E20/$B20)</f>
        <v>0.0416666666666667</v>
      </c>
      <c r="J20" s="25" t="n">
        <f aca="false">IF($B20=0,"",F20/$B20)</f>
        <v>0.0416666666666667</v>
      </c>
      <c r="K20" s="26" t="n">
        <f aca="false">IFERROR(AVERAGEIFS(DONNEES!$O$2:$O$1501,DONNEES!$F$2:$F$1501,$A20),"")</f>
        <v>20.6974074074074</v>
      </c>
    </row>
    <row r="21" customFormat="false" ht="15" hidden="false" customHeight="false" outlineLevel="0" collapsed="false">
      <c r="A21" s="4" t="s">
        <v>1854</v>
      </c>
      <c r="B21" s="4" t="n">
        <f aca="false">COUNTIFS(DONNEES!$H$2:$H$1501,"NOTABLE",DONNEES!$L$2:$L$1501,"Correct",DONNEES!$F$2:$F$1501,$A21)+COUNTIFS(DONNEES!$H$2:$H$1501,"NOTABLE",DONNEES!$L$2:$L$1501,"Pas d’info à tort",DONNEES!$F$2:$F$1501,$A21)+COUNTIFS(DONNEES!$H$2:$H$1501,"NOTABLE",DONNEES!$L$2:$L$1501,"Incorrect",DONNEES!$F$2:$F$1501,$A21)+COUNTIFS(DONNEES!$H$2:$H$1501,"NOTABLE",DONNEES!$L$2:$L$1501,"Hors sujet",DONNEES!$F$2:$F$1501,$A21)</f>
        <v>6</v>
      </c>
      <c r="C21" s="4" t="n">
        <f aca="false">COUNTIFS(DONNEES!$H$2:$H$1501,"NOTABLE",DONNEES!$L$2:$L$1501,"Correct",DONNEES!$F$2:$F$1501,$A21)</f>
        <v>4</v>
      </c>
      <c r="D21" s="4" t="n">
        <f aca="false">COUNTIFS(DONNEES!$H$2:$H$1501,"NOTABLE",DONNEES!$L$2:$L$1501,"Pas d’info à tort",DONNEES!$F$2:$F$1501,$A21)</f>
        <v>0</v>
      </c>
      <c r="E21" s="4" t="n">
        <f aca="false">COUNTIFS(DONNEES!$H$2:$H$1501,"NOTABLE",DONNEES!$L$2:$L$1501,"Incorrect",DONNEES!$F$2:$F$1501,$A21)</f>
        <v>2</v>
      </c>
      <c r="F21" s="4" t="n">
        <f aca="false">COUNTIFS(DONNEES!$H$2:$H$1501,"NOTABLE",DONNEES!$L$2:$L$1501,"Hors sujet",DONNEES!$F$2:$F$1501,$A21)</f>
        <v>0</v>
      </c>
      <c r="G21" s="25" t="n">
        <f aca="false">IF($B21=0,"",C21/$B21)</f>
        <v>0.666666666666667</v>
      </c>
      <c r="H21" s="25" t="n">
        <f aca="false">IF($B21=0,"",D21/$B21)</f>
        <v>0</v>
      </c>
      <c r="I21" s="25" t="n">
        <f aca="false">IF($B21=0,"",E21/$B21)</f>
        <v>0.333333333333333</v>
      </c>
      <c r="J21" s="25" t="n">
        <f aca="false">IF($B21=0,"",F21/$B21)</f>
        <v>0</v>
      </c>
      <c r="K21" s="26" t="n">
        <f aca="false">IFERROR(AVERAGEIFS(DONNEES!$O$2:$O$1501,DONNEES!$F$2:$F$1501,$A21),"")</f>
        <v>21.6771428571429</v>
      </c>
    </row>
    <row r="22" customFormat="false" ht="15" hidden="false" customHeight="false" outlineLevel="0" collapsed="false">
      <c r="A22" s="4" t="s">
        <v>3116</v>
      </c>
      <c r="B22" s="4" t="n">
        <f aca="false">COUNTIFS(DONNEES!$H$2:$H$1501,"NOTABLE",DONNEES!$L$2:$L$1501,"Correct",DONNEES!$F$2:$F$1501,$A22)+COUNTIFS(DONNEES!$H$2:$H$1501,"NOTABLE",DONNEES!$L$2:$L$1501,"Pas d’info à tort",DONNEES!$F$2:$F$1501,$A22)+COUNTIFS(DONNEES!$H$2:$H$1501,"NOTABLE",DONNEES!$L$2:$L$1501,"Incorrect",DONNEES!$F$2:$F$1501,$A22)+COUNTIFS(DONNEES!$H$2:$H$1501,"NOTABLE",DONNEES!$L$2:$L$1501,"Hors sujet",DONNEES!$F$2:$F$1501,$A22)</f>
        <v>6</v>
      </c>
      <c r="C22" s="4" t="n">
        <f aca="false">COUNTIFS(DONNEES!$H$2:$H$1501,"NOTABLE",DONNEES!$L$2:$L$1501,"Correct",DONNEES!$F$2:$F$1501,$A22)</f>
        <v>4</v>
      </c>
      <c r="D22" s="4" t="n">
        <f aca="false">COUNTIFS(DONNEES!$H$2:$H$1501,"NOTABLE",DONNEES!$L$2:$L$1501,"Pas d’info à tort",DONNEES!$F$2:$F$1501,$A22)</f>
        <v>1</v>
      </c>
      <c r="E22" s="4" t="n">
        <f aca="false">COUNTIFS(DONNEES!$H$2:$H$1501,"NOTABLE",DONNEES!$L$2:$L$1501,"Incorrect",DONNEES!$F$2:$F$1501,$A22)</f>
        <v>0</v>
      </c>
      <c r="F22" s="4" t="n">
        <f aca="false">COUNTIFS(DONNEES!$H$2:$H$1501,"NOTABLE",DONNEES!$L$2:$L$1501,"Hors sujet",DONNEES!$F$2:$F$1501,$A22)</f>
        <v>1</v>
      </c>
      <c r="G22" s="25" t="n">
        <f aca="false">IF($B22=0,"",C22/$B22)</f>
        <v>0.666666666666667</v>
      </c>
      <c r="H22" s="25" t="n">
        <f aca="false">IF($B22=0,"",D22/$B22)</f>
        <v>0.166666666666667</v>
      </c>
      <c r="I22" s="25" t="n">
        <f aca="false">IF($B22=0,"",E22/$B22)</f>
        <v>0</v>
      </c>
      <c r="J22" s="25" t="n">
        <f aca="false">IF($B22=0,"",F22/$B22)</f>
        <v>0.166666666666667</v>
      </c>
      <c r="K22" s="26" t="n">
        <f aca="false">IFERROR(AVERAGEIFS(DONNEES!$O$2:$O$1501,DONNEES!$F$2:$F$1501,$A22),"")</f>
        <v>18.4185714285714</v>
      </c>
    </row>
    <row r="23" customFormat="false" ht="15" hidden="false" customHeight="false" outlineLevel="0" collapsed="false">
      <c r="A23" s="4" t="s">
        <v>2093</v>
      </c>
      <c r="B23" s="4" t="n">
        <f aca="false">COUNTIFS(DONNEES!$H$2:$H$1501,"NOTABLE",DONNEES!$L$2:$L$1501,"Correct",DONNEES!$F$2:$F$1501,$A23)+COUNTIFS(DONNEES!$H$2:$H$1501,"NOTABLE",DONNEES!$L$2:$L$1501,"Pas d’info à tort",DONNEES!$F$2:$F$1501,$A23)+COUNTIFS(DONNEES!$H$2:$H$1501,"NOTABLE",DONNEES!$L$2:$L$1501,"Incorrect",DONNEES!$F$2:$F$1501,$A23)+COUNTIFS(DONNEES!$H$2:$H$1501,"NOTABLE",DONNEES!$L$2:$L$1501,"Hors sujet",DONNEES!$F$2:$F$1501,$A23)</f>
        <v>6</v>
      </c>
      <c r="C23" s="4" t="n">
        <f aca="false">COUNTIFS(DONNEES!$H$2:$H$1501,"NOTABLE",DONNEES!$L$2:$L$1501,"Correct",DONNEES!$F$2:$F$1501,$A23)</f>
        <v>4</v>
      </c>
      <c r="D23" s="4" t="n">
        <f aca="false">COUNTIFS(DONNEES!$H$2:$H$1501,"NOTABLE",DONNEES!$L$2:$L$1501,"Pas d’info à tort",DONNEES!$F$2:$F$1501,$A23)</f>
        <v>2</v>
      </c>
      <c r="E23" s="4" t="n">
        <f aca="false">COUNTIFS(DONNEES!$H$2:$H$1501,"NOTABLE",DONNEES!$L$2:$L$1501,"Incorrect",DONNEES!$F$2:$F$1501,$A23)</f>
        <v>0</v>
      </c>
      <c r="F23" s="4" t="n">
        <f aca="false">COUNTIFS(DONNEES!$H$2:$H$1501,"NOTABLE",DONNEES!$L$2:$L$1501,"Hors sujet",DONNEES!$F$2:$F$1501,$A23)</f>
        <v>0</v>
      </c>
      <c r="G23" s="25" t="n">
        <f aca="false">IF($B23=0,"",C23/$B23)</f>
        <v>0.666666666666667</v>
      </c>
      <c r="H23" s="25" t="n">
        <f aca="false">IF($B23=0,"",D23/$B23)</f>
        <v>0.333333333333333</v>
      </c>
      <c r="I23" s="25" t="n">
        <f aca="false">IF($B23=0,"",E23/$B23)</f>
        <v>0</v>
      </c>
      <c r="J23" s="25" t="n">
        <f aca="false">IF($B23=0,"",F23/$B23)</f>
        <v>0</v>
      </c>
      <c r="K23" s="26" t="n">
        <f aca="false">IFERROR(AVERAGEIFS(DONNEES!$O$2:$O$1501,DONNEES!$F$2:$F$1501,$A23),"")</f>
        <v>18.9071428571429</v>
      </c>
    </row>
    <row r="24" customFormat="false" ht="15" hidden="false" customHeight="false" outlineLevel="0" collapsed="false">
      <c r="A24" s="4" t="s">
        <v>3002</v>
      </c>
      <c r="B24" s="4" t="n">
        <f aca="false">COUNTIFS(DONNEES!$H$2:$H$1501,"NOTABLE",DONNEES!$L$2:$L$1501,"Correct",DONNEES!$F$2:$F$1501,$A24)+COUNTIFS(DONNEES!$H$2:$H$1501,"NOTABLE",DONNEES!$L$2:$L$1501,"Pas d’info à tort",DONNEES!$F$2:$F$1501,$A24)+COUNTIFS(DONNEES!$H$2:$H$1501,"NOTABLE",DONNEES!$L$2:$L$1501,"Incorrect",DONNEES!$F$2:$F$1501,$A24)+COUNTIFS(DONNEES!$H$2:$H$1501,"NOTABLE",DONNEES!$L$2:$L$1501,"Hors sujet",DONNEES!$F$2:$F$1501,$A24)</f>
        <v>6</v>
      </c>
      <c r="C24" s="4" t="n">
        <f aca="false">COUNTIFS(DONNEES!$H$2:$H$1501,"NOTABLE",DONNEES!$L$2:$L$1501,"Correct",DONNEES!$F$2:$F$1501,$A24)</f>
        <v>4</v>
      </c>
      <c r="D24" s="4" t="n">
        <f aca="false">COUNTIFS(DONNEES!$H$2:$H$1501,"NOTABLE",DONNEES!$L$2:$L$1501,"Pas d’info à tort",DONNEES!$F$2:$F$1501,$A24)</f>
        <v>1</v>
      </c>
      <c r="E24" s="4" t="n">
        <f aca="false">COUNTIFS(DONNEES!$H$2:$H$1501,"NOTABLE",DONNEES!$L$2:$L$1501,"Incorrect",DONNEES!$F$2:$F$1501,$A24)</f>
        <v>1</v>
      </c>
      <c r="F24" s="4" t="n">
        <f aca="false">COUNTIFS(DONNEES!$H$2:$H$1501,"NOTABLE",DONNEES!$L$2:$L$1501,"Hors sujet",DONNEES!$F$2:$F$1501,$A24)</f>
        <v>0</v>
      </c>
      <c r="G24" s="25" t="n">
        <f aca="false">IF($B24=0,"",C24/$B24)</f>
        <v>0.666666666666667</v>
      </c>
      <c r="H24" s="25" t="n">
        <f aca="false">IF($B24=0,"",D24/$B24)</f>
        <v>0.166666666666667</v>
      </c>
      <c r="I24" s="25" t="n">
        <f aca="false">IF($B24=0,"",E24/$B24)</f>
        <v>0.166666666666667</v>
      </c>
      <c r="J24" s="25" t="n">
        <f aca="false">IF($B24=0,"",F24/$B24)</f>
        <v>0</v>
      </c>
      <c r="K24" s="26" t="n">
        <f aca="false">IFERROR(AVERAGEIFS(DONNEES!$O$2:$O$1501,DONNEES!$F$2:$F$1501,$A24),"")</f>
        <v>21.1914285714286</v>
      </c>
    </row>
    <row r="25" customFormat="false" ht="15" hidden="false" customHeight="false" outlineLevel="0" collapsed="false">
      <c r="A25" s="4" t="s">
        <v>3039</v>
      </c>
      <c r="B25" s="4" t="n">
        <f aca="false">COUNTIFS(DONNEES!$H$2:$H$1501,"NOTABLE",DONNEES!$L$2:$L$1501,"Correct",DONNEES!$F$2:$F$1501,$A25)+COUNTIFS(DONNEES!$H$2:$H$1501,"NOTABLE",DONNEES!$L$2:$L$1501,"Pas d’info à tort",DONNEES!$F$2:$F$1501,$A25)+COUNTIFS(DONNEES!$H$2:$H$1501,"NOTABLE",DONNEES!$L$2:$L$1501,"Incorrect",DONNEES!$F$2:$F$1501,$A25)+COUNTIFS(DONNEES!$H$2:$H$1501,"NOTABLE",DONNEES!$L$2:$L$1501,"Hors sujet",DONNEES!$F$2:$F$1501,$A25)</f>
        <v>6</v>
      </c>
      <c r="C25" s="4" t="n">
        <f aca="false">COUNTIFS(DONNEES!$H$2:$H$1501,"NOTABLE",DONNEES!$L$2:$L$1501,"Correct",DONNEES!$F$2:$F$1501,$A25)</f>
        <v>4</v>
      </c>
      <c r="D25" s="4" t="n">
        <f aca="false">COUNTIFS(DONNEES!$H$2:$H$1501,"NOTABLE",DONNEES!$L$2:$L$1501,"Pas d’info à tort",DONNEES!$F$2:$F$1501,$A25)</f>
        <v>1</v>
      </c>
      <c r="E25" s="4" t="n">
        <f aca="false">COUNTIFS(DONNEES!$H$2:$H$1501,"NOTABLE",DONNEES!$L$2:$L$1501,"Incorrect",DONNEES!$F$2:$F$1501,$A25)</f>
        <v>1</v>
      </c>
      <c r="F25" s="4" t="n">
        <f aca="false">COUNTIFS(DONNEES!$H$2:$H$1501,"NOTABLE",DONNEES!$L$2:$L$1501,"Hors sujet",DONNEES!$F$2:$F$1501,$A25)</f>
        <v>0</v>
      </c>
      <c r="G25" s="25" t="n">
        <f aca="false">IF($B25=0,"",C25/$B25)</f>
        <v>0.666666666666667</v>
      </c>
      <c r="H25" s="25" t="n">
        <f aca="false">IF($B25=0,"",D25/$B25)</f>
        <v>0.166666666666667</v>
      </c>
      <c r="I25" s="25" t="n">
        <f aca="false">IF($B25=0,"",E25/$B25)</f>
        <v>0.166666666666667</v>
      </c>
      <c r="J25" s="25" t="n">
        <f aca="false">IF($B25=0,"",F25/$B25)</f>
        <v>0</v>
      </c>
      <c r="K25" s="26" t="n">
        <f aca="false">IFERROR(AVERAGEIFS(DONNEES!$O$2:$O$1501,DONNEES!$F$2:$F$1501,$A25),"")</f>
        <v>13.73</v>
      </c>
    </row>
    <row r="26" customFormat="false" ht="15" hidden="false" customHeight="false" outlineLevel="0" collapsed="false">
      <c r="A26" s="4" t="s">
        <v>627</v>
      </c>
      <c r="B26" s="4" t="n">
        <f aca="false">COUNTIFS(DONNEES!$H$2:$H$1501,"NOTABLE",DONNEES!$L$2:$L$1501,"Correct",DONNEES!$F$2:$F$1501,$A26)+COUNTIFS(DONNEES!$H$2:$H$1501,"NOTABLE",DONNEES!$L$2:$L$1501,"Pas d’info à tort",DONNEES!$F$2:$F$1501,$A26)+COUNTIFS(DONNEES!$H$2:$H$1501,"NOTABLE",DONNEES!$L$2:$L$1501,"Incorrect",DONNEES!$F$2:$F$1501,$A26)+COUNTIFS(DONNEES!$H$2:$H$1501,"NOTABLE",DONNEES!$L$2:$L$1501,"Hors sujet",DONNEES!$F$2:$F$1501,$A26)</f>
        <v>32</v>
      </c>
      <c r="C26" s="4" t="n">
        <f aca="false">COUNTIFS(DONNEES!$H$2:$H$1501,"NOTABLE",DONNEES!$L$2:$L$1501,"Correct",DONNEES!$F$2:$F$1501,$A26)</f>
        <v>23</v>
      </c>
      <c r="D26" s="4" t="n">
        <f aca="false">COUNTIFS(DONNEES!$H$2:$H$1501,"NOTABLE",DONNEES!$L$2:$L$1501,"Pas d’info à tort",DONNEES!$F$2:$F$1501,$A26)</f>
        <v>8</v>
      </c>
      <c r="E26" s="4" t="n">
        <f aca="false">COUNTIFS(DONNEES!$H$2:$H$1501,"NOTABLE",DONNEES!$L$2:$L$1501,"Incorrect",DONNEES!$F$2:$F$1501,$A26)</f>
        <v>1</v>
      </c>
      <c r="F26" s="4" t="n">
        <f aca="false">COUNTIFS(DONNEES!$H$2:$H$1501,"NOTABLE",DONNEES!$L$2:$L$1501,"Hors sujet",DONNEES!$F$2:$F$1501,$A26)</f>
        <v>0</v>
      </c>
      <c r="G26" s="25" t="n">
        <f aca="false">IF($B26=0,"",C26/$B26)</f>
        <v>0.71875</v>
      </c>
      <c r="H26" s="25" t="n">
        <f aca="false">IF($B26=0,"",D26/$B26)</f>
        <v>0.25</v>
      </c>
      <c r="I26" s="25" t="n">
        <f aca="false">IF($B26=0,"",E26/$B26)</f>
        <v>0.03125</v>
      </c>
      <c r="J26" s="25" t="n">
        <f aca="false">IF($B26=0,"",F26/$B26)</f>
        <v>0</v>
      </c>
      <c r="K26" s="26" t="n">
        <f aca="false">IFERROR(AVERAGEIFS(DONNEES!$O$2:$O$1501,DONNEES!$F$2:$F$1501,$A26),"")</f>
        <v>19.1311428571429</v>
      </c>
    </row>
    <row r="27" customFormat="false" ht="15" hidden="false" customHeight="false" outlineLevel="0" collapsed="false">
      <c r="A27" s="4" t="s">
        <v>1151</v>
      </c>
      <c r="B27" s="4" t="n">
        <f aca="false">COUNTIFS(DONNEES!$H$2:$H$1501,"NOTABLE",DONNEES!$L$2:$L$1501,"Correct",DONNEES!$F$2:$F$1501,$A27)+COUNTIFS(DONNEES!$H$2:$H$1501,"NOTABLE",DONNEES!$L$2:$L$1501,"Pas d’info à tort",DONNEES!$F$2:$F$1501,$A27)+COUNTIFS(DONNEES!$H$2:$H$1501,"NOTABLE",DONNEES!$L$2:$L$1501,"Incorrect",DONNEES!$F$2:$F$1501,$A27)+COUNTIFS(DONNEES!$H$2:$H$1501,"NOTABLE",DONNEES!$L$2:$L$1501,"Hors sujet",DONNEES!$F$2:$F$1501,$A27)</f>
        <v>22</v>
      </c>
      <c r="C27" s="4" t="n">
        <f aca="false">COUNTIFS(DONNEES!$H$2:$H$1501,"NOTABLE",DONNEES!$L$2:$L$1501,"Correct",DONNEES!$F$2:$F$1501,$A27)</f>
        <v>16</v>
      </c>
      <c r="D27" s="4" t="n">
        <f aca="false">COUNTIFS(DONNEES!$H$2:$H$1501,"NOTABLE",DONNEES!$L$2:$L$1501,"Pas d’info à tort",DONNEES!$F$2:$F$1501,$A27)</f>
        <v>5</v>
      </c>
      <c r="E27" s="4" t="n">
        <f aca="false">COUNTIFS(DONNEES!$H$2:$H$1501,"NOTABLE",DONNEES!$L$2:$L$1501,"Incorrect",DONNEES!$F$2:$F$1501,$A27)</f>
        <v>1</v>
      </c>
      <c r="F27" s="4" t="n">
        <f aca="false">COUNTIFS(DONNEES!$H$2:$H$1501,"NOTABLE",DONNEES!$L$2:$L$1501,"Hors sujet",DONNEES!$F$2:$F$1501,$A27)</f>
        <v>0</v>
      </c>
      <c r="G27" s="25" t="n">
        <f aca="false">IF($B27=0,"",C27/$B27)</f>
        <v>0.727272727272727</v>
      </c>
      <c r="H27" s="25" t="n">
        <f aca="false">IF($B27=0,"",D27/$B27)</f>
        <v>0.227272727272727</v>
      </c>
      <c r="I27" s="25" t="n">
        <f aca="false">IF($B27=0,"",E27/$B27)</f>
        <v>0.0454545454545455</v>
      </c>
      <c r="J27" s="25" t="n">
        <f aca="false">IF($B27=0,"",F27/$B27)</f>
        <v>0</v>
      </c>
      <c r="K27" s="26" t="n">
        <f aca="false">IFERROR(AVERAGEIFS(DONNEES!$O$2:$O$1501,DONNEES!$F$2:$F$1501,$A27),"")</f>
        <v>17.50625</v>
      </c>
    </row>
    <row r="28" customFormat="false" ht="15" hidden="false" customHeight="false" outlineLevel="0" collapsed="false">
      <c r="A28" s="4" t="s">
        <v>256</v>
      </c>
      <c r="B28" s="4" t="n">
        <f aca="false">COUNTIFS(DONNEES!$H$2:$H$1501,"NOTABLE",DONNEES!$L$2:$L$1501,"Correct",DONNEES!$F$2:$F$1501,$A28)+COUNTIFS(DONNEES!$H$2:$H$1501,"NOTABLE",DONNEES!$L$2:$L$1501,"Pas d’info à tort",DONNEES!$F$2:$F$1501,$A28)+COUNTIFS(DONNEES!$H$2:$H$1501,"NOTABLE",DONNEES!$L$2:$L$1501,"Incorrect",DONNEES!$F$2:$F$1501,$A28)+COUNTIFS(DONNEES!$H$2:$H$1501,"NOTABLE",DONNEES!$L$2:$L$1501,"Hors sujet",DONNEES!$F$2:$F$1501,$A28)</f>
        <v>30</v>
      </c>
      <c r="C28" s="4" t="n">
        <f aca="false">COUNTIFS(DONNEES!$H$2:$H$1501,"NOTABLE",DONNEES!$L$2:$L$1501,"Correct",DONNEES!$F$2:$F$1501,$A28)</f>
        <v>22</v>
      </c>
      <c r="D28" s="4" t="n">
        <f aca="false">COUNTIFS(DONNEES!$H$2:$H$1501,"NOTABLE",DONNEES!$L$2:$L$1501,"Pas d’info à tort",DONNEES!$F$2:$F$1501,$A28)</f>
        <v>4</v>
      </c>
      <c r="E28" s="4" t="n">
        <f aca="false">COUNTIFS(DONNEES!$H$2:$H$1501,"NOTABLE",DONNEES!$L$2:$L$1501,"Incorrect",DONNEES!$F$2:$F$1501,$A28)</f>
        <v>2</v>
      </c>
      <c r="F28" s="4" t="n">
        <f aca="false">COUNTIFS(DONNEES!$H$2:$H$1501,"NOTABLE",DONNEES!$L$2:$L$1501,"Hors sujet",DONNEES!$F$2:$F$1501,$A28)</f>
        <v>2</v>
      </c>
      <c r="G28" s="25" t="n">
        <f aca="false">IF($B28=0,"",C28/$B28)</f>
        <v>0.733333333333333</v>
      </c>
      <c r="H28" s="25" t="n">
        <f aca="false">IF($B28=0,"",D28/$B28)</f>
        <v>0.133333333333333</v>
      </c>
      <c r="I28" s="25" t="n">
        <f aca="false">IF($B28=0,"",E28/$B28)</f>
        <v>0.0666666666666667</v>
      </c>
      <c r="J28" s="25" t="n">
        <f aca="false">IF($B28=0,"",F28/$B28)</f>
        <v>0.0666666666666667</v>
      </c>
      <c r="K28" s="26" t="n">
        <f aca="false">IFERROR(AVERAGEIFS(DONNEES!$O$2:$O$1501,DONNEES!$F$2:$F$1501,$A28),"")</f>
        <v>18.154</v>
      </c>
    </row>
    <row r="29" customFormat="false" ht="15" hidden="false" customHeight="false" outlineLevel="0" collapsed="false">
      <c r="A29" s="4" t="s">
        <v>409</v>
      </c>
      <c r="B29" s="4" t="n">
        <f aca="false">COUNTIFS(DONNEES!$H$2:$H$1501,"NOTABLE",DONNEES!$L$2:$L$1501,"Correct",DONNEES!$F$2:$F$1501,$A29)+COUNTIFS(DONNEES!$H$2:$H$1501,"NOTABLE",DONNEES!$L$2:$L$1501,"Pas d’info à tort",DONNEES!$F$2:$F$1501,$A29)+COUNTIFS(DONNEES!$H$2:$H$1501,"NOTABLE",DONNEES!$L$2:$L$1501,"Incorrect",DONNEES!$F$2:$F$1501,$A29)+COUNTIFS(DONNEES!$H$2:$H$1501,"NOTABLE",DONNEES!$L$2:$L$1501,"Hors sujet",DONNEES!$F$2:$F$1501,$A29)</f>
        <v>23</v>
      </c>
      <c r="C29" s="4" t="n">
        <f aca="false">COUNTIFS(DONNEES!$H$2:$H$1501,"NOTABLE",DONNEES!$L$2:$L$1501,"Correct",DONNEES!$F$2:$F$1501,$A29)</f>
        <v>17</v>
      </c>
      <c r="D29" s="4" t="n">
        <f aca="false">COUNTIFS(DONNEES!$H$2:$H$1501,"NOTABLE",DONNEES!$L$2:$L$1501,"Pas d’info à tort",DONNEES!$F$2:$F$1501,$A29)</f>
        <v>3</v>
      </c>
      <c r="E29" s="4" t="n">
        <f aca="false">COUNTIFS(DONNEES!$H$2:$H$1501,"NOTABLE",DONNEES!$L$2:$L$1501,"Incorrect",DONNEES!$F$2:$F$1501,$A29)</f>
        <v>2</v>
      </c>
      <c r="F29" s="4" t="n">
        <f aca="false">COUNTIFS(DONNEES!$H$2:$H$1501,"NOTABLE",DONNEES!$L$2:$L$1501,"Hors sujet",DONNEES!$F$2:$F$1501,$A29)</f>
        <v>1</v>
      </c>
      <c r="G29" s="25" t="n">
        <f aca="false">IF($B29=0,"",C29/$B29)</f>
        <v>0.739130434782609</v>
      </c>
      <c r="H29" s="25" t="n">
        <f aca="false">IF($B29=0,"",D29/$B29)</f>
        <v>0.130434782608696</v>
      </c>
      <c r="I29" s="25" t="n">
        <f aca="false">IF($B29=0,"",E29/$B29)</f>
        <v>0.0869565217391304</v>
      </c>
      <c r="J29" s="25" t="n">
        <f aca="false">IF($B29=0,"",F29/$B29)</f>
        <v>0.0434782608695652</v>
      </c>
      <c r="K29" s="26" t="n">
        <f aca="false">IFERROR(AVERAGEIFS(DONNEES!$O$2:$O$1501,DONNEES!$F$2:$F$1501,$A29),"")</f>
        <v>19.0873076923077</v>
      </c>
    </row>
    <row r="30" customFormat="false" ht="15" hidden="false" customHeight="false" outlineLevel="0" collapsed="false">
      <c r="A30" s="4" t="s">
        <v>999</v>
      </c>
      <c r="B30" s="4" t="n">
        <f aca="false">COUNTIFS(DONNEES!$H$2:$H$1501,"NOTABLE",DONNEES!$L$2:$L$1501,"Correct",DONNEES!$F$2:$F$1501,$A30)+COUNTIFS(DONNEES!$H$2:$H$1501,"NOTABLE",DONNEES!$L$2:$L$1501,"Pas d’info à tort",DONNEES!$F$2:$F$1501,$A30)+COUNTIFS(DONNEES!$H$2:$H$1501,"NOTABLE",DONNEES!$L$2:$L$1501,"Incorrect",DONNEES!$F$2:$F$1501,$A30)+COUNTIFS(DONNEES!$H$2:$H$1501,"NOTABLE",DONNEES!$L$2:$L$1501,"Hors sujet",DONNEES!$F$2:$F$1501,$A30)</f>
        <v>25</v>
      </c>
      <c r="C30" s="4" t="n">
        <f aca="false">COUNTIFS(DONNEES!$H$2:$H$1501,"NOTABLE",DONNEES!$L$2:$L$1501,"Correct",DONNEES!$F$2:$F$1501,$A30)</f>
        <v>19</v>
      </c>
      <c r="D30" s="4" t="n">
        <f aca="false">COUNTIFS(DONNEES!$H$2:$H$1501,"NOTABLE",DONNEES!$L$2:$L$1501,"Pas d’info à tort",DONNEES!$F$2:$F$1501,$A30)</f>
        <v>6</v>
      </c>
      <c r="E30" s="4" t="n">
        <f aca="false">COUNTIFS(DONNEES!$H$2:$H$1501,"NOTABLE",DONNEES!$L$2:$L$1501,"Incorrect",DONNEES!$F$2:$F$1501,$A30)</f>
        <v>0</v>
      </c>
      <c r="F30" s="4" t="n">
        <f aca="false">COUNTIFS(DONNEES!$H$2:$H$1501,"NOTABLE",DONNEES!$L$2:$L$1501,"Hors sujet",DONNEES!$F$2:$F$1501,$A30)</f>
        <v>0</v>
      </c>
      <c r="G30" s="25" t="n">
        <f aca="false">IF($B30=0,"",C30/$B30)</f>
        <v>0.76</v>
      </c>
      <c r="H30" s="25" t="n">
        <f aca="false">IF($B30=0,"",D30/$B30)</f>
        <v>0.24</v>
      </c>
      <c r="I30" s="25" t="n">
        <f aca="false">IF($B30=0,"",E30/$B30)</f>
        <v>0</v>
      </c>
      <c r="J30" s="25" t="n">
        <f aca="false">IF($B30=0,"",F30/$B30)</f>
        <v>0</v>
      </c>
      <c r="K30" s="26" t="n">
        <f aca="false">IFERROR(AVERAGEIFS(DONNEES!$O$2:$O$1501,DONNEES!$F$2:$F$1501,$A30),"")</f>
        <v>23.4868</v>
      </c>
    </row>
    <row r="31" customFormat="false" ht="15" hidden="false" customHeight="false" outlineLevel="0" collapsed="false">
      <c r="A31" s="4" t="s">
        <v>664</v>
      </c>
      <c r="B31" s="4" t="n">
        <f aca="false">COUNTIFS(DONNEES!$H$2:$H$1501,"NOTABLE",DONNEES!$L$2:$L$1501,"Correct",DONNEES!$F$2:$F$1501,$A31)+COUNTIFS(DONNEES!$H$2:$H$1501,"NOTABLE",DONNEES!$L$2:$L$1501,"Pas d’info à tort",DONNEES!$F$2:$F$1501,$A31)+COUNTIFS(DONNEES!$H$2:$H$1501,"NOTABLE",DONNEES!$L$2:$L$1501,"Incorrect",DONNEES!$F$2:$F$1501,$A31)+COUNTIFS(DONNEES!$H$2:$H$1501,"NOTABLE",DONNEES!$L$2:$L$1501,"Hors sujet",DONNEES!$F$2:$F$1501,$A31)</f>
        <v>31</v>
      </c>
      <c r="C31" s="4" t="n">
        <f aca="false">COUNTIFS(DONNEES!$H$2:$H$1501,"NOTABLE",DONNEES!$L$2:$L$1501,"Correct",DONNEES!$F$2:$F$1501,$A31)</f>
        <v>24</v>
      </c>
      <c r="D31" s="4" t="n">
        <f aca="false">COUNTIFS(DONNEES!$H$2:$H$1501,"NOTABLE",DONNEES!$L$2:$L$1501,"Pas d’info à tort",DONNEES!$F$2:$F$1501,$A31)</f>
        <v>6</v>
      </c>
      <c r="E31" s="4" t="n">
        <f aca="false">COUNTIFS(DONNEES!$H$2:$H$1501,"NOTABLE",DONNEES!$L$2:$L$1501,"Incorrect",DONNEES!$F$2:$F$1501,$A31)</f>
        <v>1</v>
      </c>
      <c r="F31" s="4" t="n">
        <f aca="false">COUNTIFS(DONNEES!$H$2:$H$1501,"NOTABLE",DONNEES!$L$2:$L$1501,"Hors sujet",DONNEES!$F$2:$F$1501,$A31)</f>
        <v>0</v>
      </c>
      <c r="G31" s="25" t="n">
        <f aca="false">IF($B31=0,"",C31/$B31)</f>
        <v>0.774193548387097</v>
      </c>
      <c r="H31" s="25" t="n">
        <f aca="false">IF($B31=0,"",D31/$B31)</f>
        <v>0.193548387096774</v>
      </c>
      <c r="I31" s="25" t="n">
        <f aca="false">IF($B31=0,"",E31/$B31)</f>
        <v>0.032258064516129</v>
      </c>
      <c r="J31" s="25" t="n">
        <f aca="false">IF($B31=0,"",F31/$B31)</f>
        <v>0</v>
      </c>
      <c r="K31" s="26" t="n">
        <f aca="false">IFERROR(AVERAGEIFS(DONNEES!$O$2:$O$1501,DONNEES!$F$2:$F$1501,$A31),"")</f>
        <v>17.36375</v>
      </c>
    </row>
    <row r="32" customFormat="false" ht="15" hidden="false" customHeight="false" outlineLevel="0" collapsed="false">
      <c r="A32" s="4" t="s">
        <v>728</v>
      </c>
      <c r="B32" s="4" t="n">
        <f aca="false">COUNTIFS(DONNEES!$H$2:$H$1501,"NOTABLE",DONNEES!$L$2:$L$1501,"Correct",DONNEES!$F$2:$F$1501,$A32)+COUNTIFS(DONNEES!$H$2:$H$1501,"NOTABLE",DONNEES!$L$2:$L$1501,"Pas d’info à tort",DONNEES!$F$2:$F$1501,$A32)+COUNTIFS(DONNEES!$H$2:$H$1501,"NOTABLE",DONNEES!$L$2:$L$1501,"Incorrect",DONNEES!$F$2:$F$1501,$A32)+COUNTIFS(DONNEES!$H$2:$H$1501,"NOTABLE",DONNEES!$L$2:$L$1501,"Hors sujet",DONNEES!$F$2:$F$1501,$A32)</f>
        <v>40</v>
      </c>
      <c r="C32" s="4" t="n">
        <f aca="false">COUNTIFS(DONNEES!$H$2:$H$1501,"NOTABLE",DONNEES!$L$2:$L$1501,"Correct",DONNEES!$F$2:$F$1501,$A32)</f>
        <v>31</v>
      </c>
      <c r="D32" s="4" t="n">
        <f aca="false">COUNTIFS(DONNEES!$H$2:$H$1501,"NOTABLE",DONNEES!$L$2:$L$1501,"Pas d’info à tort",DONNEES!$F$2:$F$1501,$A32)</f>
        <v>9</v>
      </c>
      <c r="E32" s="4" t="n">
        <f aca="false">COUNTIFS(DONNEES!$H$2:$H$1501,"NOTABLE",DONNEES!$L$2:$L$1501,"Incorrect",DONNEES!$F$2:$F$1501,$A32)</f>
        <v>0</v>
      </c>
      <c r="F32" s="4" t="n">
        <f aca="false">COUNTIFS(DONNEES!$H$2:$H$1501,"NOTABLE",DONNEES!$L$2:$L$1501,"Hors sujet",DONNEES!$F$2:$F$1501,$A32)</f>
        <v>0</v>
      </c>
      <c r="G32" s="25" t="n">
        <f aca="false">IF($B32=0,"",C32/$B32)</f>
        <v>0.775</v>
      </c>
      <c r="H32" s="25" t="n">
        <f aca="false">IF($B32=0,"",D32/$B32)</f>
        <v>0.225</v>
      </c>
      <c r="I32" s="25" t="n">
        <f aca="false">IF($B32=0,"",E32/$B32)</f>
        <v>0</v>
      </c>
      <c r="J32" s="25" t="n">
        <f aca="false">IF($B32=0,"",F32/$B32)</f>
        <v>0</v>
      </c>
      <c r="K32" s="26" t="n">
        <f aca="false">IFERROR(AVERAGEIFS(DONNEES!$O$2:$O$1501,DONNEES!$F$2:$F$1501,$A32),"")</f>
        <v>17.6558536585366</v>
      </c>
    </row>
    <row r="33" customFormat="false" ht="15" hidden="false" customHeight="false" outlineLevel="0" collapsed="false">
      <c r="A33" s="4" t="s">
        <v>1210</v>
      </c>
      <c r="B33" s="4" t="n">
        <f aca="false">COUNTIFS(DONNEES!$H$2:$H$1501,"NOTABLE",DONNEES!$L$2:$L$1501,"Correct",DONNEES!$F$2:$F$1501,$A33)+COUNTIFS(DONNEES!$H$2:$H$1501,"NOTABLE",DONNEES!$L$2:$L$1501,"Pas d’info à tort",DONNEES!$F$2:$F$1501,$A33)+COUNTIFS(DONNEES!$H$2:$H$1501,"NOTABLE",DONNEES!$L$2:$L$1501,"Incorrect",DONNEES!$F$2:$F$1501,$A33)+COUNTIFS(DONNEES!$H$2:$H$1501,"NOTABLE",DONNEES!$L$2:$L$1501,"Hors sujet",DONNEES!$F$2:$F$1501,$A33)</f>
        <v>30</v>
      </c>
      <c r="C33" s="4" t="n">
        <f aca="false">COUNTIFS(DONNEES!$H$2:$H$1501,"NOTABLE",DONNEES!$L$2:$L$1501,"Correct",DONNEES!$F$2:$F$1501,$A33)</f>
        <v>24</v>
      </c>
      <c r="D33" s="4" t="n">
        <f aca="false">COUNTIFS(DONNEES!$H$2:$H$1501,"NOTABLE",DONNEES!$L$2:$L$1501,"Pas d’info à tort",DONNEES!$F$2:$F$1501,$A33)</f>
        <v>6</v>
      </c>
      <c r="E33" s="4" t="n">
        <f aca="false">COUNTIFS(DONNEES!$H$2:$H$1501,"NOTABLE",DONNEES!$L$2:$L$1501,"Incorrect",DONNEES!$F$2:$F$1501,$A33)</f>
        <v>0</v>
      </c>
      <c r="F33" s="4" t="n">
        <f aca="false">COUNTIFS(DONNEES!$H$2:$H$1501,"NOTABLE",DONNEES!$L$2:$L$1501,"Hors sujet",DONNEES!$F$2:$F$1501,$A33)</f>
        <v>0</v>
      </c>
      <c r="G33" s="25" t="n">
        <f aca="false">IF($B33=0,"",C33/$B33)</f>
        <v>0.8</v>
      </c>
      <c r="H33" s="25" t="n">
        <f aca="false">IF($B33=0,"",D33/$B33)</f>
        <v>0.2</v>
      </c>
      <c r="I33" s="25" t="n">
        <f aca="false">IF($B33=0,"",E33/$B33)</f>
        <v>0</v>
      </c>
      <c r="J33" s="25" t="n">
        <f aca="false">IF($B33=0,"",F33/$B33)</f>
        <v>0</v>
      </c>
      <c r="K33" s="26" t="n">
        <f aca="false">IFERROR(AVERAGEIFS(DONNEES!$O$2:$O$1501,DONNEES!$F$2:$F$1501,$A33),"")</f>
        <v>23.7540625</v>
      </c>
    </row>
    <row r="34" customFormat="false" ht="15" hidden="false" customHeight="false" outlineLevel="0" collapsed="false">
      <c r="A34" s="4" t="s">
        <v>488</v>
      </c>
      <c r="B34" s="4" t="n">
        <f aca="false">COUNTIFS(DONNEES!$H$2:$H$1501,"NOTABLE",DONNEES!$L$2:$L$1501,"Correct",DONNEES!$F$2:$F$1501,$A34)+COUNTIFS(DONNEES!$H$2:$H$1501,"NOTABLE",DONNEES!$L$2:$L$1501,"Pas d’info à tort",DONNEES!$F$2:$F$1501,$A34)+COUNTIFS(DONNEES!$H$2:$H$1501,"NOTABLE",DONNEES!$L$2:$L$1501,"Incorrect",DONNEES!$F$2:$F$1501,$A34)+COUNTIFS(DONNEES!$H$2:$H$1501,"NOTABLE",DONNEES!$L$2:$L$1501,"Hors sujet",DONNEES!$F$2:$F$1501,$A34)</f>
        <v>20</v>
      </c>
      <c r="C34" s="4" t="n">
        <f aca="false">COUNTIFS(DONNEES!$H$2:$H$1501,"NOTABLE",DONNEES!$L$2:$L$1501,"Correct",DONNEES!$F$2:$F$1501,$A34)</f>
        <v>16</v>
      </c>
      <c r="D34" s="4" t="n">
        <f aca="false">COUNTIFS(DONNEES!$H$2:$H$1501,"NOTABLE",DONNEES!$L$2:$L$1501,"Pas d’info à tort",DONNEES!$F$2:$F$1501,$A34)</f>
        <v>2</v>
      </c>
      <c r="E34" s="4" t="n">
        <f aca="false">COUNTIFS(DONNEES!$H$2:$H$1501,"NOTABLE",DONNEES!$L$2:$L$1501,"Incorrect",DONNEES!$F$2:$F$1501,$A34)</f>
        <v>0</v>
      </c>
      <c r="F34" s="4" t="n">
        <f aca="false">COUNTIFS(DONNEES!$H$2:$H$1501,"NOTABLE",DONNEES!$L$2:$L$1501,"Hors sujet",DONNEES!$F$2:$F$1501,$A34)</f>
        <v>2</v>
      </c>
      <c r="G34" s="25" t="n">
        <f aca="false">IF($B34=0,"",C34/$B34)</f>
        <v>0.8</v>
      </c>
      <c r="H34" s="25" t="n">
        <f aca="false">IF($B34=0,"",D34/$B34)</f>
        <v>0.1</v>
      </c>
      <c r="I34" s="25" t="n">
        <f aca="false">IF($B34=0,"",E34/$B34)</f>
        <v>0</v>
      </c>
      <c r="J34" s="25" t="n">
        <f aca="false">IF($B34=0,"",F34/$B34)</f>
        <v>0.1</v>
      </c>
      <c r="K34" s="26" t="n">
        <f aca="false">IFERROR(AVERAGEIFS(DONNEES!$O$2:$O$1501,DONNEES!$F$2:$F$1501,$A34),"")</f>
        <v>17.7</v>
      </c>
    </row>
    <row r="35" customFormat="false" ht="15" hidden="false" customHeight="false" outlineLevel="0" collapsed="false">
      <c r="A35" s="4" t="s">
        <v>2015</v>
      </c>
      <c r="B35" s="4" t="n">
        <f aca="false">COUNTIFS(DONNEES!$H$2:$H$1501,"NOTABLE",DONNEES!$L$2:$L$1501,"Correct",DONNEES!$F$2:$F$1501,$A35)+COUNTIFS(DONNEES!$H$2:$H$1501,"NOTABLE",DONNEES!$L$2:$L$1501,"Pas d’info à tort",DONNEES!$F$2:$F$1501,$A35)+COUNTIFS(DONNEES!$H$2:$H$1501,"NOTABLE",DONNEES!$L$2:$L$1501,"Incorrect",DONNEES!$F$2:$F$1501,$A35)+COUNTIFS(DONNEES!$H$2:$H$1501,"NOTABLE",DONNEES!$L$2:$L$1501,"Hors sujet",DONNEES!$F$2:$F$1501,$A35)</f>
        <v>5</v>
      </c>
      <c r="C35" s="4" t="n">
        <f aca="false">COUNTIFS(DONNEES!$H$2:$H$1501,"NOTABLE",DONNEES!$L$2:$L$1501,"Correct",DONNEES!$F$2:$F$1501,$A35)</f>
        <v>4</v>
      </c>
      <c r="D35" s="4" t="n">
        <f aca="false">COUNTIFS(DONNEES!$H$2:$H$1501,"NOTABLE",DONNEES!$L$2:$L$1501,"Pas d’info à tort",DONNEES!$F$2:$F$1501,$A35)</f>
        <v>1</v>
      </c>
      <c r="E35" s="4" t="n">
        <f aca="false">COUNTIFS(DONNEES!$H$2:$H$1501,"NOTABLE",DONNEES!$L$2:$L$1501,"Incorrect",DONNEES!$F$2:$F$1501,$A35)</f>
        <v>0</v>
      </c>
      <c r="F35" s="4" t="n">
        <f aca="false">COUNTIFS(DONNEES!$H$2:$H$1501,"NOTABLE",DONNEES!$L$2:$L$1501,"Hors sujet",DONNEES!$F$2:$F$1501,$A35)</f>
        <v>0</v>
      </c>
      <c r="G35" s="25" t="n">
        <f aca="false">IF($B35=0,"",C35/$B35)</f>
        <v>0.8</v>
      </c>
      <c r="H35" s="25" t="n">
        <f aca="false">IF($B35=0,"",D35/$B35)</f>
        <v>0.2</v>
      </c>
      <c r="I35" s="25" t="n">
        <f aca="false">IF($B35=0,"",E35/$B35)</f>
        <v>0</v>
      </c>
      <c r="J35" s="25" t="n">
        <f aca="false">IF($B35=0,"",F35/$B35)</f>
        <v>0</v>
      </c>
      <c r="K35" s="26" t="n">
        <f aca="false">IFERROR(AVERAGEIFS(DONNEES!$O$2:$O$1501,DONNEES!$F$2:$F$1501,$A35),"")</f>
        <v>21.89</v>
      </c>
    </row>
    <row r="36" customFormat="false" ht="15" hidden="false" customHeight="false" outlineLevel="0" collapsed="false">
      <c r="A36" s="4" t="s">
        <v>2966</v>
      </c>
      <c r="B36" s="4" t="n">
        <f aca="false">COUNTIFS(DONNEES!$H$2:$H$1501,"NOTABLE",DONNEES!$L$2:$L$1501,"Correct",DONNEES!$F$2:$F$1501,$A36)+COUNTIFS(DONNEES!$H$2:$H$1501,"NOTABLE",DONNEES!$L$2:$L$1501,"Pas d’info à tort",DONNEES!$F$2:$F$1501,$A36)+COUNTIFS(DONNEES!$H$2:$H$1501,"NOTABLE",DONNEES!$L$2:$L$1501,"Incorrect",DONNEES!$F$2:$F$1501,$A36)+COUNTIFS(DONNEES!$H$2:$H$1501,"NOTABLE",DONNEES!$L$2:$L$1501,"Hors sujet",DONNEES!$F$2:$F$1501,$A36)</f>
        <v>5</v>
      </c>
      <c r="C36" s="4" t="n">
        <f aca="false">COUNTIFS(DONNEES!$H$2:$H$1501,"NOTABLE",DONNEES!$L$2:$L$1501,"Correct",DONNEES!$F$2:$F$1501,$A36)</f>
        <v>4</v>
      </c>
      <c r="D36" s="4" t="n">
        <f aca="false">COUNTIFS(DONNEES!$H$2:$H$1501,"NOTABLE",DONNEES!$L$2:$L$1501,"Pas d’info à tort",DONNEES!$F$2:$F$1501,$A36)</f>
        <v>1</v>
      </c>
      <c r="E36" s="4" t="n">
        <f aca="false">COUNTIFS(DONNEES!$H$2:$H$1501,"NOTABLE",DONNEES!$L$2:$L$1501,"Incorrect",DONNEES!$F$2:$F$1501,$A36)</f>
        <v>0</v>
      </c>
      <c r="F36" s="4" t="n">
        <f aca="false">COUNTIFS(DONNEES!$H$2:$H$1501,"NOTABLE",DONNEES!$L$2:$L$1501,"Hors sujet",DONNEES!$F$2:$F$1501,$A36)</f>
        <v>0</v>
      </c>
      <c r="G36" s="25" t="n">
        <f aca="false">IF($B36=0,"",C36/$B36)</f>
        <v>0.8</v>
      </c>
      <c r="H36" s="25" t="n">
        <f aca="false">IF($B36=0,"",D36/$B36)</f>
        <v>0.2</v>
      </c>
      <c r="I36" s="25" t="n">
        <f aca="false">IF($B36=0,"",E36/$B36)</f>
        <v>0</v>
      </c>
      <c r="J36" s="25" t="n">
        <f aca="false">IF($B36=0,"",F36/$B36)</f>
        <v>0</v>
      </c>
      <c r="K36" s="26" t="n">
        <f aca="false">IFERROR(AVERAGEIFS(DONNEES!$O$2:$O$1501,DONNEES!$F$2:$F$1501,$A36),"")</f>
        <v>18.736</v>
      </c>
    </row>
    <row r="37" customFormat="false" ht="15" hidden="false" customHeight="false" outlineLevel="0" collapsed="false">
      <c r="A37" s="4" t="s">
        <v>2147</v>
      </c>
      <c r="B37" s="4" t="n">
        <f aca="false">COUNTIFS(DONNEES!$H$2:$H$1501,"NOTABLE",DONNEES!$L$2:$L$1501,"Correct",DONNEES!$F$2:$F$1501,$A37)+COUNTIFS(DONNEES!$H$2:$H$1501,"NOTABLE",DONNEES!$L$2:$L$1501,"Pas d’info à tort",DONNEES!$F$2:$F$1501,$A37)+COUNTIFS(DONNEES!$H$2:$H$1501,"NOTABLE",DONNEES!$L$2:$L$1501,"Incorrect",DONNEES!$F$2:$F$1501,$A37)+COUNTIFS(DONNEES!$H$2:$H$1501,"NOTABLE",DONNEES!$L$2:$L$1501,"Hors sujet",DONNEES!$F$2:$F$1501,$A37)</f>
        <v>5</v>
      </c>
      <c r="C37" s="4" t="n">
        <f aca="false">COUNTIFS(DONNEES!$H$2:$H$1501,"NOTABLE",DONNEES!$L$2:$L$1501,"Correct",DONNEES!$F$2:$F$1501,$A37)</f>
        <v>4</v>
      </c>
      <c r="D37" s="4" t="n">
        <f aca="false">COUNTIFS(DONNEES!$H$2:$H$1501,"NOTABLE",DONNEES!$L$2:$L$1501,"Pas d’info à tort",DONNEES!$F$2:$F$1501,$A37)</f>
        <v>0</v>
      </c>
      <c r="E37" s="4" t="n">
        <f aca="false">COUNTIFS(DONNEES!$H$2:$H$1501,"NOTABLE",DONNEES!$L$2:$L$1501,"Incorrect",DONNEES!$F$2:$F$1501,$A37)</f>
        <v>1</v>
      </c>
      <c r="F37" s="4" t="n">
        <f aca="false">COUNTIFS(DONNEES!$H$2:$H$1501,"NOTABLE",DONNEES!$L$2:$L$1501,"Hors sujet",DONNEES!$F$2:$F$1501,$A37)</f>
        <v>0</v>
      </c>
      <c r="G37" s="25" t="n">
        <f aca="false">IF($B37=0,"",C37/$B37)</f>
        <v>0.8</v>
      </c>
      <c r="H37" s="25" t="n">
        <f aca="false">IF($B37=0,"",D37/$B37)</f>
        <v>0</v>
      </c>
      <c r="I37" s="25" t="n">
        <f aca="false">IF($B37=0,"",E37/$B37)</f>
        <v>0.2</v>
      </c>
      <c r="J37" s="25" t="n">
        <f aca="false">IF($B37=0,"",F37/$B37)</f>
        <v>0</v>
      </c>
      <c r="K37" s="26" t="n">
        <f aca="false">IFERROR(AVERAGEIFS(DONNEES!$O$2:$O$1501,DONNEES!$F$2:$F$1501,$A37),"")</f>
        <v>18.586</v>
      </c>
    </row>
    <row r="38" customFormat="false" ht="15" hidden="false" customHeight="false" outlineLevel="0" collapsed="false">
      <c r="A38" s="4" t="s">
        <v>579</v>
      </c>
      <c r="B38" s="4" t="n">
        <f aca="false">COUNTIFS(DONNEES!$H$2:$H$1501,"NOTABLE",DONNEES!$L$2:$L$1501,"Correct",DONNEES!$F$2:$F$1501,$A38)+COUNTIFS(DONNEES!$H$2:$H$1501,"NOTABLE",DONNEES!$L$2:$L$1501,"Pas d’info à tort",DONNEES!$F$2:$F$1501,$A38)+COUNTIFS(DONNEES!$H$2:$H$1501,"NOTABLE",DONNEES!$L$2:$L$1501,"Incorrect",DONNEES!$F$2:$F$1501,$A38)+COUNTIFS(DONNEES!$H$2:$H$1501,"NOTABLE",DONNEES!$L$2:$L$1501,"Hors sujet",DONNEES!$F$2:$F$1501,$A38)</f>
        <v>5</v>
      </c>
      <c r="C38" s="4" t="n">
        <f aca="false">COUNTIFS(DONNEES!$H$2:$H$1501,"NOTABLE",DONNEES!$L$2:$L$1501,"Correct",DONNEES!$F$2:$F$1501,$A38)</f>
        <v>4</v>
      </c>
      <c r="D38" s="4" t="n">
        <f aca="false">COUNTIFS(DONNEES!$H$2:$H$1501,"NOTABLE",DONNEES!$L$2:$L$1501,"Pas d’info à tort",DONNEES!$F$2:$F$1501,$A38)</f>
        <v>1</v>
      </c>
      <c r="E38" s="4" t="n">
        <f aca="false">COUNTIFS(DONNEES!$H$2:$H$1501,"NOTABLE",DONNEES!$L$2:$L$1501,"Incorrect",DONNEES!$F$2:$F$1501,$A38)</f>
        <v>0</v>
      </c>
      <c r="F38" s="4" t="n">
        <f aca="false">COUNTIFS(DONNEES!$H$2:$H$1501,"NOTABLE",DONNEES!$L$2:$L$1501,"Hors sujet",DONNEES!$F$2:$F$1501,$A38)</f>
        <v>0</v>
      </c>
      <c r="G38" s="25" t="n">
        <f aca="false">IF($B38=0,"",C38/$B38)</f>
        <v>0.8</v>
      </c>
      <c r="H38" s="25" t="n">
        <f aca="false">IF($B38=0,"",D38/$B38)</f>
        <v>0.2</v>
      </c>
      <c r="I38" s="25" t="n">
        <f aca="false">IF($B38=0,"",E38/$B38)</f>
        <v>0</v>
      </c>
      <c r="J38" s="25" t="n">
        <f aca="false">IF($B38=0,"",F38/$B38)</f>
        <v>0</v>
      </c>
      <c r="K38" s="26" t="n">
        <f aca="false">IFERROR(AVERAGEIFS(DONNEES!$O$2:$O$1501,DONNEES!$F$2:$F$1501,$A38),"")</f>
        <v>20.778</v>
      </c>
    </row>
    <row r="39" customFormat="false" ht="15" hidden="false" customHeight="false" outlineLevel="0" collapsed="false">
      <c r="A39" s="4" t="s">
        <v>1137</v>
      </c>
      <c r="B39" s="4" t="n">
        <f aca="false">COUNTIFS(DONNEES!$H$2:$H$1501,"NOTABLE",DONNEES!$L$2:$L$1501,"Correct",DONNEES!$F$2:$F$1501,$A39)+COUNTIFS(DONNEES!$H$2:$H$1501,"NOTABLE",DONNEES!$L$2:$L$1501,"Pas d’info à tort",DONNEES!$F$2:$F$1501,$A39)+COUNTIFS(DONNEES!$H$2:$H$1501,"NOTABLE",DONNEES!$L$2:$L$1501,"Incorrect",DONNEES!$F$2:$F$1501,$A39)+COUNTIFS(DONNEES!$H$2:$H$1501,"NOTABLE",DONNEES!$L$2:$L$1501,"Hors sujet",DONNEES!$F$2:$F$1501,$A39)</f>
        <v>5</v>
      </c>
      <c r="C39" s="4" t="n">
        <f aca="false">COUNTIFS(DONNEES!$H$2:$H$1501,"NOTABLE",DONNEES!$L$2:$L$1501,"Correct",DONNEES!$F$2:$F$1501,$A39)</f>
        <v>4</v>
      </c>
      <c r="D39" s="4" t="n">
        <f aca="false">COUNTIFS(DONNEES!$H$2:$H$1501,"NOTABLE",DONNEES!$L$2:$L$1501,"Pas d’info à tort",DONNEES!$F$2:$F$1501,$A39)</f>
        <v>1</v>
      </c>
      <c r="E39" s="4" t="n">
        <f aca="false">COUNTIFS(DONNEES!$H$2:$H$1501,"NOTABLE",DONNEES!$L$2:$L$1501,"Incorrect",DONNEES!$F$2:$F$1501,$A39)</f>
        <v>0</v>
      </c>
      <c r="F39" s="4" t="n">
        <f aca="false">COUNTIFS(DONNEES!$H$2:$H$1501,"NOTABLE",DONNEES!$L$2:$L$1501,"Hors sujet",DONNEES!$F$2:$F$1501,$A39)</f>
        <v>0</v>
      </c>
      <c r="G39" s="25" t="n">
        <f aca="false">IF($B39=0,"",C39/$B39)</f>
        <v>0.8</v>
      </c>
      <c r="H39" s="25" t="n">
        <f aca="false">IF($B39=0,"",D39/$B39)</f>
        <v>0.2</v>
      </c>
      <c r="I39" s="25" t="n">
        <f aca="false">IF($B39=0,"",E39/$B39)</f>
        <v>0</v>
      </c>
      <c r="J39" s="25" t="n">
        <f aca="false">IF($B39=0,"",F39/$B39)</f>
        <v>0</v>
      </c>
      <c r="K39" s="26" t="n">
        <f aca="false">IFERROR(AVERAGEIFS(DONNEES!$O$2:$O$1501,DONNEES!$F$2:$F$1501,$A39),"")</f>
        <v>17.338</v>
      </c>
    </row>
    <row r="40" customFormat="false" ht="15" hidden="false" customHeight="false" outlineLevel="0" collapsed="false">
      <c r="A40" s="4" t="s">
        <v>505</v>
      </c>
      <c r="B40" s="4" t="n">
        <f aca="false">COUNTIFS(DONNEES!$H$2:$H$1501,"NOTABLE",DONNEES!$L$2:$L$1501,"Correct",DONNEES!$F$2:$F$1501,$A40)+COUNTIFS(DONNEES!$H$2:$H$1501,"NOTABLE",DONNEES!$L$2:$L$1501,"Pas d’info à tort",DONNEES!$F$2:$F$1501,$A40)+COUNTIFS(DONNEES!$H$2:$H$1501,"NOTABLE",DONNEES!$L$2:$L$1501,"Incorrect",DONNEES!$F$2:$F$1501,$A40)+COUNTIFS(DONNEES!$H$2:$H$1501,"NOTABLE",DONNEES!$L$2:$L$1501,"Hors sujet",DONNEES!$F$2:$F$1501,$A40)</f>
        <v>5</v>
      </c>
      <c r="C40" s="4" t="n">
        <f aca="false">COUNTIFS(DONNEES!$H$2:$H$1501,"NOTABLE",DONNEES!$L$2:$L$1501,"Correct",DONNEES!$F$2:$F$1501,$A40)</f>
        <v>4</v>
      </c>
      <c r="D40" s="4" t="n">
        <f aca="false">COUNTIFS(DONNEES!$H$2:$H$1501,"NOTABLE",DONNEES!$L$2:$L$1501,"Pas d’info à tort",DONNEES!$F$2:$F$1501,$A40)</f>
        <v>1</v>
      </c>
      <c r="E40" s="4" t="n">
        <f aca="false">COUNTIFS(DONNEES!$H$2:$H$1501,"NOTABLE",DONNEES!$L$2:$L$1501,"Incorrect",DONNEES!$F$2:$F$1501,$A40)</f>
        <v>0</v>
      </c>
      <c r="F40" s="4" t="n">
        <f aca="false">COUNTIFS(DONNEES!$H$2:$H$1501,"NOTABLE",DONNEES!$L$2:$L$1501,"Hors sujet",DONNEES!$F$2:$F$1501,$A40)</f>
        <v>0</v>
      </c>
      <c r="G40" s="25" t="n">
        <f aca="false">IF($B40=0,"",C40/$B40)</f>
        <v>0.8</v>
      </c>
      <c r="H40" s="25" t="n">
        <f aca="false">IF($B40=0,"",D40/$B40)</f>
        <v>0.2</v>
      </c>
      <c r="I40" s="25" t="n">
        <f aca="false">IF($B40=0,"",E40/$B40)</f>
        <v>0</v>
      </c>
      <c r="J40" s="25" t="n">
        <f aca="false">IF($B40=0,"",F40/$B40)</f>
        <v>0</v>
      </c>
      <c r="K40" s="26" t="n">
        <f aca="false">IFERROR(AVERAGEIFS(DONNEES!$O$2:$O$1501,DONNEES!$F$2:$F$1501,$A40),"")</f>
        <v>23.35</v>
      </c>
    </row>
    <row r="41" customFormat="false" ht="15" hidden="false" customHeight="false" outlineLevel="0" collapsed="false">
      <c r="A41" s="4" t="s">
        <v>192</v>
      </c>
      <c r="B41" s="4" t="n">
        <f aca="false">COUNTIFS(DONNEES!$H$2:$H$1501,"NOTABLE",DONNEES!$L$2:$L$1501,"Correct",DONNEES!$F$2:$F$1501,$A41)+COUNTIFS(DONNEES!$H$2:$H$1501,"NOTABLE",DONNEES!$L$2:$L$1501,"Pas d’info à tort",DONNEES!$F$2:$F$1501,$A41)+COUNTIFS(DONNEES!$H$2:$H$1501,"NOTABLE",DONNEES!$L$2:$L$1501,"Incorrect",DONNEES!$F$2:$F$1501,$A41)+COUNTIFS(DONNEES!$H$2:$H$1501,"NOTABLE",DONNEES!$L$2:$L$1501,"Hors sujet",DONNEES!$F$2:$F$1501,$A41)</f>
        <v>5</v>
      </c>
      <c r="C41" s="4" t="n">
        <f aca="false">COUNTIFS(DONNEES!$H$2:$H$1501,"NOTABLE",DONNEES!$L$2:$L$1501,"Correct",DONNEES!$F$2:$F$1501,$A41)</f>
        <v>4</v>
      </c>
      <c r="D41" s="4" t="n">
        <f aca="false">COUNTIFS(DONNEES!$H$2:$H$1501,"NOTABLE",DONNEES!$L$2:$L$1501,"Pas d’info à tort",DONNEES!$F$2:$F$1501,$A41)</f>
        <v>1</v>
      </c>
      <c r="E41" s="4" t="n">
        <f aca="false">COUNTIFS(DONNEES!$H$2:$H$1501,"NOTABLE",DONNEES!$L$2:$L$1501,"Incorrect",DONNEES!$F$2:$F$1501,$A41)</f>
        <v>0</v>
      </c>
      <c r="F41" s="4" t="n">
        <f aca="false">COUNTIFS(DONNEES!$H$2:$H$1501,"NOTABLE",DONNEES!$L$2:$L$1501,"Hors sujet",DONNEES!$F$2:$F$1501,$A41)</f>
        <v>0</v>
      </c>
      <c r="G41" s="25" t="n">
        <f aca="false">IF($B41=0,"",C41/$B41)</f>
        <v>0.8</v>
      </c>
      <c r="H41" s="25" t="n">
        <f aca="false">IF($B41=0,"",D41/$B41)</f>
        <v>0.2</v>
      </c>
      <c r="I41" s="25" t="n">
        <f aca="false">IF($B41=0,"",E41/$B41)</f>
        <v>0</v>
      </c>
      <c r="J41" s="25" t="n">
        <f aca="false">IF($B41=0,"",F41/$B41)</f>
        <v>0</v>
      </c>
      <c r="K41" s="26" t="n">
        <f aca="false">IFERROR(AVERAGEIFS(DONNEES!$O$2:$O$1501,DONNEES!$F$2:$F$1501,$A41),"")</f>
        <v>18.47</v>
      </c>
    </row>
    <row r="42" customFormat="false" ht="15" hidden="false" customHeight="false" outlineLevel="0" collapsed="false">
      <c r="A42" s="4" t="s">
        <v>1473</v>
      </c>
      <c r="B42" s="4" t="n">
        <f aca="false">COUNTIFS(DONNEES!$H$2:$H$1501,"NOTABLE",DONNEES!$L$2:$L$1501,"Correct",DONNEES!$F$2:$F$1501,$A42)+COUNTIFS(DONNEES!$H$2:$H$1501,"NOTABLE",DONNEES!$L$2:$L$1501,"Pas d’info à tort",DONNEES!$F$2:$F$1501,$A42)+COUNTIFS(DONNEES!$H$2:$H$1501,"NOTABLE",DONNEES!$L$2:$L$1501,"Incorrect",DONNEES!$F$2:$F$1501,$A42)+COUNTIFS(DONNEES!$H$2:$H$1501,"NOTABLE",DONNEES!$L$2:$L$1501,"Hors sujet",DONNEES!$F$2:$F$1501,$A42)</f>
        <v>22</v>
      </c>
      <c r="C42" s="4" t="n">
        <f aca="false">COUNTIFS(DONNEES!$H$2:$H$1501,"NOTABLE",DONNEES!$L$2:$L$1501,"Correct",DONNEES!$F$2:$F$1501,$A42)</f>
        <v>18</v>
      </c>
      <c r="D42" s="4" t="n">
        <f aca="false">COUNTIFS(DONNEES!$H$2:$H$1501,"NOTABLE",DONNEES!$L$2:$L$1501,"Pas d’info à tort",DONNEES!$F$2:$F$1501,$A42)</f>
        <v>0</v>
      </c>
      <c r="E42" s="4" t="n">
        <f aca="false">COUNTIFS(DONNEES!$H$2:$H$1501,"NOTABLE",DONNEES!$L$2:$L$1501,"Incorrect",DONNEES!$F$2:$F$1501,$A42)</f>
        <v>2</v>
      </c>
      <c r="F42" s="4" t="n">
        <f aca="false">COUNTIFS(DONNEES!$H$2:$H$1501,"NOTABLE",DONNEES!$L$2:$L$1501,"Hors sujet",DONNEES!$F$2:$F$1501,$A42)</f>
        <v>2</v>
      </c>
      <c r="G42" s="25" t="n">
        <f aca="false">IF($B42=0,"",C42/$B42)</f>
        <v>0.818181818181818</v>
      </c>
      <c r="H42" s="25" t="n">
        <f aca="false">IF($B42=0,"",D42/$B42)</f>
        <v>0</v>
      </c>
      <c r="I42" s="25" t="n">
        <f aca="false">IF($B42=0,"",E42/$B42)</f>
        <v>0.0909090909090909</v>
      </c>
      <c r="J42" s="25" t="n">
        <f aca="false">IF($B42=0,"",F42/$B42)</f>
        <v>0.0909090909090909</v>
      </c>
      <c r="K42" s="26" t="n">
        <f aca="false">IFERROR(AVERAGEIFS(DONNEES!$O$2:$O$1501,DONNEES!$F$2:$F$1501,$A42),"")</f>
        <v>16.7</v>
      </c>
    </row>
    <row r="43" customFormat="false" ht="15" hidden="false" customHeight="false" outlineLevel="0" collapsed="false">
      <c r="A43" s="4" t="s">
        <v>215</v>
      </c>
      <c r="B43" s="4" t="n">
        <f aca="false">COUNTIFS(DONNEES!$H$2:$H$1501,"NOTABLE",DONNEES!$L$2:$L$1501,"Correct",DONNEES!$F$2:$F$1501,$A43)+COUNTIFS(DONNEES!$H$2:$H$1501,"NOTABLE",DONNEES!$L$2:$L$1501,"Pas d’info à tort",DONNEES!$F$2:$F$1501,$A43)+COUNTIFS(DONNEES!$H$2:$H$1501,"NOTABLE",DONNEES!$L$2:$L$1501,"Incorrect",DONNEES!$F$2:$F$1501,$A43)+COUNTIFS(DONNEES!$H$2:$H$1501,"NOTABLE",DONNEES!$L$2:$L$1501,"Hors sujet",DONNEES!$F$2:$F$1501,$A43)</f>
        <v>22</v>
      </c>
      <c r="C43" s="4" t="n">
        <f aca="false">COUNTIFS(DONNEES!$H$2:$H$1501,"NOTABLE",DONNEES!$L$2:$L$1501,"Correct",DONNEES!$F$2:$F$1501,$A43)</f>
        <v>18</v>
      </c>
      <c r="D43" s="4" t="n">
        <f aca="false">COUNTIFS(DONNEES!$H$2:$H$1501,"NOTABLE",DONNEES!$L$2:$L$1501,"Pas d’info à tort",DONNEES!$F$2:$F$1501,$A43)</f>
        <v>3</v>
      </c>
      <c r="E43" s="4" t="n">
        <f aca="false">COUNTIFS(DONNEES!$H$2:$H$1501,"NOTABLE",DONNEES!$L$2:$L$1501,"Incorrect",DONNEES!$F$2:$F$1501,$A43)</f>
        <v>1</v>
      </c>
      <c r="F43" s="4" t="n">
        <f aca="false">COUNTIFS(DONNEES!$H$2:$H$1501,"NOTABLE",DONNEES!$L$2:$L$1501,"Hors sujet",DONNEES!$F$2:$F$1501,$A43)</f>
        <v>0</v>
      </c>
      <c r="G43" s="25" t="n">
        <f aca="false">IF($B43=0,"",C43/$B43)</f>
        <v>0.818181818181818</v>
      </c>
      <c r="H43" s="25" t="n">
        <f aca="false">IF($B43=0,"",D43/$B43)</f>
        <v>0.136363636363636</v>
      </c>
      <c r="I43" s="25" t="n">
        <f aca="false">IF($B43=0,"",E43/$B43)</f>
        <v>0.0454545454545455</v>
      </c>
      <c r="J43" s="25" t="n">
        <f aca="false">IF($B43=0,"",F43/$B43)</f>
        <v>0</v>
      </c>
      <c r="K43" s="26" t="n">
        <f aca="false">IFERROR(AVERAGEIFS(DONNEES!$O$2:$O$1501,DONNEES!$F$2:$F$1501,$A43),"")</f>
        <v>15.7764</v>
      </c>
    </row>
    <row r="44" customFormat="false" ht="15" hidden="false" customHeight="false" outlineLevel="0" collapsed="false">
      <c r="A44" s="4" t="s">
        <v>339</v>
      </c>
      <c r="B44" s="4" t="n">
        <f aca="false">COUNTIFS(DONNEES!$H$2:$H$1501,"NOTABLE",DONNEES!$L$2:$L$1501,"Correct",DONNEES!$F$2:$F$1501,$A44)+COUNTIFS(DONNEES!$H$2:$H$1501,"NOTABLE",DONNEES!$L$2:$L$1501,"Pas d’info à tort",DONNEES!$F$2:$F$1501,$A44)+COUNTIFS(DONNEES!$H$2:$H$1501,"NOTABLE",DONNEES!$L$2:$L$1501,"Incorrect",DONNEES!$F$2:$F$1501,$A44)+COUNTIFS(DONNEES!$H$2:$H$1501,"NOTABLE",DONNEES!$L$2:$L$1501,"Hors sujet",DONNEES!$F$2:$F$1501,$A44)</f>
        <v>18</v>
      </c>
      <c r="C44" s="4" t="n">
        <f aca="false">COUNTIFS(DONNEES!$H$2:$H$1501,"NOTABLE",DONNEES!$L$2:$L$1501,"Correct",DONNEES!$F$2:$F$1501,$A44)</f>
        <v>15</v>
      </c>
      <c r="D44" s="4" t="n">
        <f aca="false">COUNTIFS(DONNEES!$H$2:$H$1501,"NOTABLE",DONNEES!$L$2:$L$1501,"Pas d’info à tort",DONNEES!$F$2:$F$1501,$A44)</f>
        <v>3</v>
      </c>
      <c r="E44" s="4" t="n">
        <f aca="false">COUNTIFS(DONNEES!$H$2:$H$1501,"NOTABLE",DONNEES!$L$2:$L$1501,"Incorrect",DONNEES!$F$2:$F$1501,$A44)</f>
        <v>0</v>
      </c>
      <c r="F44" s="4" t="n">
        <f aca="false">COUNTIFS(DONNEES!$H$2:$H$1501,"NOTABLE",DONNEES!$L$2:$L$1501,"Hors sujet",DONNEES!$F$2:$F$1501,$A44)</f>
        <v>0</v>
      </c>
      <c r="G44" s="25" t="n">
        <f aca="false">IF($B44=0,"",C44/$B44)</f>
        <v>0.833333333333333</v>
      </c>
      <c r="H44" s="25" t="n">
        <f aca="false">IF($B44=0,"",D44/$B44)</f>
        <v>0.166666666666667</v>
      </c>
      <c r="I44" s="25" t="n">
        <f aca="false">IF($B44=0,"",E44/$B44)</f>
        <v>0</v>
      </c>
      <c r="J44" s="25" t="n">
        <f aca="false">IF($B44=0,"",F44/$B44)</f>
        <v>0</v>
      </c>
      <c r="K44" s="26" t="n">
        <f aca="false">IFERROR(AVERAGEIFS(DONNEES!$O$2:$O$1501,DONNEES!$F$2:$F$1501,$A44),"")</f>
        <v>14.5825</v>
      </c>
    </row>
    <row r="45" customFormat="false" ht="15" hidden="false" customHeight="false" outlineLevel="0" collapsed="false">
      <c r="A45" s="4" t="s">
        <v>2824</v>
      </c>
      <c r="B45" s="4" t="n">
        <f aca="false">COUNTIFS(DONNEES!$H$2:$H$1501,"NOTABLE",DONNEES!$L$2:$L$1501,"Correct",DONNEES!$F$2:$F$1501,$A45)+COUNTIFS(DONNEES!$H$2:$H$1501,"NOTABLE",DONNEES!$L$2:$L$1501,"Pas d’info à tort",DONNEES!$F$2:$F$1501,$A45)+COUNTIFS(DONNEES!$H$2:$H$1501,"NOTABLE",DONNEES!$L$2:$L$1501,"Incorrect",DONNEES!$F$2:$F$1501,$A45)+COUNTIFS(DONNEES!$H$2:$H$1501,"NOTABLE",DONNEES!$L$2:$L$1501,"Hors sujet",DONNEES!$F$2:$F$1501,$A45)</f>
        <v>6</v>
      </c>
      <c r="C45" s="4" t="n">
        <f aca="false">COUNTIFS(DONNEES!$H$2:$H$1501,"NOTABLE",DONNEES!$L$2:$L$1501,"Correct",DONNEES!$F$2:$F$1501,$A45)</f>
        <v>5</v>
      </c>
      <c r="D45" s="4" t="n">
        <f aca="false">COUNTIFS(DONNEES!$H$2:$H$1501,"NOTABLE",DONNEES!$L$2:$L$1501,"Pas d’info à tort",DONNEES!$F$2:$F$1501,$A45)</f>
        <v>1</v>
      </c>
      <c r="E45" s="4" t="n">
        <f aca="false">COUNTIFS(DONNEES!$H$2:$H$1501,"NOTABLE",DONNEES!$L$2:$L$1501,"Incorrect",DONNEES!$F$2:$F$1501,$A45)</f>
        <v>0</v>
      </c>
      <c r="F45" s="4" t="n">
        <f aca="false">COUNTIFS(DONNEES!$H$2:$H$1501,"NOTABLE",DONNEES!$L$2:$L$1501,"Hors sujet",DONNEES!$F$2:$F$1501,$A45)</f>
        <v>0</v>
      </c>
      <c r="G45" s="25" t="n">
        <f aca="false">IF($B45=0,"",C45/$B45)</f>
        <v>0.833333333333333</v>
      </c>
      <c r="H45" s="25" t="n">
        <f aca="false">IF($B45=0,"",D45/$B45)</f>
        <v>0.166666666666667</v>
      </c>
      <c r="I45" s="25" t="n">
        <f aca="false">IF($B45=0,"",E45/$B45)</f>
        <v>0</v>
      </c>
      <c r="J45" s="25" t="n">
        <f aca="false">IF($B45=0,"",F45/$B45)</f>
        <v>0</v>
      </c>
      <c r="K45" s="26" t="n">
        <f aca="false">IFERROR(AVERAGEIFS(DONNEES!$O$2:$O$1501,DONNEES!$F$2:$F$1501,$A45),"")</f>
        <v>32.6214285714286</v>
      </c>
    </row>
    <row r="46" customFormat="false" ht="15" hidden="false" customHeight="false" outlineLevel="0" collapsed="false">
      <c r="A46" s="4" t="s">
        <v>1818</v>
      </c>
      <c r="B46" s="4" t="n">
        <f aca="false">COUNTIFS(DONNEES!$H$2:$H$1501,"NOTABLE",DONNEES!$L$2:$L$1501,"Correct",DONNEES!$F$2:$F$1501,$A46)+COUNTIFS(DONNEES!$H$2:$H$1501,"NOTABLE",DONNEES!$L$2:$L$1501,"Pas d’info à tort",DONNEES!$F$2:$F$1501,$A46)+COUNTIFS(DONNEES!$H$2:$H$1501,"NOTABLE",DONNEES!$L$2:$L$1501,"Incorrect",DONNEES!$F$2:$F$1501,$A46)+COUNTIFS(DONNEES!$H$2:$H$1501,"NOTABLE",DONNEES!$L$2:$L$1501,"Hors sujet",DONNEES!$F$2:$F$1501,$A46)</f>
        <v>6</v>
      </c>
      <c r="C46" s="4" t="n">
        <f aca="false">COUNTIFS(DONNEES!$H$2:$H$1501,"NOTABLE",DONNEES!$L$2:$L$1501,"Correct",DONNEES!$F$2:$F$1501,$A46)</f>
        <v>5</v>
      </c>
      <c r="D46" s="4" t="n">
        <f aca="false">COUNTIFS(DONNEES!$H$2:$H$1501,"NOTABLE",DONNEES!$L$2:$L$1501,"Pas d’info à tort",DONNEES!$F$2:$F$1501,$A46)</f>
        <v>0</v>
      </c>
      <c r="E46" s="4" t="n">
        <f aca="false">COUNTIFS(DONNEES!$H$2:$H$1501,"NOTABLE",DONNEES!$L$2:$L$1501,"Incorrect",DONNEES!$F$2:$F$1501,$A46)</f>
        <v>1</v>
      </c>
      <c r="F46" s="4" t="n">
        <f aca="false">COUNTIFS(DONNEES!$H$2:$H$1501,"NOTABLE",DONNEES!$L$2:$L$1501,"Hors sujet",DONNEES!$F$2:$F$1501,$A46)</f>
        <v>0</v>
      </c>
      <c r="G46" s="25" t="n">
        <f aca="false">IF($B46=0,"",C46/$B46)</f>
        <v>0.833333333333333</v>
      </c>
      <c r="H46" s="25" t="n">
        <f aca="false">IF($B46=0,"",D46/$B46)</f>
        <v>0</v>
      </c>
      <c r="I46" s="25" t="n">
        <f aca="false">IF($B46=0,"",E46/$B46)</f>
        <v>0.166666666666667</v>
      </c>
      <c r="J46" s="25" t="n">
        <f aca="false">IF($B46=0,"",F46/$B46)</f>
        <v>0</v>
      </c>
      <c r="K46" s="26" t="n">
        <f aca="false">IFERROR(AVERAGEIFS(DONNEES!$O$2:$O$1501,DONNEES!$F$2:$F$1501,$A46),"")</f>
        <v>14.24</v>
      </c>
    </row>
    <row r="47" customFormat="false" ht="15" hidden="false" customHeight="false" outlineLevel="0" collapsed="false">
      <c r="A47" s="4" t="s">
        <v>2762</v>
      </c>
      <c r="B47" s="4" t="n">
        <f aca="false">COUNTIFS(DONNEES!$H$2:$H$1501,"NOTABLE",DONNEES!$L$2:$L$1501,"Correct",DONNEES!$F$2:$F$1501,$A47)+COUNTIFS(DONNEES!$H$2:$H$1501,"NOTABLE",DONNEES!$L$2:$L$1501,"Pas d’info à tort",DONNEES!$F$2:$F$1501,$A47)+COUNTIFS(DONNEES!$H$2:$H$1501,"NOTABLE",DONNEES!$L$2:$L$1501,"Incorrect",DONNEES!$F$2:$F$1501,$A47)+COUNTIFS(DONNEES!$H$2:$H$1501,"NOTABLE",DONNEES!$L$2:$L$1501,"Hors sujet",DONNEES!$F$2:$F$1501,$A47)</f>
        <v>6</v>
      </c>
      <c r="C47" s="4" t="n">
        <f aca="false">COUNTIFS(DONNEES!$H$2:$H$1501,"NOTABLE",DONNEES!$L$2:$L$1501,"Correct",DONNEES!$F$2:$F$1501,$A47)</f>
        <v>5</v>
      </c>
      <c r="D47" s="4" t="n">
        <f aca="false">COUNTIFS(DONNEES!$H$2:$H$1501,"NOTABLE",DONNEES!$L$2:$L$1501,"Pas d’info à tort",DONNEES!$F$2:$F$1501,$A47)</f>
        <v>1</v>
      </c>
      <c r="E47" s="4" t="n">
        <f aca="false">COUNTIFS(DONNEES!$H$2:$H$1501,"NOTABLE",DONNEES!$L$2:$L$1501,"Incorrect",DONNEES!$F$2:$F$1501,$A47)</f>
        <v>0</v>
      </c>
      <c r="F47" s="4" t="n">
        <f aca="false">COUNTIFS(DONNEES!$H$2:$H$1501,"NOTABLE",DONNEES!$L$2:$L$1501,"Hors sujet",DONNEES!$F$2:$F$1501,$A47)</f>
        <v>0</v>
      </c>
      <c r="G47" s="25" t="n">
        <f aca="false">IF($B47=0,"",C47/$B47)</f>
        <v>0.833333333333333</v>
      </c>
      <c r="H47" s="25" t="n">
        <f aca="false">IF($B47=0,"",D47/$B47)</f>
        <v>0.166666666666667</v>
      </c>
      <c r="I47" s="25" t="n">
        <f aca="false">IF($B47=0,"",E47/$B47)</f>
        <v>0</v>
      </c>
      <c r="J47" s="25" t="n">
        <f aca="false">IF($B47=0,"",F47/$B47)</f>
        <v>0</v>
      </c>
      <c r="K47" s="26" t="n">
        <f aca="false">IFERROR(AVERAGEIFS(DONNEES!$O$2:$O$1501,DONNEES!$F$2:$F$1501,$A47),"")</f>
        <v>14.4771428571429</v>
      </c>
    </row>
    <row r="48" customFormat="false" ht="15" hidden="false" customHeight="false" outlineLevel="0" collapsed="false">
      <c r="A48" s="4" t="s">
        <v>1979</v>
      </c>
      <c r="B48" s="4" t="n">
        <f aca="false">COUNTIFS(DONNEES!$H$2:$H$1501,"NOTABLE",DONNEES!$L$2:$L$1501,"Correct",DONNEES!$F$2:$F$1501,$A48)+COUNTIFS(DONNEES!$H$2:$H$1501,"NOTABLE",DONNEES!$L$2:$L$1501,"Pas d’info à tort",DONNEES!$F$2:$F$1501,$A48)+COUNTIFS(DONNEES!$H$2:$H$1501,"NOTABLE",DONNEES!$L$2:$L$1501,"Incorrect",DONNEES!$F$2:$F$1501,$A48)+COUNTIFS(DONNEES!$H$2:$H$1501,"NOTABLE",DONNEES!$L$2:$L$1501,"Hors sujet",DONNEES!$F$2:$F$1501,$A48)</f>
        <v>6</v>
      </c>
      <c r="C48" s="4" t="n">
        <f aca="false">COUNTIFS(DONNEES!$H$2:$H$1501,"NOTABLE",DONNEES!$L$2:$L$1501,"Correct",DONNEES!$F$2:$F$1501,$A48)</f>
        <v>5</v>
      </c>
      <c r="D48" s="4" t="n">
        <f aca="false">COUNTIFS(DONNEES!$H$2:$H$1501,"NOTABLE",DONNEES!$L$2:$L$1501,"Pas d’info à tort",DONNEES!$F$2:$F$1501,$A48)</f>
        <v>0</v>
      </c>
      <c r="E48" s="4" t="n">
        <f aca="false">COUNTIFS(DONNEES!$H$2:$H$1501,"NOTABLE",DONNEES!$L$2:$L$1501,"Incorrect",DONNEES!$F$2:$F$1501,$A48)</f>
        <v>0</v>
      </c>
      <c r="F48" s="4" t="n">
        <f aca="false">COUNTIFS(DONNEES!$H$2:$H$1501,"NOTABLE",DONNEES!$L$2:$L$1501,"Hors sujet",DONNEES!$F$2:$F$1501,$A48)</f>
        <v>1</v>
      </c>
      <c r="G48" s="25" t="n">
        <f aca="false">IF($B48=0,"",C48/$B48)</f>
        <v>0.833333333333333</v>
      </c>
      <c r="H48" s="25" t="n">
        <f aca="false">IF($B48=0,"",D48/$B48)</f>
        <v>0</v>
      </c>
      <c r="I48" s="25" t="n">
        <f aca="false">IF($B48=0,"",E48/$B48)</f>
        <v>0</v>
      </c>
      <c r="J48" s="25" t="n">
        <f aca="false">IF($B48=0,"",F48/$B48)</f>
        <v>0.166666666666667</v>
      </c>
      <c r="K48" s="26" t="n">
        <f aca="false">IFERROR(AVERAGEIFS(DONNEES!$O$2:$O$1501,DONNEES!$F$2:$F$1501,$A48),"")</f>
        <v>15.7957142857143</v>
      </c>
    </row>
    <row r="49" customFormat="false" ht="15" hidden="false" customHeight="false" outlineLevel="0" collapsed="false">
      <c r="A49" s="4" t="s">
        <v>2496</v>
      </c>
      <c r="B49" s="4" t="n">
        <f aca="false">COUNTIFS(DONNEES!$H$2:$H$1501,"NOTABLE",DONNEES!$L$2:$L$1501,"Correct",DONNEES!$F$2:$F$1501,$A49)+COUNTIFS(DONNEES!$H$2:$H$1501,"NOTABLE",DONNEES!$L$2:$L$1501,"Pas d’info à tort",DONNEES!$F$2:$F$1501,$A49)+COUNTIFS(DONNEES!$H$2:$H$1501,"NOTABLE",DONNEES!$L$2:$L$1501,"Incorrect",DONNEES!$F$2:$F$1501,$A49)+COUNTIFS(DONNEES!$H$2:$H$1501,"NOTABLE",DONNEES!$L$2:$L$1501,"Hors sujet",DONNEES!$F$2:$F$1501,$A49)</f>
        <v>6</v>
      </c>
      <c r="C49" s="4" t="n">
        <f aca="false">COUNTIFS(DONNEES!$H$2:$H$1501,"NOTABLE",DONNEES!$L$2:$L$1501,"Correct",DONNEES!$F$2:$F$1501,$A49)</f>
        <v>5</v>
      </c>
      <c r="D49" s="4" t="n">
        <f aca="false">COUNTIFS(DONNEES!$H$2:$H$1501,"NOTABLE",DONNEES!$L$2:$L$1501,"Pas d’info à tort",DONNEES!$F$2:$F$1501,$A49)</f>
        <v>1</v>
      </c>
      <c r="E49" s="4" t="n">
        <f aca="false">COUNTIFS(DONNEES!$H$2:$H$1501,"NOTABLE",DONNEES!$L$2:$L$1501,"Incorrect",DONNEES!$F$2:$F$1501,$A49)</f>
        <v>0</v>
      </c>
      <c r="F49" s="4" t="n">
        <f aca="false">COUNTIFS(DONNEES!$H$2:$H$1501,"NOTABLE",DONNEES!$L$2:$L$1501,"Hors sujet",DONNEES!$F$2:$F$1501,$A49)</f>
        <v>0</v>
      </c>
      <c r="G49" s="25" t="n">
        <f aca="false">IF($B49=0,"",C49/$B49)</f>
        <v>0.833333333333333</v>
      </c>
      <c r="H49" s="25" t="n">
        <f aca="false">IF($B49=0,"",D49/$B49)</f>
        <v>0.166666666666667</v>
      </c>
      <c r="I49" s="25" t="n">
        <f aca="false">IF($B49=0,"",E49/$B49)</f>
        <v>0</v>
      </c>
      <c r="J49" s="25" t="n">
        <f aca="false">IF($B49=0,"",F49/$B49)</f>
        <v>0</v>
      </c>
      <c r="K49" s="26" t="n">
        <f aca="false">IFERROR(AVERAGEIFS(DONNEES!$O$2:$O$1501,DONNEES!$F$2:$F$1501,$A49),"")</f>
        <v>16.35</v>
      </c>
    </row>
    <row r="50" customFormat="false" ht="15" hidden="false" customHeight="false" outlineLevel="0" collapsed="false">
      <c r="A50" s="4" t="s">
        <v>2387</v>
      </c>
      <c r="B50" s="4" t="n">
        <f aca="false">COUNTIFS(DONNEES!$H$2:$H$1501,"NOTABLE",DONNEES!$L$2:$L$1501,"Correct",DONNEES!$F$2:$F$1501,$A50)+COUNTIFS(DONNEES!$H$2:$H$1501,"NOTABLE",DONNEES!$L$2:$L$1501,"Pas d’info à tort",DONNEES!$F$2:$F$1501,$A50)+COUNTIFS(DONNEES!$H$2:$H$1501,"NOTABLE",DONNEES!$L$2:$L$1501,"Incorrect",DONNEES!$F$2:$F$1501,$A50)+COUNTIFS(DONNEES!$H$2:$H$1501,"NOTABLE",DONNEES!$L$2:$L$1501,"Hors sujet",DONNEES!$F$2:$F$1501,$A50)</f>
        <v>6</v>
      </c>
      <c r="C50" s="4" t="n">
        <f aca="false">COUNTIFS(DONNEES!$H$2:$H$1501,"NOTABLE",DONNEES!$L$2:$L$1501,"Correct",DONNEES!$F$2:$F$1501,$A50)</f>
        <v>5</v>
      </c>
      <c r="D50" s="4" t="n">
        <f aca="false">COUNTIFS(DONNEES!$H$2:$H$1501,"NOTABLE",DONNEES!$L$2:$L$1501,"Pas d’info à tort",DONNEES!$F$2:$F$1501,$A50)</f>
        <v>0</v>
      </c>
      <c r="E50" s="4" t="n">
        <f aca="false">COUNTIFS(DONNEES!$H$2:$H$1501,"NOTABLE",DONNEES!$L$2:$L$1501,"Incorrect",DONNEES!$F$2:$F$1501,$A50)</f>
        <v>1</v>
      </c>
      <c r="F50" s="4" t="n">
        <f aca="false">COUNTIFS(DONNEES!$H$2:$H$1501,"NOTABLE",DONNEES!$L$2:$L$1501,"Hors sujet",DONNEES!$F$2:$F$1501,$A50)</f>
        <v>0</v>
      </c>
      <c r="G50" s="25" t="n">
        <f aca="false">IF($B50=0,"",C50/$B50)</f>
        <v>0.833333333333333</v>
      </c>
      <c r="H50" s="25" t="n">
        <f aca="false">IF($B50=0,"",D50/$B50)</f>
        <v>0</v>
      </c>
      <c r="I50" s="25" t="n">
        <f aca="false">IF($B50=0,"",E50/$B50)</f>
        <v>0.166666666666667</v>
      </c>
      <c r="J50" s="25" t="n">
        <f aca="false">IF($B50=0,"",F50/$B50)</f>
        <v>0</v>
      </c>
      <c r="K50" s="26" t="n">
        <f aca="false">IFERROR(AVERAGEIFS(DONNEES!$O$2:$O$1501,DONNEES!$F$2:$F$1501,$A50),"")</f>
        <v>12.6614285714286</v>
      </c>
    </row>
    <row r="51" customFormat="false" ht="15" hidden="false" customHeight="false" outlineLevel="0" collapsed="false">
      <c r="A51" s="4" t="s">
        <v>3833</v>
      </c>
      <c r="B51" s="4" t="n">
        <f aca="false">COUNTIFS(DONNEES!$H$2:$H$1501,"NOTABLE",DONNEES!$L$2:$L$1501,"Correct",DONNEES!$F$2:$F$1501,$A51)+COUNTIFS(DONNEES!$H$2:$H$1501,"NOTABLE",DONNEES!$L$2:$L$1501,"Pas d’info à tort",DONNEES!$F$2:$F$1501,$A51)+COUNTIFS(DONNEES!$H$2:$H$1501,"NOTABLE",DONNEES!$L$2:$L$1501,"Incorrect",DONNEES!$F$2:$F$1501,$A51)+COUNTIFS(DONNEES!$H$2:$H$1501,"NOTABLE",DONNEES!$L$2:$L$1501,"Hors sujet",DONNEES!$F$2:$F$1501,$A51)</f>
        <v>6</v>
      </c>
      <c r="C51" s="4" t="n">
        <f aca="false">COUNTIFS(DONNEES!$H$2:$H$1501,"NOTABLE",DONNEES!$L$2:$L$1501,"Correct",DONNEES!$F$2:$F$1501,$A51)</f>
        <v>5</v>
      </c>
      <c r="D51" s="4" t="n">
        <f aca="false">COUNTIFS(DONNEES!$H$2:$H$1501,"NOTABLE",DONNEES!$L$2:$L$1501,"Pas d’info à tort",DONNEES!$F$2:$F$1501,$A51)</f>
        <v>1</v>
      </c>
      <c r="E51" s="4" t="n">
        <f aca="false">COUNTIFS(DONNEES!$H$2:$H$1501,"NOTABLE",DONNEES!$L$2:$L$1501,"Incorrect",DONNEES!$F$2:$F$1501,$A51)</f>
        <v>0</v>
      </c>
      <c r="F51" s="4" t="n">
        <f aca="false">COUNTIFS(DONNEES!$H$2:$H$1501,"NOTABLE",DONNEES!$L$2:$L$1501,"Hors sujet",DONNEES!$F$2:$F$1501,$A51)</f>
        <v>0</v>
      </c>
      <c r="G51" s="25" t="n">
        <f aca="false">IF($B51=0,"",C51/$B51)</f>
        <v>0.833333333333333</v>
      </c>
      <c r="H51" s="25" t="n">
        <f aca="false">IF($B51=0,"",D51/$B51)</f>
        <v>0.166666666666667</v>
      </c>
      <c r="I51" s="25" t="n">
        <f aca="false">IF($B51=0,"",E51/$B51)</f>
        <v>0</v>
      </c>
      <c r="J51" s="25" t="n">
        <f aca="false">IF($B51=0,"",F51/$B51)</f>
        <v>0</v>
      </c>
      <c r="K51" s="26" t="n">
        <f aca="false">IFERROR(AVERAGEIFS(DONNEES!$O$2:$O$1501,DONNEES!$F$2:$F$1501,$A51),"")</f>
        <v>13.6385714285714</v>
      </c>
    </row>
    <row r="52" customFormat="false" ht="15" hidden="false" customHeight="false" outlineLevel="0" collapsed="false">
      <c r="A52" s="4" t="s">
        <v>2681</v>
      </c>
      <c r="B52" s="4" t="n">
        <f aca="false">COUNTIFS(DONNEES!$H$2:$H$1501,"NOTABLE",DONNEES!$L$2:$L$1501,"Correct",DONNEES!$F$2:$F$1501,$A52)+COUNTIFS(DONNEES!$H$2:$H$1501,"NOTABLE",DONNEES!$L$2:$L$1501,"Pas d’info à tort",DONNEES!$F$2:$F$1501,$A52)+COUNTIFS(DONNEES!$H$2:$H$1501,"NOTABLE",DONNEES!$L$2:$L$1501,"Incorrect",DONNEES!$F$2:$F$1501,$A52)+COUNTIFS(DONNEES!$H$2:$H$1501,"NOTABLE",DONNEES!$L$2:$L$1501,"Hors sujet",DONNEES!$F$2:$F$1501,$A52)</f>
        <v>6</v>
      </c>
      <c r="C52" s="4" t="n">
        <f aca="false">COUNTIFS(DONNEES!$H$2:$H$1501,"NOTABLE",DONNEES!$L$2:$L$1501,"Correct",DONNEES!$F$2:$F$1501,$A52)</f>
        <v>5</v>
      </c>
      <c r="D52" s="4" t="n">
        <f aca="false">COUNTIFS(DONNEES!$H$2:$H$1501,"NOTABLE",DONNEES!$L$2:$L$1501,"Pas d’info à tort",DONNEES!$F$2:$F$1501,$A52)</f>
        <v>1</v>
      </c>
      <c r="E52" s="4" t="n">
        <f aca="false">COUNTIFS(DONNEES!$H$2:$H$1501,"NOTABLE",DONNEES!$L$2:$L$1501,"Incorrect",DONNEES!$F$2:$F$1501,$A52)</f>
        <v>0</v>
      </c>
      <c r="F52" s="4" t="n">
        <f aca="false">COUNTIFS(DONNEES!$H$2:$H$1501,"NOTABLE",DONNEES!$L$2:$L$1501,"Hors sujet",DONNEES!$F$2:$F$1501,$A52)</f>
        <v>0</v>
      </c>
      <c r="G52" s="25" t="n">
        <f aca="false">IF($B52=0,"",C52/$B52)</f>
        <v>0.833333333333333</v>
      </c>
      <c r="H52" s="25" t="n">
        <f aca="false">IF($B52=0,"",D52/$B52)</f>
        <v>0.166666666666667</v>
      </c>
      <c r="I52" s="25" t="n">
        <f aca="false">IF($B52=0,"",E52/$B52)</f>
        <v>0</v>
      </c>
      <c r="J52" s="25" t="n">
        <f aca="false">IF($B52=0,"",F52/$B52)</f>
        <v>0</v>
      </c>
      <c r="K52" s="26" t="n">
        <f aca="false">IFERROR(AVERAGEIFS(DONNEES!$O$2:$O$1501,DONNEES!$F$2:$F$1501,$A52),"")</f>
        <v>12.86</v>
      </c>
    </row>
    <row r="53" customFormat="false" ht="15" hidden="false" customHeight="false" outlineLevel="0" collapsed="false">
      <c r="A53" s="4" t="s">
        <v>1896</v>
      </c>
      <c r="B53" s="4" t="n">
        <f aca="false">COUNTIFS(DONNEES!$H$2:$H$1501,"NOTABLE",DONNEES!$L$2:$L$1501,"Correct",DONNEES!$F$2:$F$1501,$A53)+COUNTIFS(DONNEES!$H$2:$H$1501,"NOTABLE",DONNEES!$L$2:$L$1501,"Pas d’info à tort",DONNEES!$F$2:$F$1501,$A53)+COUNTIFS(DONNEES!$H$2:$H$1501,"NOTABLE",DONNEES!$L$2:$L$1501,"Incorrect",DONNEES!$F$2:$F$1501,$A53)+COUNTIFS(DONNEES!$H$2:$H$1501,"NOTABLE",DONNEES!$L$2:$L$1501,"Hors sujet",DONNEES!$F$2:$F$1501,$A53)</f>
        <v>6</v>
      </c>
      <c r="C53" s="4" t="n">
        <f aca="false">COUNTIFS(DONNEES!$H$2:$H$1501,"NOTABLE",DONNEES!$L$2:$L$1501,"Correct",DONNEES!$F$2:$F$1501,$A53)</f>
        <v>5</v>
      </c>
      <c r="D53" s="4" t="n">
        <f aca="false">COUNTIFS(DONNEES!$H$2:$H$1501,"NOTABLE",DONNEES!$L$2:$L$1501,"Pas d’info à tort",DONNEES!$F$2:$F$1501,$A53)</f>
        <v>1</v>
      </c>
      <c r="E53" s="4" t="n">
        <f aca="false">COUNTIFS(DONNEES!$H$2:$H$1501,"NOTABLE",DONNEES!$L$2:$L$1501,"Incorrect",DONNEES!$F$2:$F$1501,$A53)</f>
        <v>0</v>
      </c>
      <c r="F53" s="4" t="n">
        <f aca="false">COUNTIFS(DONNEES!$H$2:$H$1501,"NOTABLE",DONNEES!$L$2:$L$1501,"Hors sujet",DONNEES!$F$2:$F$1501,$A53)</f>
        <v>0</v>
      </c>
      <c r="G53" s="25" t="n">
        <f aca="false">IF($B53=0,"",C53/$B53)</f>
        <v>0.833333333333333</v>
      </c>
      <c r="H53" s="25" t="n">
        <f aca="false">IF($B53=0,"",D53/$B53)</f>
        <v>0.166666666666667</v>
      </c>
      <c r="I53" s="25" t="n">
        <f aca="false">IF($B53=0,"",E53/$B53)</f>
        <v>0</v>
      </c>
      <c r="J53" s="25" t="n">
        <f aca="false">IF($B53=0,"",F53/$B53)</f>
        <v>0</v>
      </c>
      <c r="K53" s="26" t="n">
        <f aca="false">IFERROR(AVERAGEIFS(DONNEES!$O$2:$O$1501,DONNEES!$F$2:$F$1501,$A53),"")</f>
        <v>16.19</v>
      </c>
    </row>
    <row r="54" customFormat="false" ht="15" hidden="false" customHeight="false" outlineLevel="0" collapsed="false">
      <c r="A54" s="4" t="s">
        <v>3661</v>
      </c>
      <c r="B54" s="4" t="n">
        <f aca="false">COUNTIFS(DONNEES!$H$2:$H$1501,"NOTABLE",DONNEES!$L$2:$L$1501,"Correct",DONNEES!$F$2:$F$1501,$A54)+COUNTIFS(DONNEES!$H$2:$H$1501,"NOTABLE",DONNEES!$L$2:$L$1501,"Pas d’info à tort",DONNEES!$F$2:$F$1501,$A54)+COUNTIFS(DONNEES!$H$2:$H$1501,"NOTABLE",DONNEES!$L$2:$L$1501,"Incorrect",DONNEES!$F$2:$F$1501,$A54)+COUNTIFS(DONNEES!$H$2:$H$1501,"NOTABLE",DONNEES!$L$2:$L$1501,"Hors sujet",DONNEES!$F$2:$F$1501,$A54)</f>
        <v>6</v>
      </c>
      <c r="C54" s="4" t="n">
        <f aca="false">COUNTIFS(DONNEES!$H$2:$H$1501,"NOTABLE",DONNEES!$L$2:$L$1501,"Correct",DONNEES!$F$2:$F$1501,$A54)</f>
        <v>5</v>
      </c>
      <c r="D54" s="4" t="n">
        <f aca="false">COUNTIFS(DONNEES!$H$2:$H$1501,"NOTABLE",DONNEES!$L$2:$L$1501,"Pas d’info à tort",DONNEES!$F$2:$F$1501,$A54)</f>
        <v>1</v>
      </c>
      <c r="E54" s="4" t="n">
        <f aca="false">COUNTIFS(DONNEES!$H$2:$H$1501,"NOTABLE",DONNEES!$L$2:$L$1501,"Incorrect",DONNEES!$F$2:$F$1501,$A54)</f>
        <v>0</v>
      </c>
      <c r="F54" s="4" t="n">
        <f aca="false">COUNTIFS(DONNEES!$H$2:$H$1501,"NOTABLE",DONNEES!$L$2:$L$1501,"Hors sujet",DONNEES!$F$2:$F$1501,$A54)</f>
        <v>0</v>
      </c>
      <c r="G54" s="25" t="n">
        <f aca="false">IF($B54=0,"",C54/$B54)</f>
        <v>0.833333333333333</v>
      </c>
      <c r="H54" s="25" t="n">
        <f aca="false">IF($B54=0,"",D54/$B54)</f>
        <v>0.166666666666667</v>
      </c>
      <c r="I54" s="25" t="n">
        <f aca="false">IF($B54=0,"",E54/$B54)</f>
        <v>0</v>
      </c>
      <c r="J54" s="25" t="n">
        <f aca="false">IF($B54=0,"",F54/$B54)</f>
        <v>0</v>
      </c>
      <c r="K54" s="26" t="n">
        <f aca="false">IFERROR(AVERAGEIFS(DONNEES!$O$2:$O$1501,DONNEES!$F$2:$F$1501,$A54),"")</f>
        <v>13.6771428571429</v>
      </c>
    </row>
    <row r="55" customFormat="false" ht="15" hidden="false" customHeight="false" outlineLevel="0" collapsed="false">
      <c r="A55" s="4" t="s">
        <v>2936</v>
      </c>
      <c r="B55" s="4" t="n">
        <f aca="false">COUNTIFS(DONNEES!$H$2:$H$1501,"NOTABLE",DONNEES!$L$2:$L$1501,"Correct",DONNEES!$F$2:$F$1501,$A55)+COUNTIFS(DONNEES!$H$2:$H$1501,"NOTABLE",DONNEES!$L$2:$L$1501,"Pas d’info à tort",DONNEES!$F$2:$F$1501,$A55)+COUNTIFS(DONNEES!$H$2:$H$1501,"NOTABLE",DONNEES!$L$2:$L$1501,"Incorrect",DONNEES!$F$2:$F$1501,$A55)+COUNTIFS(DONNEES!$H$2:$H$1501,"NOTABLE",DONNEES!$L$2:$L$1501,"Hors sujet",DONNEES!$F$2:$F$1501,$A55)</f>
        <v>6</v>
      </c>
      <c r="C55" s="4" t="n">
        <f aca="false">COUNTIFS(DONNEES!$H$2:$H$1501,"NOTABLE",DONNEES!$L$2:$L$1501,"Correct",DONNEES!$F$2:$F$1501,$A55)</f>
        <v>5</v>
      </c>
      <c r="D55" s="4" t="n">
        <f aca="false">COUNTIFS(DONNEES!$H$2:$H$1501,"NOTABLE",DONNEES!$L$2:$L$1501,"Pas d’info à tort",DONNEES!$F$2:$F$1501,$A55)</f>
        <v>1</v>
      </c>
      <c r="E55" s="4" t="n">
        <f aca="false">COUNTIFS(DONNEES!$H$2:$H$1501,"NOTABLE",DONNEES!$L$2:$L$1501,"Incorrect",DONNEES!$F$2:$F$1501,$A55)</f>
        <v>0</v>
      </c>
      <c r="F55" s="4" t="n">
        <f aca="false">COUNTIFS(DONNEES!$H$2:$H$1501,"NOTABLE",DONNEES!$L$2:$L$1501,"Hors sujet",DONNEES!$F$2:$F$1501,$A55)</f>
        <v>0</v>
      </c>
      <c r="G55" s="25" t="n">
        <f aca="false">IF($B55=0,"",C55/$B55)</f>
        <v>0.833333333333333</v>
      </c>
      <c r="H55" s="25" t="n">
        <f aca="false">IF($B55=0,"",D55/$B55)</f>
        <v>0.166666666666667</v>
      </c>
      <c r="I55" s="25" t="n">
        <f aca="false">IF($B55=0,"",E55/$B55)</f>
        <v>0</v>
      </c>
      <c r="J55" s="25" t="n">
        <f aca="false">IF($B55=0,"",F55/$B55)</f>
        <v>0</v>
      </c>
      <c r="K55" s="26" t="n">
        <f aca="false">IFERROR(AVERAGEIFS(DONNEES!$O$2:$O$1501,DONNEES!$F$2:$F$1501,$A55),"")</f>
        <v>13.2214285714286</v>
      </c>
    </row>
    <row r="56" customFormat="false" ht="15" hidden="false" customHeight="false" outlineLevel="0" collapsed="false">
      <c r="A56" s="4" t="s">
        <v>2646</v>
      </c>
      <c r="B56" s="4" t="n">
        <f aca="false">COUNTIFS(DONNEES!$H$2:$H$1501,"NOTABLE",DONNEES!$L$2:$L$1501,"Correct",DONNEES!$F$2:$F$1501,$A56)+COUNTIFS(DONNEES!$H$2:$H$1501,"NOTABLE",DONNEES!$L$2:$L$1501,"Pas d’info à tort",DONNEES!$F$2:$F$1501,$A56)+COUNTIFS(DONNEES!$H$2:$H$1501,"NOTABLE",DONNEES!$L$2:$L$1501,"Incorrect",DONNEES!$F$2:$F$1501,$A56)+COUNTIFS(DONNEES!$H$2:$H$1501,"NOTABLE",DONNEES!$L$2:$L$1501,"Hors sujet",DONNEES!$F$2:$F$1501,$A56)</f>
        <v>6</v>
      </c>
      <c r="C56" s="4" t="n">
        <f aca="false">COUNTIFS(DONNEES!$H$2:$H$1501,"NOTABLE",DONNEES!$L$2:$L$1501,"Correct",DONNEES!$F$2:$F$1501,$A56)</f>
        <v>5</v>
      </c>
      <c r="D56" s="4" t="n">
        <f aca="false">COUNTIFS(DONNEES!$H$2:$H$1501,"NOTABLE",DONNEES!$L$2:$L$1501,"Pas d’info à tort",DONNEES!$F$2:$F$1501,$A56)</f>
        <v>0</v>
      </c>
      <c r="E56" s="4" t="n">
        <f aca="false">COUNTIFS(DONNEES!$H$2:$H$1501,"NOTABLE",DONNEES!$L$2:$L$1501,"Incorrect",DONNEES!$F$2:$F$1501,$A56)</f>
        <v>1</v>
      </c>
      <c r="F56" s="4" t="n">
        <f aca="false">COUNTIFS(DONNEES!$H$2:$H$1501,"NOTABLE",DONNEES!$L$2:$L$1501,"Hors sujet",DONNEES!$F$2:$F$1501,$A56)</f>
        <v>0</v>
      </c>
      <c r="G56" s="25" t="n">
        <f aca="false">IF($B56=0,"",C56/$B56)</f>
        <v>0.833333333333333</v>
      </c>
      <c r="H56" s="25" t="n">
        <f aca="false">IF($B56=0,"",D56/$B56)</f>
        <v>0</v>
      </c>
      <c r="I56" s="25" t="n">
        <f aca="false">IF($B56=0,"",E56/$B56)</f>
        <v>0.166666666666667</v>
      </c>
      <c r="J56" s="25" t="n">
        <f aca="false">IF($B56=0,"",F56/$B56)</f>
        <v>0</v>
      </c>
      <c r="K56" s="26" t="n">
        <f aca="false">IFERROR(AVERAGEIFS(DONNEES!$O$2:$O$1501,DONNEES!$F$2:$F$1501,$A56),"")</f>
        <v>20.1728571428571</v>
      </c>
    </row>
    <row r="57" customFormat="false" ht="15" hidden="false" customHeight="false" outlineLevel="0" collapsed="false">
      <c r="A57" s="4" t="s">
        <v>99</v>
      </c>
      <c r="B57" s="4" t="n">
        <f aca="false">COUNTIFS(DONNEES!$H$2:$H$1501,"NOTABLE",DONNEES!$L$2:$L$1501,"Correct",DONNEES!$F$2:$F$1501,$A57)+COUNTIFS(DONNEES!$H$2:$H$1501,"NOTABLE",DONNEES!$L$2:$L$1501,"Pas d’info à tort",DONNEES!$F$2:$F$1501,$A57)+COUNTIFS(DONNEES!$H$2:$H$1501,"NOTABLE",DONNEES!$L$2:$L$1501,"Incorrect",DONNEES!$F$2:$F$1501,$A57)+COUNTIFS(DONNEES!$H$2:$H$1501,"NOTABLE",DONNEES!$L$2:$L$1501,"Hors sujet",DONNEES!$F$2:$F$1501,$A57)</f>
        <v>20</v>
      </c>
      <c r="C57" s="4" t="n">
        <f aca="false">COUNTIFS(DONNEES!$H$2:$H$1501,"NOTABLE",DONNEES!$L$2:$L$1501,"Correct",DONNEES!$F$2:$F$1501,$A57)</f>
        <v>17</v>
      </c>
      <c r="D57" s="4" t="n">
        <f aca="false">COUNTIFS(DONNEES!$H$2:$H$1501,"NOTABLE",DONNEES!$L$2:$L$1501,"Pas d’info à tort",DONNEES!$F$2:$F$1501,$A57)</f>
        <v>3</v>
      </c>
      <c r="E57" s="4" t="n">
        <f aca="false">COUNTIFS(DONNEES!$H$2:$H$1501,"NOTABLE",DONNEES!$L$2:$L$1501,"Incorrect",DONNEES!$F$2:$F$1501,$A57)</f>
        <v>0</v>
      </c>
      <c r="F57" s="4" t="n">
        <f aca="false">COUNTIFS(DONNEES!$H$2:$H$1501,"NOTABLE",DONNEES!$L$2:$L$1501,"Hors sujet",DONNEES!$F$2:$F$1501,$A57)</f>
        <v>0</v>
      </c>
      <c r="G57" s="25" t="n">
        <f aca="false">IF($B57=0,"",C57/$B57)</f>
        <v>0.85</v>
      </c>
      <c r="H57" s="25" t="n">
        <f aca="false">IF($B57=0,"",D57/$B57)</f>
        <v>0.15</v>
      </c>
      <c r="I57" s="25" t="n">
        <f aca="false">IF($B57=0,"",E57/$B57)</f>
        <v>0</v>
      </c>
      <c r="J57" s="25" t="n">
        <f aca="false">IF($B57=0,"",F57/$B57)</f>
        <v>0</v>
      </c>
      <c r="K57" s="26" t="n">
        <f aca="false">IFERROR(AVERAGEIFS(DONNEES!$O$2:$O$1501,DONNEES!$F$2:$F$1501,$A57),"")</f>
        <v>18.2876190476191</v>
      </c>
    </row>
    <row r="58" customFormat="false" ht="15" hidden="false" customHeight="false" outlineLevel="0" collapsed="false">
      <c r="A58" s="4" t="s">
        <v>115</v>
      </c>
      <c r="B58" s="4" t="n">
        <f aca="false">COUNTIFS(DONNEES!$H$2:$H$1501,"NOTABLE",DONNEES!$L$2:$L$1501,"Correct",DONNEES!$F$2:$F$1501,$A58)+COUNTIFS(DONNEES!$H$2:$H$1501,"NOTABLE",DONNEES!$L$2:$L$1501,"Pas d’info à tort",DONNEES!$F$2:$F$1501,$A58)+COUNTIFS(DONNEES!$H$2:$H$1501,"NOTABLE",DONNEES!$L$2:$L$1501,"Incorrect",DONNEES!$F$2:$F$1501,$A58)+COUNTIFS(DONNEES!$H$2:$H$1501,"NOTABLE",DONNEES!$L$2:$L$1501,"Hors sujet",DONNEES!$F$2:$F$1501,$A58)</f>
        <v>21</v>
      </c>
      <c r="C58" s="4" t="n">
        <f aca="false">COUNTIFS(DONNEES!$H$2:$H$1501,"NOTABLE",DONNEES!$L$2:$L$1501,"Correct",DONNEES!$F$2:$F$1501,$A58)</f>
        <v>18</v>
      </c>
      <c r="D58" s="4" t="n">
        <f aca="false">COUNTIFS(DONNEES!$H$2:$H$1501,"NOTABLE",DONNEES!$L$2:$L$1501,"Pas d’info à tort",DONNEES!$F$2:$F$1501,$A58)</f>
        <v>2</v>
      </c>
      <c r="E58" s="4" t="n">
        <f aca="false">COUNTIFS(DONNEES!$H$2:$H$1501,"NOTABLE",DONNEES!$L$2:$L$1501,"Incorrect",DONNEES!$F$2:$F$1501,$A58)</f>
        <v>1</v>
      </c>
      <c r="F58" s="4" t="n">
        <f aca="false">COUNTIFS(DONNEES!$H$2:$H$1501,"NOTABLE",DONNEES!$L$2:$L$1501,"Hors sujet",DONNEES!$F$2:$F$1501,$A58)</f>
        <v>0</v>
      </c>
      <c r="G58" s="25" t="n">
        <f aca="false">IF($B58=0,"",C58/$B58)</f>
        <v>0.857142857142857</v>
      </c>
      <c r="H58" s="25" t="n">
        <f aca="false">IF($B58=0,"",D58/$B58)</f>
        <v>0.0952380952380952</v>
      </c>
      <c r="I58" s="25" t="n">
        <f aca="false">IF($B58=0,"",E58/$B58)</f>
        <v>0.0476190476190476</v>
      </c>
      <c r="J58" s="25" t="n">
        <f aca="false">IF($B58=0,"",F58/$B58)</f>
        <v>0</v>
      </c>
      <c r="K58" s="26" t="n">
        <f aca="false">IFERROR(AVERAGEIFS(DONNEES!$O$2:$O$1501,DONNEES!$F$2:$F$1501,$A58),"")</f>
        <v>14.7429166666667</v>
      </c>
    </row>
    <row r="59" customFormat="false" ht="15" hidden="false" customHeight="false" outlineLevel="0" collapsed="false">
      <c r="A59" s="4" t="s">
        <v>1094</v>
      </c>
      <c r="B59" s="4" t="n">
        <f aca="false">COUNTIFS(DONNEES!$H$2:$H$1501,"NOTABLE",DONNEES!$L$2:$L$1501,"Correct",DONNEES!$F$2:$F$1501,$A59)+COUNTIFS(DONNEES!$H$2:$H$1501,"NOTABLE",DONNEES!$L$2:$L$1501,"Pas d’info à tort",DONNEES!$F$2:$F$1501,$A59)+COUNTIFS(DONNEES!$H$2:$H$1501,"NOTABLE",DONNEES!$L$2:$L$1501,"Incorrect",DONNEES!$F$2:$F$1501,$A59)+COUNTIFS(DONNEES!$H$2:$H$1501,"NOTABLE",DONNEES!$L$2:$L$1501,"Hors sujet",DONNEES!$F$2:$F$1501,$A59)</f>
        <v>30</v>
      </c>
      <c r="C59" s="4" t="n">
        <f aca="false">COUNTIFS(DONNEES!$H$2:$H$1501,"NOTABLE",DONNEES!$L$2:$L$1501,"Correct",DONNEES!$F$2:$F$1501,$A59)</f>
        <v>26</v>
      </c>
      <c r="D59" s="4" t="n">
        <f aca="false">COUNTIFS(DONNEES!$H$2:$H$1501,"NOTABLE",DONNEES!$L$2:$L$1501,"Pas d’info à tort",DONNEES!$F$2:$F$1501,$A59)</f>
        <v>2</v>
      </c>
      <c r="E59" s="4" t="n">
        <f aca="false">COUNTIFS(DONNEES!$H$2:$H$1501,"NOTABLE",DONNEES!$L$2:$L$1501,"Incorrect",DONNEES!$F$2:$F$1501,$A59)</f>
        <v>0</v>
      </c>
      <c r="F59" s="4" t="n">
        <f aca="false">COUNTIFS(DONNEES!$H$2:$H$1501,"NOTABLE",DONNEES!$L$2:$L$1501,"Hors sujet",DONNEES!$F$2:$F$1501,$A59)</f>
        <v>2</v>
      </c>
      <c r="G59" s="25" t="n">
        <f aca="false">IF($B59=0,"",C59/$B59)</f>
        <v>0.866666666666667</v>
      </c>
      <c r="H59" s="25" t="n">
        <f aca="false">IF($B59=0,"",D59/$B59)</f>
        <v>0.0666666666666667</v>
      </c>
      <c r="I59" s="25" t="n">
        <f aca="false">IF($B59=0,"",E59/$B59)</f>
        <v>0</v>
      </c>
      <c r="J59" s="25" t="n">
        <f aca="false">IF($B59=0,"",F59/$B59)</f>
        <v>0.0666666666666667</v>
      </c>
      <c r="K59" s="26" t="n">
        <f aca="false">IFERROR(AVERAGEIFS(DONNEES!$O$2:$O$1501,DONNEES!$F$2:$F$1501,$A59),"")</f>
        <v>18.325</v>
      </c>
    </row>
    <row r="60" customFormat="false" ht="15" hidden="false" customHeight="false" outlineLevel="0" collapsed="false">
      <c r="A60" s="4" t="s">
        <v>1298</v>
      </c>
      <c r="B60" s="4" t="n">
        <f aca="false">COUNTIFS(DONNEES!$H$2:$H$1501,"NOTABLE",DONNEES!$L$2:$L$1501,"Correct",DONNEES!$F$2:$F$1501,$A60)+COUNTIFS(DONNEES!$H$2:$H$1501,"NOTABLE",DONNEES!$L$2:$L$1501,"Pas d’info à tort",DONNEES!$F$2:$F$1501,$A60)+COUNTIFS(DONNEES!$H$2:$H$1501,"NOTABLE",DONNEES!$L$2:$L$1501,"Incorrect",DONNEES!$F$2:$F$1501,$A60)+COUNTIFS(DONNEES!$H$2:$H$1501,"NOTABLE",DONNEES!$L$2:$L$1501,"Hors sujet",DONNEES!$F$2:$F$1501,$A60)</f>
        <v>32</v>
      </c>
      <c r="C60" s="4" t="n">
        <f aca="false">COUNTIFS(DONNEES!$H$2:$H$1501,"NOTABLE",DONNEES!$L$2:$L$1501,"Correct",DONNEES!$F$2:$F$1501,$A60)</f>
        <v>28</v>
      </c>
      <c r="D60" s="4" t="n">
        <f aca="false">COUNTIFS(DONNEES!$H$2:$H$1501,"NOTABLE",DONNEES!$L$2:$L$1501,"Pas d’info à tort",DONNEES!$F$2:$F$1501,$A60)</f>
        <v>1</v>
      </c>
      <c r="E60" s="4" t="n">
        <f aca="false">COUNTIFS(DONNEES!$H$2:$H$1501,"NOTABLE",DONNEES!$L$2:$L$1501,"Incorrect",DONNEES!$F$2:$F$1501,$A60)</f>
        <v>3</v>
      </c>
      <c r="F60" s="4" t="n">
        <f aca="false">COUNTIFS(DONNEES!$H$2:$H$1501,"NOTABLE",DONNEES!$L$2:$L$1501,"Hors sujet",DONNEES!$F$2:$F$1501,$A60)</f>
        <v>0</v>
      </c>
      <c r="G60" s="25" t="n">
        <f aca="false">IF($B60=0,"",C60/$B60)</f>
        <v>0.875</v>
      </c>
      <c r="H60" s="25" t="n">
        <f aca="false">IF($B60=0,"",D60/$B60)</f>
        <v>0.03125</v>
      </c>
      <c r="I60" s="25" t="n">
        <f aca="false">IF($B60=0,"",E60/$B60)</f>
        <v>0.09375</v>
      </c>
      <c r="J60" s="25" t="n">
        <f aca="false">IF($B60=0,"",F60/$B60)</f>
        <v>0</v>
      </c>
      <c r="K60" s="26" t="n">
        <f aca="false">IFERROR(AVERAGEIFS(DONNEES!$O$2:$O$1501,DONNEES!$F$2:$F$1501,$A60),"")</f>
        <v>16.7070588235294</v>
      </c>
    </row>
    <row r="61" customFormat="false" ht="15" hidden="false" customHeight="false" outlineLevel="0" collapsed="false">
      <c r="A61" s="4" t="s">
        <v>296</v>
      </c>
      <c r="B61" s="4" t="n">
        <f aca="false">COUNTIFS(DONNEES!$H$2:$H$1501,"NOTABLE",DONNEES!$L$2:$L$1501,"Correct",DONNEES!$F$2:$F$1501,$A61)+COUNTIFS(DONNEES!$H$2:$H$1501,"NOTABLE",DONNEES!$L$2:$L$1501,"Pas d’info à tort",DONNEES!$F$2:$F$1501,$A61)+COUNTIFS(DONNEES!$H$2:$H$1501,"NOTABLE",DONNEES!$L$2:$L$1501,"Incorrect",DONNEES!$F$2:$F$1501,$A61)+COUNTIFS(DONNEES!$H$2:$H$1501,"NOTABLE",DONNEES!$L$2:$L$1501,"Hors sujet",DONNEES!$F$2:$F$1501,$A61)</f>
        <v>16</v>
      </c>
      <c r="C61" s="4" t="n">
        <f aca="false">COUNTIFS(DONNEES!$H$2:$H$1501,"NOTABLE",DONNEES!$L$2:$L$1501,"Correct",DONNEES!$F$2:$F$1501,$A61)</f>
        <v>14</v>
      </c>
      <c r="D61" s="4" t="n">
        <f aca="false">COUNTIFS(DONNEES!$H$2:$H$1501,"NOTABLE",DONNEES!$L$2:$L$1501,"Pas d’info à tort",DONNEES!$F$2:$F$1501,$A61)</f>
        <v>2</v>
      </c>
      <c r="E61" s="4" t="n">
        <f aca="false">COUNTIFS(DONNEES!$H$2:$H$1501,"NOTABLE",DONNEES!$L$2:$L$1501,"Incorrect",DONNEES!$F$2:$F$1501,$A61)</f>
        <v>0</v>
      </c>
      <c r="F61" s="4" t="n">
        <f aca="false">COUNTIFS(DONNEES!$H$2:$H$1501,"NOTABLE",DONNEES!$L$2:$L$1501,"Hors sujet",DONNEES!$F$2:$F$1501,$A61)</f>
        <v>0</v>
      </c>
      <c r="G61" s="25" t="n">
        <f aca="false">IF($B61=0,"",C61/$B61)</f>
        <v>0.875</v>
      </c>
      <c r="H61" s="25" t="n">
        <f aca="false">IF($B61=0,"",D61/$B61)</f>
        <v>0.125</v>
      </c>
      <c r="I61" s="25" t="n">
        <f aca="false">IF($B61=0,"",E61/$B61)</f>
        <v>0</v>
      </c>
      <c r="J61" s="25" t="n">
        <f aca="false">IF($B61=0,"",F61/$B61)</f>
        <v>0</v>
      </c>
      <c r="K61" s="26" t="n">
        <f aca="false">IFERROR(AVERAGEIFS(DONNEES!$O$2:$O$1501,DONNEES!$F$2:$F$1501,$A61),"")</f>
        <v>20.6123529411765</v>
      </c>
    </row>
    <row r="62" customFormat="false" ht="15" hidden="false" customHeight="false" outlineLevel="0" collapsed="false">
      <c r="A62" s="4" t="s">
        <v>712</v>
      </c>
      <c r="B62" s="4" t="n">
        <f aca="false">COUNTIFS(DONNEES!$H$2:$H$1501,"NOTABLE",DONNEES!$L$2:$L$1501,"Correct",DONNEES!$F$2:$F$1501,$A62)+COUNTIFS(DONNEES!$H$2:$H$1501,"NOTABLE",DONNEES!$L$2:$L$1501,"Pas d’info à tort",DONNEES!$F$2:$F$1501,$A62)+COUNTIFS(DONNEES!$H$2:$H$1501,"NOTABLE",DONNEES!$L$2:$L$1501,"Incorrect",DONNEES!$F$2:$F$1501,$A62)+COUNTIFS(DONNEES!$H$2:$H$1501,"NOTABLE",DONNEES!$L$2:$L$1501,"Hors sujet",DONNEES!$F$2:$F$1501,$A62)</f>
        <v>8</v>
      </c>
      <c r="C62" s="4" t="n">
        <f aca="false">COUNTIFS(DONNEES!$H$2:$H$1501,"NOTABLE",DONNEES!$L$2:$L$1501,"Correct",DONNEES!$F$2:$F$1501,$A62)</f>
        <v>7</v>
      </c>
      <c r="D62" s="4" t="n">
        <f aca="false">COUNTIFS(DONNEES!$H$2:$H$1501,"NOTABLE",DONNEES!$L$2:$L$1501,"Pas d’info à tort",DONNEES!$F$2:$F$1501,$A62)</f>
        <v>1</v>
      </c>
      <c r="E62" s="4" t="n">
        <f aca="false">COUNTIFS(DONNEES!$H$2:$H$1501,"NOTABLE",DONNEES!$L$2:$L$1501,"Incorrect",DONNEES!$F$2:$F$1501,$A62)</f>
        <v>0</v>
      </c>
      <c r="F62" s="4" t="n">
        <f aca="false">COUNTIFS(DONNEES!$H$2:$H$1501,"NOTABLE",DONNEES!$L$2:$L$1501,"Hors sujet",DONNEES!$F$2:$F$1501,$A62)</f>
        <v>0</v>
      </c>
      <c r="G62" s="25" t="n">
        <f aca="false">IF($B62=0,"",C62/$B62)</f>
        <v>0.875</v>
      </c>
      <c r="H62" s="25" t="n">
        <f aca="false">IF($B62=0,"",D62/$B62)</f>
        <v>0.125</v>
      </c>
      <c r="I62" s="25" t="n">
        <f aca="false">IF($B62=0,"",E62/$B62)</f>
        <v>0</v>
      </c>
      <c r="J62" s="25" t="n">
        <f aca="false">IF($B62=0,"",F62/$B62)</f>
        <v>0</v>
      </c>
      <c r="K62" s="26" t="n">
        <f aca="false">IFERROR(AVERAGEIFS(DONNEES!$O$2:$O$1501,DONNEES!$F$2:$F$1501,$A62),"")</f>
        <v>19.4466666666667</v>
      </c>
    </row>
    <row r="63" customFormat="false" ht="15" hidden="false" customHeight="false" outlineLevel="0" collapsed="false">
      <c r="A63" s="4" t="s">
        <v>1448</v>
      </c>
      <c r="B63" s="4" t="n">
        <f aca="false">COUNTIFS(DONNEES!$H$2:$H$1501,"NOTABLE",DONNEES!$L$2:$L$1501,"Correct",DONNEES!$F$2:$F$1501,$A63)+COUNTIFS(DONNEES!$H$2:$H$1501,"NOTABLE",DONNEES!$L$2:$L$1501,"Pas d’info à tort",DONNEES!$F$2:$F$1501,$A63)+COUNTIFS(DONNEES!$H$2:$H$1501,"NOTABLE",DONNEES!$L$2:$L$1501,"Incorrect",DONNEES!$F$2:$F$1501,$A63)+COUNTIFS(DONNEES!$H$2:$H$1501,"NOTABLE",DONNEES!$L$2:$L$1501,"Hors sujet",DONNEES!$F$2:$F$1501,$A63)</f>
        <v>17</v>
      </c>
      <c r="C63" s="4" t="n">
        <f aca="false">COUNTIFS(DONNEES!$H$2:$H$1501,"NOTABLE",DONNEES!$L$2:$L$1501,"Correct",DONNEES!$F$2:$F$1501,$A63)</f>
        <v>15</v>
      </c>
      <c r="D63" s="4" t="n">
        <f aca="false">COUNTIFS(DONNEES!$H$2:$H$1501,"NOTABLE",DONNEES!$L$2:$L$1501,"Pas d’info à tort",DONNEES!$F$2:$F$1501,$A63)</f>
        <v>2</v>
      </c>
      <c r="E63" s="4" t="n">
        <f aca="false">COUNTIFS(DONNEES!$H$2:$H$1501,"NOTABLE",DONNEES!$L$2:$L$1501,"Incorrect",DONNEES!$F$2:$F$1501,$A63)</f>
        <v>0</v>
      </c>
      <c r="F63" s="4" t="n">
        <f aca="false">COUNTIFS(DONNEES!$H$2:$H$1501,"NOTABLE",DONNEES!$L$2:$L$1501,"Hors sujet",DONNEES!$F$2:$F$1501,$A63)</f>
        <v>0</v>
      </c>
      <c r="G63" s="25" t="n">
        <f aca="false">IF($B63=0,"",C63/$B63)</f>
        <v>0.882352941176471</v>
      </c>
      <c r="H63" s="25" t="n">
        <f aca="false">IF($B63=0,"",D63/$B63)</f>
        <v>0.117647058823529</v>
      </c>
      <c r="I63" s="25" t="n">
        <f aca="false">IF($B63=0,"",E63/$B63)</f>
        <v>0</v>
      </c>
      <c r="J63" s="25" t="n">
        <f aca="false">IF($B63=0,"",F63/$B63)</f>
        <v>0</v>
      </c>
      <c r="K63" s="26" t="n">
        <f aca="false">IFERROR(AVERAGEIFS(DONNEES!$O$2:$O$1501,DONNEES!$F$2:$F$1501,$A63),"")</f>
        <v>18.7533333333333</v>
      </c>
    </row>
    <row r="64" customFormat="false" ht="15" hidden="false" customHeight="false" outlineLevel="0" collapsed="false">
      <c r="A64" s="4" t="s">
        <v>167</v>
      </c>
      <c r="B64" s="4" t="n">
        <f aca="false">COUNTIFS(DONNEES!$H$2:$H$1501,"NOTABLE",DONNEES!$L$2:$L$1501,"Correct",DONNEES!$F$2:$F$1501,$A64)+COUNTIFS(DONNEES!$H$2:$H$1501,"NOTABLE",DONNEES!$L$2:$L$1501,"Pas d’info à tort",DONNEES!$F$2:$F$1501,$A64)+COUNTIFS(DONNEES!$H$2:$H$1501,"NOTABLE",DONNEES!$L$2:$L$1501,"Incorrect",DONNEES!$F$2:$F$1501,$A64)+COUNTIFS(DONNEES!$H$2:$H$1501,"NOTABLE",DONNEES!$L$2:$L$1501,"Hors sujet",DONNEES!$F$2:$F$1501,$A64)</f>
        <v>26</v>
      </c>
      <c r="C64" s="4" t="n">
        <f aca="false">COUNTIFS(DONNEES!$H$2:$H$1501,"NOTABLE",DONNEES!$L$2:$L$1501,"Correct",DONNEES!$F$2:$F$1501,$A64)</f>
        <v>23</v>
      </c>
      <c r="D64" s="4" t="n">
        <f aca="false">COUNTIFS(DONNEES!$H$2:$H$1501,"NOTABLE",DONNEES!$L$2:$L$1501,"Pas d’info à tort",DONNEES!$F$2:$F$1501,$A64)</f>
        <v>2</v>
      </c>
      <c r="E64" s="4" t="n">
        <f aca="false">COUNTIFS(DONNEES!$H$2:$H$1501,"NOTABLE",DONNEES!$L$2:$L$1501,"Incorrect",DONNEES!$F$2:$F$1501,$A64)</f>
        <v>1</v>
      </c>
      <c r="F64" s="4" t="n">
        <f aca="false">COUNTIFS(DONNEES!$H$2:$H$1501,"NOTABLE",DONNEES!$L$2:$L$1501,"Hors sujet",DONNEES!$F$2:$F$1501,$A64)</f>
        <v>0</v>
      </c>
      <c r="G64" s="25" t="n">
        <f aca="false">IF($B64=0,"",C64/$B64)</f>
        <v>0.884615384615385</v>
      </c>
      <c r="H64" s="25" t="n">
        <f aca="false">IF($B64=0,"",D64/$B64)</f>
        <v>0.0769230769230769</v>
      </c>
      <c r="I64" s="25" t="n">
        <f aca="false">IF($B64=0,"",E64/$B64)</f>
        <v>0.0384615384615385</v>
      </c>
      <c r="J64" s="25" t="n">
        <f aca="false">IF($B64=0,"",F64/$B64)</f>
        <v>0</v>
      </c>
      <c r="K64" s="26" t="n">
        <f aca="false">IFERROR(AVERAGEIFS(DONNEES!$O$2:$O$1501,DONNEES!$F$2:$F$1501,$A64),"")</f>
        <v>16.3272413793103</v>
      </c>
    </row>
    <row r="65" customFormat="false" ht="15" hidden="false" customHeight="false" outlineLevel="0" collapsed="false">
      <c r="A65" s="4" t="s">
        <v>946</v>
      </c>
      <c r="B65" s="4" t="n">
        <f aca="false">COUNTIFS(DONNEES!$H$2:$H$1501,"NOTABLE",DONNEES!$L$2:$L$1501,"Correct",DONNEES!$F$2:$F$1501,$A65)+COUNTIFS(DONNEES!$H$2:$H$1501,"NOTABLE",DONNEES!$L$2:$L$1501,"Pas d’info à tort",DONNEES!$F$2:$F$1501,$A65)+COUNTIFS(DONNEES!$H$2:$H$1501,"NOTABLE",DONNEES!$L$2:$L$1501,"Incorrect",DONNEES!$F$2:$F$1501,$A65)+COUNTIFS(DONNEES!$H$2:$H$1501,"NOTABLE",DONNEES!$L$2:$L$1501,"Hors sujet",DONNEES!$F$2:$F$1501,$A65)</f>
        <v>28</v>
      </c>
      <c r="C65" s="4" t="n">
        <f aca="false">COUNTIFS(DONNEES!$H$2:$H$1501,"NOTABLE",DONNEES!$L$2:$L$1501,"Correct",DONNEES!$F$2:$F$1501,$A65)</f>
        <v>25</v>
      </c>
      <c r="D65" s="4" t="n">
        <f aca="false">COUNTIFS(DONNEES!$H$2:$H$1501,"NOTABLE",DONNEES!$L$2:$L$1501,"Pas d’info à tort",DONNEES!$F$2:$F$1501,$A65)</f>
        <v>3</v>
      </c>
      <c r="E65" s="4" t="n">
        <f aca="false">COUNTIFS(DONNEES!$H$2:$H$1501,"NOTABLE",DONNEES!$L$2:$L$1501,"Incorrect",DONNEES!$F$2:$F$1501,$A65)</f>
        <v>0</v>
      </c>
      <c r="F65" s="4" t="n">
        <f aca="false">COUNTIFS(DONNEES!$H$2:$H$1501,"NOTABLE",DONNEES!$L$2:$L$1501,"Hors sujet",DONNEES!$F$2:$F$1501,$A65)</f>
        <v>0</v>
      </c>
      <c r="G65" s="25" t="n">
        <f aca="false">IF($B65=0,"",C65/$B65)</f>
        <v>0.892857142857143</v>
      </c>
      <c r="H65" s="25" t="n">
        <f aca="false">IF($B65=0,"",D65/$B65)</f>
        <v>0.107142857142857</v>
      </c>
      <c r="I65" s="25" t="n">
        <f aca="false">IF($B65=0,"",E65/$B65)</f>
        <v>0</v>
      </c>
      <c r="J65" s="25" t="n">
        <f aca="false">IF($B65=0,"",F65/$B65)</f>
        <v>0</v>
      </c>
      <c r="K65" s="26" t="n">
        <f aca="false">IFERROR(AVERAGEIFS(DONNEES!$O$2:$O$1501,DONNEES!$F$2:$F$1501,$A65),"")</f>
        <v>18.0578787878788</v>
      </c>
    </row>
    <row r="66" customFormat="false" ht="15" hidden="false" customHeight="false" outlineLevel="0" collapsed="false">
      <c r="A66" s="4" t="s">
        <v>524</v>
      </c>
      <c r="B66" s="4" t="n">
        <f aca="false">COUNTIFS(DONNEES!$H$2:$H$1501,"NOTABLE",DONNEES!$L$2:$L$1501,"Correct",DONNEES!$F$2:$F$1501,$A66)+COUNTIFS(DONNEES!$H$2:$H$1501,"NOTABLE",DONNEES!$L$2:$L$1501,"Pas d’info à tort",DONNEES!$F$2:$F$1501,$A66)+COUNTIFS(DONNEES!$H$2:$H$1501,"NOTABLE",DONNEES!$L$2:$L$1501,"Incorrect",DONNEES!$F$2:$F$1501,$A66)+COUNTIFS(DONNEES!$H$2:$H$1501,"NOTABLE",DONNEES!$L$2:$L$1501,"Hors sujet",DONNEES!$F$2:$F$1501,$A66)</f>
        <v>32</v>
      </c>
      <c r="C66" s="4" t="n">
        <f aca="false">COUNTIFS(DONNEES!$H$2:$H$1501,"NOTABLE",DONNEES!$L$2:$L$1501,"Correct",DONNEES!$F$2:$F$1501,$A66)</f>
        <v>29</v>
      </c>
      <c r="D66" s="4" t="n">
        <f aca="false">COUNTIFS(DONNEES!$H$2:$H$1501,"NOTABLE",DONNEES!$L$2:$L$1501,"Pas d’info à tort",DONNEES!$F$2:$F$1501,$A66)</f>
        <v>2</v>
      </c>
      <c r="E66" s="4" t="n">
        <f aca="false">COUNTIFS(DONNEES!$H$2:$H$1501,"NOTABLE",DONNEES!$L$2:$L$1501,"Incorrect",DONNEES!$F$2:$F$1501,$A66)</f>
        <v>1</v>
      </c>
      <c r="F66" s="4" t="n">
        <f aca="false">COUNTIFS(DONNEES!$H$2:$H$1501,"NOTABLE",DONNEES!$L$2:$L$1501,"Hors sujet",DONNEES!$F$2:$F$1501,$A66)</f>
        <v>0</v>
      </c>
      <c r="G66" s="25" t="n">
        <f aca="false">IF($B66=0,"",C66/$B66)</f>
        <v>0.90625</v>
      </c>
      <c r="H66" s="25" t="n">
        <f aca="false">IF($B66=0,"",D66/$B66)</f>
        <v>0.0625</v>
      </c>
      <c r="I66" s="25" t="n">
        <f aca="false">IF($B66=0,"",E66/$B66)</f>
        <v>0.03125</v>
      </c>
      <c r="J66" s="25" t="n">
        <f aca="false">IF($B66=0,"",F66/$B66)</f>
        <v>0</v>
      </c>
      <c r="K66" s="26" t="n">
        <f aca="false">IFERROR(AVERAGEIFS(DONNEES!$O$2:$O$1501,DONNEES!$F$2:$F$1501,$A66),"")</f>
        <v>19.2202857142857</v>
      </c>
    </row>
    <row r="67" customFormat="false" ht="15" hidden="false" customHeight="false" outlineLevel="0" collapsed="false">
      <c r="A67" s="4" t="s">
        <v>332</v>
      </c>
      <c r="B67" s="4" t="n">
        <f aca="false">COUNTIFS(DONNEES!$H$2:$H$1501,"NOTABLE",DONNEES!$L$2:$L$1501,"Correct",DONNEES!$F$2:$F$1501,$A67)+COUNTIFS(DONNEES!$H$2:$H$1501,"NOTABLE",DONNEES!$L$2:$L$1501,"Pas d’info à tort",DONNEES!$F$2:$F$1501,$A67)+COUNTIFS(DONNEES!$H$2:$H$1501,"NOTABLE",DONNEES!$L$2:$L$1501,"Incorrect",DONNEES!$F$2:$F$1501,$A67)+COUNTIFS(DONNEES!$H$2:$H$1501,"NOTABLE",DONNEES!$L$2:$L$1501,"Hors sujet",DONNEES!$F$2:$F$1501,$A67)</f>
        <v>23</v>
      </c>
      <c r="C67" s="4" t="n">
        <f aca="false">COUNTIFS(DONNEES!$H$2:$H$1501,"NOTABLE",DONNEES!$L$2:$L$1501,"Correct",DONNEES!$F$2:$F$1501,$A67)</f>
        <v>21</v>
      </c>
      <c r="D67" s="4" t="n">
        <f aca="false">COUNTIFS(DONNEES!$H$2:$H$1501,"NOTABLE",DONNEES!$L$2:$L$1501,"Pas d’info à tort",DONNEES!$F$2:$F$1501,$A67)</f>
        <v>2</v>
      </c>
      <c r="E67" s="4" t="n">
        <f aca="false">COUNTIFS(DONNEES!$H$2:$H$1501,"NOTABLE",DONNEES!$L$2:$L$1501,"Incorrect",DONNEES!$F$2:$F$1501,$A67)</f>
        <v>0</v>
      </c>
      <c r="F67" s="4" t="n">
        <f aca="false">COUNTIFS(DONNEES!$H$2:$H$1501,"NOTABLE",DONNEES!$L$2:$L$1501,"Hors sujet",DONNEES!$F$2:$F$1501,$A67)</f>
        <v>0</v>
      </c>
      <c r="G67" s="25" t="n">
        <f aca="false">IF($B67=0,"",C67/$B67)</f>
        <v>0.91304347826087</v>
      </c>
      <c r="H67" s="25" t="n">
        <f aca="false">IF($B67=0,"",D67/$B67)</f>
        <v>0.0869565217391304</v>
      </c>
      <c r="I67" s="25" t="n">
        <f aca="false">IF($B67=0,"",E67/$B67)</f>
        <v>0</v>
      </c>
      <c r="J67" s="25" t="n">
        <f aca="false">IF($B67=0,"",F67/$B67)</f>
        <v>0</v>
      </c>
      <c r="K67" s="26" t="n">
        <f aca="false">IFERROR(AVERAGEIFS(DONNEES!$O$2:$O$1501,DONNEES!$F$2:$F$1501,$A67),"")</f>
        <v>15.7972</v>
      </c>
    </row>
    <row r="68" customFormat="false" ht="15" hidden="false" customHeight="false" outlineLevel="0" collapsed="false">
      <c r="A68" s="4" t="s">
        <v>1027</v>
      </c>
      <c r="B68" s="4" t="n">
        <f aca="false">COUNTIFS(DONNEES!$H$2:$H$1501,"NOTABLE",DONNEES!$L$2:$L$1501,"Correct",DONNEES!$F$2:$F$1501,$A68)+COUNTIFS(DONNEES!$H$2:$H$1501,"NOTABLE",DONNEES!$L$2:$L$1501,"Pas d’info à tort",DONNEES!$F$2:$F$1501,$A68)+COUNTIFS(DONNEES!$H$2:$H$1501,"NOTABLE",DONNEES!$L$2:$L$1501,"Incorrect",DONNEES!$F$2:$F$1501,$A68)+COUNTIFS(DONNEES!$H$2:$H$1501,"NOTABLE",DONNEES!$L$2:$L$1501,"Hors sujet",DONNEES!$F$2:$F$1501,$A68)</f>
        <v>12</v>
      </c>
      <c r="C68" s="4" t="n">
        <f aca="false">COUNTIFS(DONNEES!$H$2:$H$1501,"NOTABLE",DONNEES!$L$2:$L$1501,"Correct",DONNEES!$F$2:$F$1501,$A68)</f>
        <v>11</v>
      </c>
      <c r="D68" s="4" t="n">
        <f aca="false">COUNTIFS(DONNEES!$H$2:$H$1501,"NOTABLE",DONNEES!$L$2:$L$1501,"Pas d’info à tort",DONNEES!$F$2:$F$1501,$A68)</f>
        <v>1</v>
      </c>
      <c r="E68" s="4" t="n">
        <f aca="false">COUNTIFS(DONNEES!$H$2:$H$1501,"NOTABLE",DONNEES!$L$2:$L$1501,"Incorrect",DONNEES!$F$2:$F$1501,$A68)</f>
        <v>0</v>
      </c>
      <c r="F68" s="4" t="n">
        <f aca="false">COUNTIFS(DONNEES!$H$2:$H$1501,"NOTABLE",DONNEES!$L$2:$L$1501,"Hors sujet",DONNEES!$F$2:$F$1501,$A68)</f>
        <v>0</v>
      </c>
      <c r="G68" s="25" t="n">
        <f aca="false">IF($B68=0,"",C68/$B68)</f>
        <v>0.916666666666667</v>
      </c>
      <c r="H68" s="25" t="n">
        <f aca="false">IF($B68=0,"",D68/$B68)</f>
        <v>0.0833333333333333</v>
      </c>
      <c r="I68" s="25" t="n">
        <f aca="false">IF($B68=0,"",E68/$B68)</f>
        <v>0</v>
      </c>
      <c r="J68" s="25" t="n">
        <f aca="false">IF($B68=0,"",F68/$B68)</f>
        <v>0</v>
      </c>
      <c r="K68" s="26" t="n">
        <f aca="false">IFERROR(AVERAGEIFS(DONNEES!$O$2:$O$1501,DONNEES!$F$2:$F$1501,$A68),"")</f>
        <v>16.2</v>
      </c>
    </row>
    <row r="69" customFormat="false" ht="15" hidden="false" customHeight="false" outlineLevel="0" collapsed="false">
      <c r="A69" s="4" t="s">
        <v>1416</v>
      </c>
      <c r="B69" s="4" t="n">
        <f aca="false">COUNTIFS(DONNEES!$H$2:$H$1501,"NOTABLE",DONNEES!$L$2:$L$1501,"Correct",DONNEES!$F$2:$F$1501,$A69)+COUNTIFS(DONNEES!$H$2:$H$1501,"NOTABLE",DONNEES!$L$2:$L$1501,"Pas d’info à tort",DONNEES!$F$2:$F$1501,$A69)+COUNTIFS(DONNEES!$H$2:$H$1501,"NOTABLE",DONNEES!$L$2:$L$1501,"Incorrect",DONNEES!$F$2:$F$1501,$A69)+COUNTIFS(DONNEES!$H$2:$H$1501,"NOTABLE",DONNEES!$L$2:$L$1501,"Hors sujet",DONNEES!$F$2:$F$1501,$A69)</f>
        <v>26</v>
      </c>
      <c r="C69" s="4" t="n">
        <f aca="false">COUNTIFS(DONNEES!$H$2:$H$1501,"NOTABLE",DONNEES!$L$2:$L$1501,"Correct",DONNEES!$F$2:$F$1501,$A69)</f>
        <v>24</v>
      </c>
      <c r="D69" s="4" t="n">
        <f aca="false">COUNTIFS(DONNEES!$H$2:$H$1501,"NOTABLE",DONNEES!$L$2:$L$1501,"Pas d’info à tort",DONNEES!$F$2:$F$1501,$A69)</f>
        <v>2</v>
      </c>
      <c r="E69" s="4" t="n">
        <f aca="false">COUNTIFS(DONNEES!$H$2:$H$1501,"NOTABLE",DONNEES!$L$2:$L$1501,"Incorrect",DONNEES!$F$2:$F$1501,$A69)</f>
        <v>0</v>
      </c>
      <c r="F69" s="4" t="n">
        <f aca="false">COUNTIFS(DONNEES!$H$2:$H$1501,"NOTABLE",DONNEES!$L$2:$L$1501,"Hors sujet",DONNEES!$F$2:$F$1501,$A69)</f>
        <v>0</v>
      </c>
      <c r="G69" s="25" t="n">
        <f aca="false">IF($B69=0,"",C69/$B69)</f>
        <v>0.923076923076923</v>
      </c>
      <c r="H69" s="25" t="n">
        <f aca="false">IF($B69=0,"",D69/$B69)</f>
        <v>0.0769230769230769</v>
      </c>
      <c r="I69" s="25" t="n">
        <f aca="false">IF($B69=0,"",E69/$B69)</f>
        <v>0</v>
      </c>
      <c r="J69" s="25" t="n">
        <f aca="false">IF($B69=0,"",F69/$B69)</f>
        <v>0</v>
      </c>
      <c r="K69" s="26" t="n">
        <f aca="false">IFERROR(AVERAGEIFS(DONNEES!$O$2:$O$1501,DONNEES!$F$2:$F$1501,$A69),"")</f>
        <v>17.1867857142857</v>
      </c>
    </row>
    <row r="70" customFormat="false" ht="15" hidden="false" customHeight="false" outlineLevel="0" collapsed="false">
      <c r="A70" s="4" t="s">
        <v>701</v>
      </c>
      <c r="B70" s="4" t="n">
        <f aca="false">COUNTIFS(DONNEES!$H$2:$H$1501,"NOTABLE",DONNEES!$L$2:$L$1501,"Correct",DONNEES!$F$2:$F$1501,$A70)+COUNTIFS(DONNEES!$H$2:$H$1501,"NOTABLE",DONNEES!$L$2:$L$1501,"Pas d’info à tort",DONNEES!$F$2:$F$1501,$A70)+COUNTIFS(DONNEES!$H$2:$H$1501,"NOTABLE",DONNEES!$L$2:$L$1501,"Incorrect",DONNEES!$F$2:$F$1501,$A70)+COUNTIFS(DONNEES!$H$2:$H$1501,"NOTABLE",DONNEES!$L$2:$L$1501,"Hors sujet",DONNEES!$F$2:$F$1501,$A70)</f>
        <v>13</v>
      </c>
      <c r="C70" s="4" t="n">
        <f aca="false">COUNTIFS(DONNEES!$H$2:$H$1501,"NOTABLE",DONNEES!$L$2:$L$1501,"Correct",DONNEES!$F$2:$F$1501,$A70)</f>
        <v>12</v>
      </c>
      <c r="D70" s="4" t="n">
        <f aca="false">COUNTIFS(DONNEES!$H$2:$H$1501,"NOTABLE",DONNEES!$L$2:$L$1501,"Pas d’info à tort",DONNEES!$F$2:$F$1501,$A70)</f>
        <v>1</v>
      </c>
      <c r="E70" s="4" t="n">
        <f aca="false">COUNTIFS(DONNEES!$H$2:$H$1501,"NOTABLE",DONNEES!$L$2:$L$1501,"Incorrect",DONNEES!$F$2:$F$1501,$A70)</f>
        <v>0</v>
      </c>
      <c r="F70" s="4" t="n">
        <f aca="false">COUNTIFS(DONNEES!$H$2:$H$1501,"NOTABLE",DONNEES!$L$2:$L$1501,"Hors sujet",DONNEES!$F$2:$F$1501,$A70)</f>
        <v>0</v>
      </c>
      <c r="G70" s="25" t="n">
        <f aca="false">IF($B70=0,"",C70/$B70)</f>
        <v>0.923076923076923</v>
      </c>
      <c r="H70" s="25" t="n">
        <f aca="false">IF($B70=0,"",D70/$B70)</f>
        <v>0.0769230769230769</v>
      </c>
      <c r="I70" s="25" t="n">
        <f aca="false">IF($B70=0,"",E70/$B70)</f>
        <v>0</v>
      </c>
      <c r="J70" s="25" t="n">
        <f aca="false">IF($B70=0,"",F70/$B70)</f>
        <v>0</v>
      </c>
      <c r="K70" s="26" t="n">
        <f aca="false">IFERROR(AVERAGEIFS(DONNEES!$O$2:$O$1501,DONNEES!$F$2:$F$1501,$A70),"")</f>
        <v>16.2846666666667</v>
      </c>
    </row>
    <row r="71" customFormat="false" ht="15" hidden="false" customHeight="false" outlineLevel="0" collapsed="false">
      <c r="A71" s="4" t="s">
        <v>1925</v>
      </c>
      <c r="B71" s="4" t="n">
        <f aca="false">COUNTIFS(DONNEES!$H$2:$H$1501,"NOTABLE",DONNEES!$L$2:$L$1501,"Correct",DONNEES!$F$2:$F$1501,$A71)+COUNTIFS(DONNEES!$H$2:$H$1501,"NOTABLE",DONNEES!$L$2:$L$1501,"Pas d’info à tort",DONNEES!$F$2:$F$1501,$A71)+COUNTIFS(DONNEES!$H$2:$H$1501,"NOTABLE",DONNEES!$L$2:$L$1501,"Incorrect",DONNEES!$F$2:$F$1501,$A71)+COUNTIFS(DONNEES!$H$2:$H$1501,"NOTABLE",DONNEES!$L$2:$L$1501,"Hors sujet",DONNEES!$F$2:$F$1501,$A71)</f>
        <v>13</v>
      </c>
      <c r="C71" s="4" t="n">
        <f aca="false">COUNTIFS(DONNEES!$H$2:$H$1501,"NOTABLE",DONNEES!$L$2:$L$1501,"Correct",DONNEES!$F$2:$F$1501,$A71)</f>
        <v>13</v>
      </c>
      <c r="D71" s="4" t="n">
        <f aca="false">COUNTIFS(DONNEES!$H$2:$H$1501,"NOTABLE",DONNEES!$L$2:$L$1501,"Pas d’info à tort",DONNEES!$F$2:$F$1501,$A71)</f>
        <v>0</v>
      </c>
      <c r="E71" s="4" t="n">
        <f aca="false">COUNTIFS(DONNEES!$H$2:$H$1501,"NOTABLE",DONNEES!$L$2:$L$1501,"Incorrect",DONNEES!$F$2:$F$1501,$A71)</f>
        <v>0</v>
      </c>
      <c r="F71" s="4" t="n">
        <f aca="false">COUNTIFS(DONNEES!$H$2:$H$1501,"NOTABLE",DONNEES!$L$2:$L$1501,"Hors sujet",DONNEES!$F$2:$F$1501,$A71)</f>
        <v>0</v>
      </c>
      <c r="G71" s="25" t="n">
        <f aca="false">IF($B71=0,"",C71/$B71)</f>
        <v>1</v>
      </c>
      <c r="H71" s="25" t="n">
        <f aca="false">IF($B71=0,"",D71/$B71)</f>
        <v>0</v>
      </c>
      <c r="I71" s="25" t="n">
        <f aca="false">IF($B71=0,"",E71/$B71)</f>
        <v>0</v>
      </c>
      <c r="J71" s="25" t="n">
        <f aca="false">IF($B71=0,"",F71/$B71)</f>
        <v>0</v>
      </c>
      <c r="K71" s="26" t="n">
        <f aca="false">IFERROR(AVERAGEIFS(DONNEES!$O$2:$O$1501,DONNEES!$F$2:$F$1501,$A71),"")</f>
        <v>19.0726666666667</v>
      </c>
    </row>
    <row r="72" customFormat="false" ht="15" hidden="false" customHeight="false" outlineLevel="0" collapsed="false">
      <c r="A72" s="4" t="s">
        <v>617</v>
      </c>
      <c r="B72" s="4" t="n">
        <f aca="false">COUNTIFS(DONNEES!$H$2:$H$1501,"NOTABLE",DONNEES!$L$2:$L$1501,"Correct",DONNEES!$F$2:$F$1501,$A72)+COUNTIFS(DONNEES!$H$2:$H$1501,"NOTABLE",DONNEES!$L$2:$L$1501,"Pas d’info à tort",DONNEES!$F$2:$F$1501,$A72)+COUNTIFS(DONNEES!$H$2:$H$1501,"NOTABLE",DONNEES!$L$2:$L$1501,"Incorrect",DONNEES!$F$2:$F$1501,$A72)+COUNTIFS(DONNEES!$H$2:$H$1501,"NOTABLE",DONNEES!$L$2:$L$1501,"Hors sujet",DONNEES!$F$2:$F$1501,$A72)</f>
        <v>7</v>
      </c>
      <c r="C72" s="4" t="n">
        <f aca="false">COUNTIFS(DONNEES!$H$2:$H$1501,"NOTABLE",DONNEES!$L$2:$L$1501,"Correct",DONNEES!$F$2:$F$1501,$A72)</f>
        <v>7</v>
      </c>
      <c r="D72" s="4" t="n">
        <f aca="false">COUNTIFS(DONNEES!$H$2:$H$1501,"NOTABLE",DONNEES!$L$2:$L$1501,"Pas d’info à tort",DONNEES!$F$2:$F$1501,$A72)</f>
        <v>0</v>
      </c>
      <c r="E72" s="4" t="n">
        <f aca="false">COUNTIFS(DONNEES!$H$2:$H$1501,"NOTABLE",DONNEES!$L$2:$L$1501,"Incorrect",DONNEES!$F$2:$F$1501,$A72)</f>
        <v>0</v>
      </c>
      <c r="F72" s="4" t="n">
        <f aca="false">COUNTIFS(DONNEES!$H$2:$H$1501,"NOTABLE",DONNEES!$L$2:$L$1501,"Hors sujet",DONNEES!$F$2:$F$1501,$A72)</f>
        <v>0</v>
      </c>
      <c r="G72" s="25" t="n">
        <f aca="false">IF($B72=0,"",C72/$B72)</f>
        <v>1</v>
      </c>
      <c r="H72" s="25" t="n">
        <f aca="false">IF($B72=0,"",D72/$B72)</f>
        <v>0</v>
      </c>
      <c r="I72" s="25" t="n">
        <f aca="false">IF($B72=0,"",E72/$B72)</f>
        <v>0</v>
      </c>
      <c r="J72" s="25" t="n">
        <f aca="false">IF($B72=0,"",F72/$B72)</f>
        <v>0</v>
      </c>
      <c r="K72" s="26" t="n">
        <f aca="false">IFERROR(AVERAGEIFS(DONNEES!$O$2:$O$1501,DONNEES!$F$2:$F$1501,$A72),"")</f>
        <v>16.7171428571429</v>
      </c>
    </row>
    <row r="73" customFormat="false" ht="15" hidden="false" customHeight="false" outlineLevel="0" collapsed="false">
      <c r="A73" s="4" t="s">
        <v>388</v>
      </c>
      <c r="B73" s="4" t="n">
        <f aca="false">COUNTIFS(DONNEES!$H$2:$H$1501,"NOTABLE",DONNEES!$L$2:$L$1501,"Correct",DONNEES!$F$2:$F$1501,$A73)+COUNTIFS(DONNEES!$H$2:$H$1501,"NOTABLE",DONNEES!$L$2:$L$1501,"Pas d’info à tort",DONNEES!$F$2:$F$1501,$A73)+COUNTIFS(DONNEES!$H$2:$H$1501,"NOTABLE",DONNEES!$L$2:$L$1501,"Incorrect",DONNEES!$F$2:$F$1501,$A73)+COUNTIFS(DONNEES!$H$2:$H$1501,"NOTABLE",DONNEES!$L$2:$L$1501,"Hors sujet",DONNEES!$F$2:$F$1501,$A73)</f>
        <v>7</v>
      </c>
      <c r="C73" s="4" t="n">
        <f aca="false">COUNTIFS(DONNEES!$H$2:$H$1501,"NOTABLE",DONNEES!$L$2:$L$1501,"Correct",DONNEES!$F$2:$F$1501,$A73)</f>
        <v>7</v>
      </c>
      <c r="D73" s="4" t="n">
        <f aca="false">COUNTIFS(DONNEES!$H$2:$H$1501,"NOTABLE",DONNEES!$L$2:$L$1501,"Pas d’info à tort",DONNEES!$F$2:$F$1501,$A73)</f>
        <v>0</v>
      </c>
      <c r="E73" s="4" t="n">
        <f aca="false">COUNTIFS(DONNEES!$H$2:$H$1501,"NOTABLE",DONNEES!$L$2:$L$1501,"Incorrect",DONNEES!$F$2:$F$1501,$A73)</f>
        <v>0</v>
      </c>
      <c r="F73" s="4" t="n">
        <f aca="false">COUNTIFS(DONNEES!$H$2:$H$1501,"NOTABLE",DONNEES!$L$2:$L$1501,"Hors sujet",DONNEES!$F$2:$F$1501,$A73)</f>
        <v>0</v>
      </c>
      <c r="G73" s="25" t="n">
        <f aca="false">IF($B73=0,"",C73/$B73)</f>
        <v>1</v>
      </c>
      <c r="H73" s="25" t="n">
        <f aca="false">IF($B73=0,"",D73/$B73)</f>
        <v>0</v>
      </c>
      <c r="I73" s="25" t="n">
        <f aca="false">IF($B73=0,"",E73/$B73)</f>
        <v>0</v>
      </c>
      <c r="J73" s="25" t="n">
        <f aca="false">IF($B73=0,"",F73/$B73)</f>
        <v>0</v>
      </c>
      <c r="K73" s="26" t="n">
        <f aca="false">IFERROR(AVERAGEIFS(DONNEES!$O$2:$O$1501,DONNEES!$F$2:$F$1501,$A73),"")</f>
        <v>12.4185714285714</v>
      </c>
    </row>
    <row r="74" customFormat="false" ht="15" hidden="false" customHeight="false" outlineLevel="0" collapsed="false">
      <c r="A74" s="4" t="s">
        <v>1771</v>
      </c>
      <c r="B74" s="4" t="n">
        <f aca="false">COUNTIFS(DONNEES!$H$2:$H$1501,"NOTABLE",DONNEES!$L$2:$L$1501,"Correct",DONNEES!$F$2:$F$1501,$A74)+COUNTIFS(DONNEES!$H$2:$H$1501,"NOTABLE",DONNEES!$L$2:$L$1501,"Pas d’info à tort",DONNEES!$F$2:$F$1501,$A74)+COUNTIFS(DONNEES!$H$2:$H$1501,"NOTABLE",DONNEES!$L$2:$L$1501,"Incorrect",DONNEES!$F$2:$F$1501,$A74)+COUNTIFS(DONNEES!$H$2:$H$1501,"NOTABLE",DONNEES!$L$2:$L$1501,"Hors sujet",DONNEES!$F$2:$F$1501,$A74)</f>
        <v>6</v>
      </c>
      <c r="C74" s="4" t="n">
        <f aca="false">COUNTIFS(DONNEES!$H$2:$H$1501,"NOTABLE",DONNEES!$L$2:$L$1501,"Correct",DONNEES!$F$2:$F$1501,$A74)</f>
        <v>6</v>
      </c>
      <c r="D74" s="4" t="n">
        <f aca="false">COUNTIFS(DONNEES!$H$2:$H$1501,"NOTABLE",DONNEES!$L$2:$L$1501,"Pas d’info à tort",DONNEES!$F$2:$F$1501,$A74)</f>
        <v>0</v>
      </c>
      <c r="E74" s="4" t="n">
        <f aca="false">COUNTIFS(DONNEES!$H$2:$H$1501,"NOTABLE",DONNEES!$L$2:$L$1501,"Incorrect",DONNEES!$F$2:$F$1501,$A74)</f>
        <v>0</v>
      </c>
      <c r="F74" s="4" t="n">
        <f aca="false">COUNTIFS(DONNEES!$H$2:$H$1501,"NOTABLE",DONNEES!$L$2:$L$1501,"Hors sujet",DONNEES!$F$2:$F$1501,$A74)</f>
        <v>0</v>
      </c>
      <c r="G74" s="25" t="n">
        <f aca="false">IF($B74=0,"",C74/$B74)</f>
        <v>1</v>
      </c>
      <c r="H74" s="25" t="n">
        <f aca="false">IF($B74=0,"",D74/$B74)</f>
        <v>0</v>
      </c>
      <c r="I74" s="25" t="n">
        <f aca="false">IF($B74=0,"",E74/$B74)</f>
        <v>0</v>
      </c>
      <c r="J74" s="25" t="n">
        <f aca="false">IF($B74=0,"",F74/$B74)</f>
        <v>0</v>
      </c>
      <c r="K74" s="26" t="n">
        <f aca="false">IFERROR(AVERAGEIFS(DONNEES!$O$2:$O$1501,DONNEES!$F$2:$F$1501,$A74),"")</f>
        <v>17.4371428571429</v>
      </c>
    </row>
    <row r="75" customFormat="false" ht="15" hidden="false" customHeight="false" outlineLevel="0" collapsed="false">
      <c r="A75" s="4" t="s">
        <v>2456</v>
      </c>
      <c r="B75" s="4" t="n">
        <f aca="false">COUNTIFS(DONNEES!$H$2:$H$1501,"NOTABLE",DONNEES!$L$2:$L$1501,"Correct",DONNEES!$F$2:$F$1501,$A75)+COUNTIFS(DONNEES!$H$2:$H$1501,"NOTABLE",DONNEES!$L$2:$L$1501,"Pas d’info à tort",DONNEES!$F$2:$F$1501,$A75)+COUNTIFS(DONNEES!$H$2:$H$1501,"NOTABLE",DONNEES!$L$2:$L$1501,"Incorrect",DONNEES!$F$2:$F$1501,$A75)+COUNTIFS(DONNEES!$H$2:$H$1501,"NOTABLE",DONNEES!$L$2:$L$1501,"Hors sujet",DONNEES!$F$2:$F$1501,$A75)</f>
        <v>6</v>
      </c>
      <c r="C75" s="4" t="n">
        <f aca="false">COUNTIFS(DONNEES!$H$2:$H$1501,"NOTABLE",DONNEES!$L$2:$L$1501,"Correct",DONNEES!$F$2:$F$1501,$A75)</f>
        <v>6</v>
      </c>
      <c r="D75" s="4" t="n">
        <f aca="false">COUNTIFS(DONNEES!$H$2:$H$1501,"NOTABLE",DONNEES!$L$2:$L$1501,"Pas d’info à tort",DONNEES!$F$2:$F$1501,$A75)</f>
        <v>0</v>
      </c>
      <c r="E75" s="4" t="n">
        <f aca="false">COUNTIFS(DONNEES!$H$2:$H$1501,"NOTABLE",DONNEES!$L$2:$L$1501,"Incorrect",DONNEES!$F$2:$F$1501,$A75)</f>
        <v>0</v>
      </c>
      <c r="F75" s="4" t="n">
        <f aca="false">COUNTIFS(DONNEES!$H$2:$H$1501,"NOTABLE",DONNEES!$L$2:$L$1501,"Hors sujet",DONNEES!$F$2:$F$1501,$A75)</f>
        <v>0</v>
      </c>
      <c r="G75" s="25" t="n">
        <f aca="false">IF($B75=0,"",C75/$B75)</f>
        <v>1</v>
      </c>
      <c r="H75" s="25" t="n">
        <f aca="false">IF($B75=0,"",D75/$B75)</f>
        <v>0</v>
      </c>
      <c r="I75" s="25" t="n">
        <f aca="false">IF($B75=0,"",E75/$B75)</f>
        <v>0</v>
      </c>
      <c r="J75" s="25" t="n">
        <f aca="false">IF($B75=0,"",F75/$B75)</f>
        <v>0</v>
      </c>
      <c r="K75" s="26" t="n">
        <f aca="false">IFERROR(AVERAGEIFS(DONNEES!$O$2:$O$1501,DONNEES!$F$2:$F$1501,$A75),"")</f>
        <v>13.9228571428571</v>
      </c>
    </row>
    <row r="76" customFormat="false" ht="15" hidden="false" customHeight="false" outlineLevel="0" collapsed="false">
      <c r="A76" s="4" t="s">
        <v>3298</v>
      </c>
      <c r="B76" s="4" t="n">
        <f aca="false">COUNTIFS(DONNEES!$H$2:$H$1501,"NOTABLE",DONNEES!$L$2:$L$1501,"Correct",DONNEES!$F$2:$F$1501,$A76)+COUNTIFS(DONNEES!$H$2:$H$1501,"NOTABLE",DONNEES!$L$2:$L$1501,"Pas d’info à tort",DONNEES!$F$2:$F$1501,$A76)+COUNTIFS(DONNEES!$H$2:$H$1501,"NOTABLE",DONNEES!$L$2:$L$1501,"Incorrect",DONNEES!$F$2:$F$1501,$A76)+COUNTIFS(DONNEES!$H$2:$H$1501,"NOTABLE",DONNEES!$L$2:$L$1501,"Hors sujet",DONNEES!$F$2:$F$1501,$A76)</f>
        <v>6</v>
      </c>
      <c r="C76" s="4" t="n">
        <f aca="false">COUNTIFS(DONNEES!$H$2:$H$1501,"NOTABLE",DONNEES!$L$2:$L$1501,"Correct",DONNEES!$F$2:$F$1501,$A76)</f>
        <v>6</v>
      </c>
      <c r="D76" s="4" t="n">
        <f aca="false">COUNTIFS(DONNEES!$H$2:$H$1501,"NOTABLE",DONNEES!$L$2:$L$1501,"Pas d’info à tort",DONNEES!$F$2:$F$1501,$A76)</f>
        <v>0</v>
      </c>
      <c r="E76" s="4" t="n">
        <f aca="false">COUNTIFS(DONNEES!$H$2:$H$1501,"NOTABLE",DONNEES!$L$2:$L$1501,"Incorrect",DONNEES!$F$2:$F$1501,$A76)</f>
        <v>0</v>
      </c>
      <c r="F76" s="4" t="n">
        <f aca="false">COUNTIFS(DONNEES!$H$2:$H$1501,"NOTABLE",DONNEES!$L$2:$L$1501,"Hors sujet",DONNEES!$F$2:$F$1501,$A76)</f>
        <v>0</v>
      </c>
      <c r="G76" s="25" t="n">
        <f aca="false">IF($B76=0,"",C76/$B76)</f>
        <v>1</v>
      </c>
      <c r="H76" s="25" t="n">
        <f aca="false">IF($B76=0,"",D76/$B76)</f>
        <v>0</v>
      </c>
      <c r="I76" s="25" t="n">
        <f aca="false">IF($B76=0,"",E76/$B76)</f>
        <v>0</v>
      </c>
      <c r="J76" s="25" t="n">
        <f aca="false">IF($B76=0,"",F76/$B76)</f>
        <v>0</v>
      </c>
      <c r="K76" s="26" t="n">
        <f aca="false">IFERROR(AVERAGEIFS(DONNEES!$O$2:$O$1501,DONNEES!$F$2:$F$1501,$A76),"")</f>
        <v>14.0228571428571</v>
      </c>
    </row>
    <row r="77" customFormat="false" ht="15" hidden="false" customHeight="false" outlineLevel="0" collapsed="false">
      <c r="A77" s="4" t="s">
        <v>2796</v>
      </c>
      <c r="B77" s="4" t="n">
        <f aca="false">COUNTIFS(DONNEES!$H$2:$H$1501,"NOTABLE",DONNEES!$L$2:$L$1501,"Correct",DONNEES!$F$2:$F$1501,$A77)+COUNTIFS(DONNEES!$H$2:$H$1501,"NOTABLE",DONNEES!$L$2:$L$1501,"Pas d’info à tort",DONNEES!$F$2:$F$1501,$A77)+COUNTIFS(DONNEES!$H$2:$H$1501,"NOTABLE",DONNEES!$L$2:$L$1501,"Incorrect",DONNEES!$F$2:$F$1501,$A77)+COUNTIFS(DONNEES!$H$2:$H$1501,"NOTABLE",DONNEES!$L$2:$L$1501,"Hors sujet",DONNEES!$F$2:$F$1501,$A77)</f>
        <v>6</v>
      </c>
      <c r="C77" s="4" t="n">
        <f aca="false">COUNTIFS(DONNEES!$H$2:$H$1501,"NOTABLE",DONNEES!$L$2:$L$1501,"Correct",DONNEES!$F$2:$F$1501,$A77)</f>
        <v>6</v>
      </c>
      <c r="D77" s="4" t="n">
        <f aca="false">COUNTIFS(DONNEES!$H$2:$H$1501,"NOTABLE",DONNEES!$L$2:$L$1501,"Pas d’info à tort",DONNEES!$F$2:$F$1501,$A77)</f>
        <v>0</v>
      </c>
      <c r="E77" s="4" t="n">
        <f aca="false">COUNTIFS(DONNEES!$H$2:$H$1501,"NOTABLE",DONNEES!$L$2:$L$1501,"Incorrect",DONNEES!$F$2:$F$1501,$A77)</f>
        <v>0</v>
      </c>
      <c r="F77" s="4" t="n">
        <f aca="false">COUNTIFS(DONNEES!$H$2:$H$1501,"NOTABLE",DONNEES!$L$2:$L$1501,"Hors sujet",DONNEES!$F$2:$F$1501,$A77)</f>
        <v>0</v>
      </c>
      <c r="G77" s="25" t="n">
        <f aca="false">IF($B77=0,"",C77/$B77)</f>
        <v>1</v>
      </c>
      <c r="H77" s="25" t="n">
        <f aca="false">IF($B77=0,"",D77/$B77)</f>
        <v>0</v>
      </c>
      <c r="I77" s="25" t="n">
        <f aca="false">IF($B77=0,"",E77/$B77)</f>
        <v>0</v>
      </c>
      <c r="J77" s="25" t="n">
        <f aca="false">IF($B77=0,"",F77/$B77)</f>
        <v>0</v>
      </c>
      <c r="K77" s="26" t="n">
        <f aca="false">IFERROR(AVERAGEIFS(DONNEES!$O$2:$O$1501,DONNEES!$F$2:$F$1501,$A77),"")</f>
        <v>12.6942857142857</v>
      </c>
    </row>
    <row r="78" customFormat="false" ht="15" hidden="false" customHeight="false" outlineLevel="0" collapsed="false">
      <c r="A78" s="4" t="s">
        <v>2976</v>
      </c>
      <c r="B78" s="4" t="n">
        <f aca="false">COUNTIFS(DONNEES!$H$2:$H$1501,"NOTABLE",DONNEES!$L$2:$L$1501,"Correct",DONNEES!$F$2:$F$1501,$A78)+COUNTIFS(DONNEES!$H$2:$H$1501,"NOTABLE",DONNEES!$L$2:$L$1501,"Pas d’info à tort",DONNEES!$F$2:$F$1501,$A78)+COUNTIFS(DONNEES!$H$2:$H$1501,"NOTABLE",DONNEES!$L$2:$L$1501,"Incorrect",DONNEES!$F$2:$F$1501,$A78)+COUNTIFS(DONNEES!$H$2:$H$1501,"NOTABLE",DONNEES!$L$2:$L$1501,"Hors sujet",DONNEES!$F$2:$F$1501,$A78)</f>
        <v>6</v>
      </c>
      <c r="C78" s="4" t="n">
        <f aca="false">COUNTIFS(DONNEES!$H$2:$H$1501,"NOTABLE",DONNEES!$L$2:$L$1501,"Correct",DONNEES!$F$2:$F$1501,$A78)</f>
        <v>6</v>
      </c>
      <c r="D78" s="4" t="n">
        <f aca="false">COUNTIFS(DONNEES!$H$2:$H$1501,"NOTABLE",DONNEES!$L$2:$L$1501,"Pas d’info à tort",DONNEES!$F$2:$F$1501,$A78)</f>
        <v>0</v>
      </c>
      <c r="E78" s="4" t="n">
        <f aca="false">COUNTIFS(DONNEES!$H$2:$H$1501,"NOTABLE",DONNEES!$L$2:$L$1501,"Incorrect",DONNEES!$F$2:$F$1501,$A78)</f>
        <v>0</v>
      </c>
      <c r="F78" s="4" t="n">
        <f aca="false">COUNTIFS(DONNEES!$H$2:$H$1501,"NOTABLE",DONNEES!$L$2:$L$1501,"Hors sujet",DONNEES!$F$2:$F$1501,$A78)</f>
        <v>0</v>
      </c>
      <c r="G78" s="25" t="n">
        <f aca="false">IF($B78=0,"",C78/$B78)</f>
        <v>1</v>
      </c>
      <c r="H78" s="25" t="n">
        <f aca="false">IF($B78=0,"",D78/$B78)</f>
        <v>0</v>
      </c>
      <c r="I78" s="25" t="n">
        <f aca="false">IF($B78=0,"",E78/$B78)</f>
        <v>0</v>
      </c>
      <c r="J78" s="25" t="n">
        <f aca="false">IF($B78=0,"",F78/$B78)</f>
        <v>0</v>
      </c>
      <c r="K78" s="26" t="n">
        <f aca="false">IFERROR(AVERAGEIFS(DONNEES!$O$2:$O$1501,DONNEES!$F$2:$F$1501,$A78),"")</f>
        <v>14.2014285714286</v>
      </c>
    </row>
    <row r="79" customFormat="false" ht="15" hidden="false" customHeight="false" outlineLevel="0" collapsed="false">
      <c r="A79" s="4" t="s">
        <v>2023</v>
      </c>
      <c r="B79" s="4" t="n">
        <f aca="false">COUNTIFS(DONNEES!$H$2:$H$1501,"NOTABLE",DONNEES!$L$2:$L$1501,"Correct",DONNEES!$F$2:$F$1501,$A79)+COUNTIFS(DONNEES!$H$2:$H$1501,"NOTABLE",DONNEES!$L$2:$L$1501,"Pas d’info à tort",DONNEES!$F$2:$F$1501,$A79)+COUNTIFS(DONNEES!$H$2:$H$1501,"NOTABLE",DONNEES!$L$2:$L$1501,"Incorrect",DONNEES!$F$2:$F$1501,$A79)+COUNTIFS(DONNEES!$H$2:$H$1501,"NOTABLE",DONNEES!$L$2:$L$1501,"Hors sujet",DONNEES!$F$2:$F$1501,$A79)</f>
        <v>6</v>
      </c>
      <c r="C79" s="4" t="n">
        <f aca="false">COUNTIFS(DONNEES!$H$2:$H$1501,"NOTABLE",DONNEES!$L$2:$L$1501,"Correct",DONNEES!$F$2:$F$1501,$A79)</f>
        <v>6</v>
      </c>
      <c r="D79" s="4" t="n">
        <f aca="false">COUNTIFS(DONNEES!$H$2:$H$1501,"NOTABLE",DONNEES!$L$2:$L$1501,"Pas d’info à tort",DONNEES!$F$2:$F$1501,$A79)</f>
        <v>0</v>
      </c>
      <c r="E79" s="4" t="n">
        <f aca="false">COUNTIFS(DONNEES!$H$2:$H$1501,"NOTABLE",DONNEES!$L$2:$L$1501,"Incorrect",DONNEES!$F$2:$F$1501,$A79)</f>
        <v>0</v>
      </c>
      <c r="F79" s="4" t="n">
        <f aca="false">COUNTIFS(DONNEES!$H$2:$H$1501,"NOTABLE",DONNEES!$L$2:$L$1501,"Hors sujet",DONNEES!$F$2:$F$1501,$A79)</f>
        <v>0</v>
      </c>
      <c r="G79" s="25" t="n">
        <f aca="false">IF($B79=0,"",C79/$B79)</f>
        <v>1</v>
      </c>
      <c r="H79" s="25" t="n">
        <f aca="false">IF($B79=0,"",D79/$B79)</f>
        <v>0</v>
      </c>
      <c r="I79" s="25" t="n">
        <f aca="false">IF($B79=0,"",E79/$B79)</f>
        <v>0</v>
      </c>
      <c r="J79" s="25" t="n">
        <f aca="false">IF($B79=0,"",F79/$B79)</f>
        <v>0</v>
      </c>
      <c r="K79" s="26" t="n">
        <f aca="false">IFERROR(AVERAGEIFS(DONNEES!$O$2:$O$1501,DONNEES!$F$2:$F$1501,$A79),"")</f>
        <v>16.3685714285714</v>
      </c>
    </row>
    <row r="80" customFormat="false" ht="15" hidden="false" customHeight="false" outlineLevel="0" collapsed="false">
      <c r="A80" s="4" t="s">
        <v>2191</v>
      </c>
      <c r="B80" s="4" t="n">
        <f aca="false">COUNTIFS(DONNEES!$H$2:$H$1501,"NOTABLE",DONNEES!$L$2:$L$1501,"Correct",DONNEES!$F$2:$F$1501,$A80)+COUNTIFS(DONNEES!$H$2:$H$1501,"NOTABLE",DONNEES!$L$2:$L$1501,"Pas d’info à tort",DONNEES!$F$2:$F$1501,$A80)+COUNTIFS(DONNEES!$H$2:$H$1501,"NOTABLE",DONNEES!$L$2:$L$1501,"Incorrect",DONNEES!$F$2:$F$1501,$A80)+COUNTIFS(DONNEES!$H$2:$H$1501,"NOTABLE",DONNEES!$L$2:$L$1501,"Hors sujet",DONNEES!$F$2:$F$1501,$A80)</f>
        <v>6</v>
      </c>
      <c r="C80" s="4" t="n">
        <f aca="false">COUNTIFS(DONNEES!$H$2:$H$1501,"NOTABLE",DONNEES!$L$2:$L$1501,"Correct",DONNEES!$F$2:$F$1501,$A80)</f>
        <v>6</v>
      </c>
      <c r="D80" s="4" t="n">
        <f aca="false">COUNTIFS(DONNEES!$H$2:$H$1501,"NOTABLE",DONNEES!$L$2:$L$1501,"Pas d’info à tort",DONNEES!$F$2:$F$1501,$A80)</f>
        <v>0</v>
      </c>
      <c r="E80" s="4" t="n">
        <f aca="false">COUNTIFS(DONNEES!$H$2:$H$1501,"NOTABLE",DONNEES!$L$2:$L$1501,"Incorrect",DONNEES!$F$2:$F$1501,$A80)</f>
        <v>0</v>
      </c>
      <c r="F80" s="4" t="n">
        <f aca="false">COUNTIFS(DONNEES!$H$2:$H$1501,"NOTABLE",DONNEES!$L$2:$L$1501,"Hors sujet",DONNEES!$F$2:$F$1501,$A80)</f>
        <v>0</v>
      </c>
      <c r="G80" s="25" t="n">
        <f aca="false">IF($B80=0,"",C80/$B80)</f>
        <v>1</v>
      </c>
      <c r="H80" s="25" t="n">
        <f aca="false">IF($B80=0,"",D80/$B80)</f>
        <v>0</v>
      </c>
      <c r="I80" s="25" t="n">
        <f aca="false">IF($B80=0,"",E80/$B80)</f>
        <v>0</v>
      </c>
      <c r="J80" s="25" t="n">
        <f aca="false">IF($B80=0,"",F80/$B80)</f>
        <v>0</v>
      </c>
      <c r="K80" s="26" t="n">
        <f aca="false">IFERROR(AVERAGEIFS(DONNEES!$O$2:$O$1501,DONNEES!$F$2:$F$1501,$A80),"")</f>
        <v>14.2914285714286</v>
      </c>
    </row>
    <row r="81" customFormat="false" ht="15" hidden="false" customHeight="false" outlineLevel="0" collapsed="false">
      <c r="A81" s="4" t="s">
        <v>2056</v>
      </c>
      <c r="B81" s="4" t="n">
        <f aca="false">COUNTIFS(DONNEES!$H$2:$H$1501,"NOTABLE",DONNEES!$L$2:$L$1501,"Correct",DONNEES!$F$2:$F$1501,$A81)+COUNTIFS(DONNEES!$H$2:$H$1501,"NOTABLE",DONNEES!$L$2:$L$1501,"Pas d’info à tort",DONNEES!$F$2:$F$1501,$A81)+COUNTIFS(DONNEES!$H$2:$H$1501,"NOTABLE",DONNEES!$L$2:$L$1501,"Incorrect",DONNEES!$F$2:$F$1501,$A81)+COUNTIFS(DONNEES!$H$2:$H$1501,"NOTABLE",DONNEES!$L$2:$L$1501,"Hors sujet",DONNEES!$F$2:$F$1501,$A81)</f>
        <v>6</v>
      </c>
      <c r="C81" s="4" t="n">
        <f aca="false">COUNTIFS(DONNEES!$H$2:$H$1501,"NOTABLE",DONNEES!$L$2:$L$1501,"Correct",DONNEES!$F$2:$F$1501,$A81)</f>
        <v>6</v>
      </c>
      <c r="D81" s="4" t="n">
        <f aca="false">COUNTIFS(DONNEES!$H$2:$H$1501,"NOTABLE",DONNEES!$L$2:$L$1501,"Pas d’info à tort",DONNEES!$F$2:$F$1501,$A81)</f>
        <v>0</v>
      </c>
      <c r="E81" s="4" t="n">
        <f aca="false">COUNTIFS(DONNEES!$H$2:$H$1501,"NOTABLE",DONNEES!$L$2:$L$1501,"Incorrect",DONNEES!$F$2:$F$1501,$A81)</f>
        <v>0</v>
      </c>
      <c r="F81" s="4" t="n">
        <f aca="false">COUNTIFS(DONNEES!$H$2:$H$1501,"NOTABLE",DONNEES!$L$2:$L$1501,"Hors sujet",DONNEES!$F$2:$F$1501,$A81)</f>
        <v>0</v>
      </c>
      <c r="G81" s="25" t="n">
        <f aca="false">IF($B81=0,"",C81/$B81)</f>
        <v>1</v>
      </c>
      <c r="H81" s="25" t="n">
        <f aca="false">IF($B81=0,"",D81/$B81)</f>
        <v>0</v>
      </c>
      <c r="I81" s="25" t="n">
        <f aca="false">IF($B81=0,"",E81/$B81)</f>
        <v>0</v>
      </c>
      <c r="J81" s="25" t="n">
        <f aca="false">IF($B81=0,"",F81/$B81)</f>
        <v>0</v>
      </c>
      <c r="K81" s="26" t="n">
        <f aca="false">IFERROR(AVERAGEIFS(DONNEES!$O$2:$O$1501,DONNEES!$F$2:$F$1501,$A81),"")</f>
        <v>14.9557142857143</v>
      </c>
    </row>
    <row r="82" customFormat="false" ht="15" hidden="false" customHeight="false" outlineLevel="0" collapsed="false">
      <c r="A82" s="4" t="s">
        <v>2858</v>
      </c>
      <c r="B82" s="4" t="n">
        <f aca="false">COUNTIFS(DONNEES!$H$2:$H$1501,"NOTABLE",DONNEES!$L$2:$L$1501,"Correct",DONNEES!$F$2:$F$1501,$A82)+COUNTIFS(DONNEES!$H$2:$H$1501,"NOTABLE",DONNEES!$L$2:$L$1501,"Pas d’info à tort",DONNEES!$F$2:$F$1501,$A82)+COUNTIFS(DONNEES!$H$2:$H$1501,"NOTABLE",DONNEES!$L$2:$L$1501,"Incorrect",DONNEES!$F$2:$F$1501,$A82)+COUNTIFS(DONNEES!$H$2:$H$1501,"NOTABLE",DONNEES!$L$2:$L$1501,"Hors sujet",DONNEES!$F$2:$F$1501,$A82)</f>
        <v>6</v>
      </c>
      <c r="C82" s="4" t="n">
        <f aca="false">COUNTIFS(DONNEES!$H$2:$H$1501,"NOTABLE",DONNEES!$L$2:$L$1501,"Correct",DONNEES!$F$2:$F$1501,$A82)</f>
        <v>6</v>
      </c>
      <c r="D82" s="4" t="n">
        <f aca="false">COUNTIFS(DONNEES!$H$2:$H$1501,"NOTABLE",DONNEES!$L$2:$L$1501,"Pas d’info à tort",DONNEES!$F$2:$F$1501,$A82)</f>
        <v>0</v>
      </c>
      <c r="E82" s="4" t="n">
        <f aca="false">COUNTIFS(DONNEES!$H$2:$H$1501,"NOTABLE",DONNEES!$L$2:$L$1501,"Incorrect",DONNEES!$F$2:$F$1501,$A82)</f>
        <v>0</v>
      </c>
      <c r="F82" s="4" t="n">
        <f aca="false">COUNTIFS(DONNEES!$H$2:$H$1501,"NOTABLE",DONNEES!$L$2:$L$1501,"Hors sujet",DONNEES!$F$2:$F$1501,$A82)</f>
        <v>0</v>
      </c>
      <c r="G82" s="25" t="n">
        <f aca="false">IF($B82=0,"",C82/$B82)</f>
        <v>1</v>
      </c>
      <c r="H82" s="25" t="n">
        <f aca="false">IF($B82=0,"",D82/$B82)</f>
        <v>0</v>
      </c>
      <c r="I82" s="25" t="n">
        <f aca="false">IF($B82=0,"",E82/$B82)</f>
        <v>0</v>
      </c>
      <c r="J82" s="25" t="n">
        <f aca="false">IF($B82=0,"",F82/$B82)</f>
        <v>0</v>
      </c>
      <c r="K82" s="26" t="n">
        <f aca="false">IFERROR(AVERAGEIFS(DONNEES!$O$2:$O$1501,DONNEES!$F$2:$F$1501,$A82),"")</f>
        <v>15.0128571428571</v>
      </c>
    </row>
    <row r="83" customFormat="false" ht="15" hidden="false" customHeight="false" outlineLevel="0" collapsed="false">
      <c r="A83" s="4" t="s">
        <v>3483</v>
      </c>
      <c r="B83" s="4" t="n">
        <f aca="false">COUNTIFS(DONNEES!$H$2:$H$1501,"NOTABLE",DONNEES!$L$2:$L$1501,"Correct",DONNEES!$F$2:$F$1501,$A83)+COUNTIFS(DONNEES!$H$2:$H$1501,"NOTABLE",DONNEES!$L$2:$L$1501,"Pas d’info à tort",DONNEES!$F$2:$F$1501,$A83)+COUNTIFS(DONNEES!$H$2:$H$1501,"NOTABLE",DONNEES!$L$2:$L$1501,"Incorrect",DONNEES!$F$2:$F$1501,$A83)+COUNTIFS(DONNEES!$H$2:$H$1501,"NOTABLE",DONNEES!$L$2:$L$1501,"Hors sujet",DONNEES!$F$2:$F$1501,$A83)</f>
        <v>6</v>
      </c>
      <c r="C83" s="4" t="n">
        <f aca="false">COUNTIFS(DONNEES!$H$2:$H$1501,"NOTABLE",DONNEES!$L$2:$L$1501,"Correct",DONNEES!$F$2:$F$1501,$A83)</f>
        <v>6</v>
      </c>
      <c r="D83" s="4" t="n">
        <f aca="false">COUNTIFS(DONNEES!$H$2:$H$1501,"NOTABLE",DONNEES!$L$2:$L$1501,"Pas d’info à tort",DONNEES!$F$2:$F$1501,$A83)</f>
        <v>0</v>
      </c>
      <c r="E83" s="4" t="n">
        <f aca="false">COUNTIFS(DONNEES!$H$2:$H$1501,"NOTABLE",DONNEES!$L$2:$L$1501,"Incorrect",DONNEES!$F$2:$F$1501,$A83)</f>
        <v>0</v>
      </c>
      <c r="F83" s="4" t="n">
        <f aca="false">COUNTIFS(DONNEES!$H$2:$H$1501,"NOTABLE",DONNEES!$L$2:$L$1501,"Hors sujet",DONNEES!$F$2:$F$1501,$A83)</f>
        <v>0</v>
      </c>
      <c r="G83" s="25" t="n">
        <f aca="false">IF($B83=0,"",C83/$B83)</f>
        <v>1</v>
      </c>
      <c r="H83" s="25" t="n">
        <f aca="false">IF($B83=0,"",D83/$B83)</f>
        <v>0</v>
      </c>
      <c r="I83" s="25" t="n">
        <f aca="false">IF($B83=0,"",E83/$B83)</f>
        <v>0</v>
      </c>
      <c r="J83" s="25" t="n">
        <f aca="false">IF($B83=0,"",F83/$B83)</f>
        <v>0</v>
      </c>
      <c r="K83" s="26" t="n">
        <f aca="false">IFERROR(AVERAGEIFS(DONNEES!$O$2:$O$1501,DONNEES!$F$2:$F$1501,$A83),"")</f>
        <v>14.8871428571429</v>
      </c>
    </row>
    <row r="84" customFormat="false" ht="15" hidden="false" customHeight="false" outlineLevel="0" collapsed="false">
      <c r="A84" s="4" t="s">
        <v>2427</v>
      </c>
      <c r="B84" s="4" t="n">
        <f aca="false">COUNTIFS(DONNEES!$H$2:$H$1501,"NOTABLE",DONNEES!$L$2:$L$1501,"Correct",DONNEES!$F$2:$F$1501,$A84)+COUNTIFS(DONNEES!$H$2:$H$1501,"NOTABLE",DONNEES!$L$2:$L$1501,"Pas d’info à tort",DONNEES!$F$2:$F$1501,$A84)+COUNTIFS(DONNEES!$H$2:$H$1501,"NOTABLE",DONNEES!$L$2:$L$1501,"Incorrect",DONNEES!$F$2:$F$1501,$A84)+COUNTIFS(DONNEES!$H$2:$H$1501,"NOTABLE",DONNEES!$L$2:$L$1501,"Hors sujet",DONNEES!$F$2:$F$1501,$A84)</f>
        <v>6</v>
      </c>
      <c r="C84" s="4" t="n">
        <f aca="false">COUNTIFS(DONNEES!$H$2:$H$1501,"NOTABLE",DONNEES!$L$2:$L$1501,"Correct",DONNEES!$F$2:$F$1501,$A84)</f>
        <v>6</v>
      </c>
      <c r="D84" s="4" t="n">
        <f aca="false">COUNTIFS(DONNEES!$H$2:$H$1501,"NOTABLE",DONNEES!$L$2:$L$1501,"Pas d’info à tort",DONNEES!$F$2:$F$1501,$A84)</f>
        <v>0</v>
      </c>
      <c r="E84" s="4" t="n">
        <f aca="false">COUNTIFS(DONNEES!$H$2:$H$1501,"NOTABLE",DONNEES!$L$2:$L$1501,"Incorrect",DONNEES!$F$2:$F$1501,$A84)</f>
        <v>0</v>
      </c>
      <c r="F84" s="4" t="n">
        <f aca="false">COUNTIFS(DONNEES!$H$2:$H$1501,"NOTABLE",DONNEES!$L$2:$L$1501,"Hors sujet",DONNEES!$F$2:$F$1501,$A84)</f>
        <v>0</v>
      </c>
      <c r="G84" s="25" t="n">
        <f aca="false">IF($B84=0,"",C84/$B84)</f>
        <v>1</v>
      </c>
      <c r="H84" s="25" t="n">
        <f aca="false">IF($B84=0,"",D84/$B84)</f>
        <v>0</v>
      </c>
      <c r="I84" s="25" t="n">
        <f aca="false">IF($B84=0,"",E84/$B84)</f>
        <v>0</v>
      </c>
      <c r="J84" s="25" t="n">
        <f aca="false">IF($B84=0,"",F84/$B84)</f>
        <v>0</v>
      </c>
      <c r="K84" s="26" t="n">
        <f aca="false">IFERROR(AVERAGEIFS(DONNEES!$O$2:$O$1501,DONNEES!$F$2:$F$1501,$A84),"")</f>
        <v>14.0214285714286</v>
      </c>
    </row>
    <row r="85" customFormat="false" ht="15" hidden="false" customHeight="false" outlineLevel="0" collapsed="false">
      <c r="A85" s="4" t="s">
        <v>3868</v>
      </c>
      <c r="B85" s="4" t="n">
        <f aca="false">COUNTIFS(DONNEES!$H$2:$H$1501,"NOTABLE",DONNEES!$L$2:$L$1501,"Correct",DONNEES!$F$2:$F$1501,$A85)+COUNTIFS(DONNEES!$H$2:$H$1501,"NOTABLE",DONNEES!$L$2:$L$1501,"Pas d’info à tort",DONNEES!$F$2:$F$1501,$A85)+COUNTIFS(DONNEES!$H$2:$H$1501,"NOTABLE",DONNEES!$L$2:$L$1501,"Incorrect",DONNEES!$F$2:$F$1501,$A85)+COUNTIFS(DONNEES!$H$2:$H$1501,"NOTABLE",DONNEES!$L$2:$L$1501,"Hors sujet",DONNEES!$F$2:$F$1501,$A85)</f>
        <v>6</v>
      </c>
      <c r="C85" s="4" t="n">
        <f aca="false">COUNTIFS(DONNEES!$H$2:$H$1501,"NOTABLE",DONNEES!$L$2:$L$1501,"Correct",DONNEES!$F$2:$F$1501,$A85)</f>
        <v>6</v>
      </c>
      <c r="D85" s="4" t="n">
        <f aca="false">COUNTIFS(DONNEES!$H$2:$H$1501,"NOTABLE",DONNEES!$L$2:$L$1501,"Pas d’info à tort",DONNEES!$F$2:$F$1501,$A85)</f>
        <v>0</v>
      </c>
      <c r="E85" s="4" t="n">
        <f aca="false">COUNTIFS(DONNEES!$H$2:$H$1501,"NOTABLE",DONNEES!$L$2:$L$1501,"Incorrect",DONNEES!$F$2:$F$1501,$A85)</f>
        <v>0</v>
      </c>
      <c r="F85" s="4" t="n">
        <f aca="false">COUNTIFS(DONNEES!$H$2:$H$1501,"NOTABLE",DONNEES!$L$2:$L$1501,"Hors sujet",DONNEES!$F$2:$F$1501,$A85)</f>
        <v>0</v>
      </c>
      <c r="G85" s="25" t="n">
        <f aca="false">IF($B85=0,"",C85/$B85)</f>
        <v>1</v>
      </c>
      <c r="H85" s="25" t="n">
        <f aca="false">IF($B85=0,"",D85/$B85)</f>
        <v>0</v>
      </c>
      <c r="I85" s="25" t="n">
        <f aca="false">IF($B85=0,"",E85/$B85)</f>
        <v>0</v>
      </c>
      <c r="J85" s="25" t="n">
        <f aca="false">IF($B85=0,"",F85/$B85)</f>
        <v>0</v>
      </c>
      <c r="K85" s="26" t="n">
        <f aca="false">IFERROR(AVERAGEIFS(DONNEES!$O$2:$O$1501,DONNEES!$F$2:$F$1501,$A85),"")</f>
        <v>14.0971428571429</v>
      </c>
    </row>
    <row r="86" customFormat="false" ht="15" hidden="false" customHeight="false" outlineLevel="0" collapsed="false">
      <c r="A86" s="4" t="s">
        <v>3518</v>
      </c>
      <c r="B86" s="4" t="n">
        <f aca="false">COUNTIFS(DONNEES!$H$2:$H$1501,"NOTABLE",DONNEES!$L$2:$L$1501,"Correct",DONNEES!$F$2:$F$1501,$A86)+COUNTIFS(DONNEES!$H$2:$H$1501,"NOTABLE",DONNEES!$L$2:$L$1501,"Pas d’info à tort",DONNEES!$F$2:$F$1501,$A86)+COUNTIFS(DONNEES!$H$2:$H$1501,"NOTABLE",DONNEES!$L$2:$L$1501,"Incorrect",DONNEES!$F$2:$F$1501,$A86)+COUNTIFS(DONNEES!$H$2:$H$1501,"NOTABLE",DONNEES!$L$2:$L$1501,"Hors sujet",DONNEES!$F$2:$F$1501,$A86)</f>
        <v>6</v>
      </c>
      <c r="C86" s="4" t="n">
        <f aca="false">COUNTIFS(DONNEES!$H$2:$H$1501,"NOTABLE",DONNEES!$L$2:$L$1501,"Correct",DONNEES!$F$2:$F$1501,$A86)</f>
        <v>6</v>
      </c>
      <c r="D86" s="4" t="n">
        <f aca="false">COUNTIFS(DONNEES!$H$2:$H$1501,"NOTABLE",DONNEES!$L$2:$L$1501,"Pas d’info à tort",DONNEES!$F$2:$F$1501,$A86)</f>
        <v>0</v>
      </c>
      <c r="E86" s="4" t="n">
        <f aca="false">COUNTIFS(DONNEES!$H$2:$H$1501,"NOTABLE",DONNEES!$L$2:$L$1501,"Incorrect",DONNEES!$F$2:$F$1501,$A86)</f>
        <v>0</v>
      </c>
      <c r="F86" s="4" t="n">
        <f aca="false">COUNTIFS(DONNEES!$H$2:$H$1501,"NOTABLE",DONNEES!$L$2:$L$1501,"Hors sujet",DONNEES!$F$2:$F$1501,$A86)</f>
        <v>0</v>
      </c>
      <c r="G86" s="25" t="n">
        <f aca="false">IF($B86=0,"",C86/$B86)</f>
        <v>1</v>
      </c>
      <c r="H86" s="25" t="n">
        <f aca="false">IF($B86=0,"",D86/$B86)</f>
        <v>0</v>
      </c>
      <c r="I86" s="25" t="n">
        <f aca="false">IF($B86=0,"",E86/$B86)</f>
        <v>0</v>
      </c>
      <c r="J86" s="25" t="n">
        <f aca="false">IF($B86=0,"",F86/$B86)</f>
        <v>0</v>
      </c>
      <c r="K86" s="26" t="n">
        <f aca="false">IFERROR(AVERAGEIFS(DONNEES!$O$2:$O$1501,DONNEES!$F$2:$F$1501,$A86),"")</f>
        <v>14.0228571428571</v>
      </c>
    </row>
    <row r="87" customFormat="false" ht="15" hidden="false" customHeight="false" outlineLevel="0" collapsed="false">
      <c r="A87" s="4" t="s">
        <v>2306</v>
      </c>
      <c r="B87" s="4" t="n">
        <f aca="false">COUNTIFS(DONNEES!$H$2:$H$1501,"NOTABLE",DONNEES!$L$2:$L$1501,"Correct",DONNEES!$F$2:$F$1501,$A87)+COUNTIFS(DONNEES!$H$2:$H$1501,"NOTABLE",DONNEES!$L$2:$L$1501,"Pas d’info à tort",DONNEES!$F$2:$F$1501,$A87)+COUNTIFS(DONNEES!$H$2:$H$1501,"NOTABLE",DONNEES!$L$2:$L$1501,"Incorrect",DONNEES!$F$2:$F$1501,$A87)+COUNTIFS(DONNEES!$H$2:$H$1501,"NOTABLE",DONNEES!$L$2:$L$1501,"Hors sujet",DONNEES!$F$2:$F$1501,$A87)</f>
        <v>6</v>
      </c>
      <c r="C87" s="4" t="n">
        <f aca="false">COUNTIFS(DONNEES!$H$2:$H$1501,"NOTABLE",DONNEES!$L$2:$L$1501,"Correct",DONNEES!$F$2:$F$1501,$A87)</f>
        <v>6</v>
      </c>
      <c r="D87" s="4" t="n">
        <f aca="false">COUNTIFS(DONNEES!$H$2:$H$1501,"NOTABLE",DONNEES!$L$2:$L$1501,"Pas d’info à tort",DONNEES!$F$2:$F$1501,$A87)</f>
        <v>0</v>
      </c>
      <c r="E87" s="4" t="n">
        <f aca="false">COUNTIFS(DONNEES!$H$2:$H$1501,"NOTABLE",DONNEES!$L$2:$L$1501,"Incorrect",DONNEES!$F$2:$F$1501,$A87)</f>
        <v>0</v>
      </c>
      <c r="F87" s="4" t="n">
        <f aca="false">COUNTIFS(DONNEES!$H$2:$H$1501,"NOTABLE",DONNEES!$L$2:$L$1501,"Hors sujet",DONNEES!$F$2:$F$1501,$A87)</f>
        <v>0</v>
      </c>
      <c r="G87" s="25" t="n">
        <f aca="false">IF($B87=0,"",C87/$B87)</f>
        <v>1</v>
      </c>
      <c r="H87" s="25" t="n">
        <f aca="false">IF($B87=0,"",D87/$B87)</f>
        <v>0</v>
      </c>
      <c r="I87" s="25" t="n">
        <f aca="false">IF($B87=0,"",E87/$B87)</f>
        <v>0</v>
      </c>
      <c r="J87" s="25" t="n">
        <f aca="false">IF($B87=0,"",F87/$B87)</f>
        <v>0</v>
      </c>
      <c r="K87" s="26" t="n">
        <f aca="false">IFERROR(AVERAGEIFS(DONNEES!$O$2:$O$1501,DONNEES!$F$2:$F$1501,$A87),"")</f>
        <v>18.8871428571429</v>
      </c>
    </row>
    <row r="88" customFormat="false" ht="15" hidden="false" customHeight="false" outlineLevel="0" collapsed="false">
      <c r="A88" s="4" t="s">
        <v>4009</v>
      </c>
      <c r="B88" s="4" t="n">
        <f aca="false">COUNTIFS(DONNEES!$H$2:$H$1501,"NOTABLE",DONNEES!$L$2:$L$1501,"Correct",DONNEES!$F$2:$F$1501,$A88)+COUNTIFS(DONNEES!$H$2:$H$1501,"NOTABLE",DONNEES!$L$2:$L$1501,"Pas d’info à tort",DONNEES!$F$2:$F$1501,$A88)+COUNTIFS(DONNEES!$H$2:$H$1501,"NOTABLE",DONNEES!$L$2:$L$1501,"Incorrect",DONNEES!$F$2:$F$1501,$A88)+COUNTIFS(DONNEES!$H$2:$H$1501,"NOTABLE",DONNEES!$L$2:$L$1501,"Hors sujet",DONNEES!$F$2:$F$1501,$A88)</f>
        <v>6</v>
      </c>
      <c r="C88" s="4" t="n">
        <f aca="false">COUNTIFS(DONNEES!$H$2:$H$1501,"NOTABLE",DONNEES!$L$2:$L$1501,"Correct",DONNEES!$F$2:$F$1501,$A88)</f>
        <v>6</v>
      </c>
      <c r="D88" s="4" t="n">
        <f aca="false">COUNTIFS(DONNEES!$H$2:$H$1501,"NOTABLE",DONNEES!$L$2:$L$1501,"Pas d’info à tort",DONNEES!$F$2:$F$1501,$A88)</f>
        <v>0</v>
      </c>
      <c r="E88" s="4" t="n">
        <f aca="false">COUNTIFS(DONNEES!$H$2:$H$1501,"NOTABLE",DONNEES!$L$2:$L$1501,"Incorrect",DONNEES!$F$2:$F$1501,$A88)</f>
        <v>0</v>
      </c>
      <c r="F88" s="4" t="n">
        <f aca="false">COUNTIFS(DONNEES!$H$2:$H$1501,"NOTABLE",DONNEES!$L$2:$L$1501,"Hors sujet",DONNEES!$F$2:$F$1501,$A88)</f>
        <v>0</v>
      </c>
      <c r="G88" s="25" t="n">
        <f aca="false">IF($B88=0,"",C88/$B88)</f>
        <v>1</v>
      </c>
      <c r="H88" s="25" t="n">
        <f aca="false">IF($B88=0,"",D88/$B88)</f>
        <v>0</v>
      </c>
      <c r="I88" s="25" t="n">
        <f aca="false">IF($B88=0,"",E88/$B88)</f>
        <v>0</v>
      </c>
      <c r="J88" s="25" t="n">
        <f aca="false">IF($B88=0,"",F88/$B88)</f>
        <v>0</v>
      </c>
      <c r="K88" s="26" t="n">
        <f aca="false">IFERROR(AVERAGEIFS(DONNEES!$O$2:$O$1501,DONNEES!$F$2:$F$1501,$A88),"")</f>
        <v>17.1042857142857</v>
      </c>
    </row>
    <row r="89" customFormat="false" ht="15" hidden="false" customHeight="false" outlineLevel="0" collapsed="false">
      <c r="A89" s="4" t="s">
        <v>4044</v>
      </c>
      <c r="B89" s="4" t="n">
        <f aca="false">COUNTIFS(DONNEES!$H$2:$H$1501,"NOTABLE",DONNEES!$L$2:$L$1501,"Correct",DONNEES!$F$2:$F$1501,$A89)+COUNTIFS(DONNEES!$H$2:$H$1501,"NOTABLE",DONNEES!$L$2:$L$1501,"Pas d’info à tort",DONNEES!$F$2:$F$1501,$A89)+COUNTIFS(DONNEES!$H$2:$H$1501,"NOTABLE",DONNEES!$L$2:$L$1501,"Incorrect",DONNEES!$F$2:$F$1501,$A89)+COUNTIFS(DONNEES!$H$2:$H$1501,"NOTABLE",DONNEES!$L$2:$L$1501,"Hors sujet",DONNEES!$F$2:$F$1501,$A89)</f>
        <v>6</v>
      </c>
      <c r="C89" s="4" t="n">
        <f aca="false">COUNTIFS(DONNEES!$H$2:$H$1501,"NOTABLE",DONNEES!$L$2:$L$1501,"Correct",DONNEES!$F$2:$F$1501,$A89)</f>
        <v>6</v>
      </c>
      <c r="D89" s="4" t="n">
        <f aca="false">COUNTIFS(DONNEES!$H$2:$H$1501,"NOTABLE",DONNEES!$L$2:$L$1501,"Pas d’info à tort",DONNEES!$F$2:$F$1501,$A89)</f>
        <v>0</v>
      </c>
      <c r="E89" s="4" t="n">
        <f aca="false">COUNTIFS(DONNEES!$H$2:$H$1501,"NOTABLE",DONNEES!$L$2:$L$1501,"Incorrect",DONNEES!$F$2:$F$1501,$A89)</f>
        <v>0</v>
      </c>
      <c r="F89" s="4" t="n">
        <f aca="false">COUNTIFS(DONNEES!$H$2:$H$1501,"NOTABLE",DONNEES!$L$2:$L$1501,"Hors sujet",DONNEES!$F$2:$F$1501,$A89)</f>
        <v>0</v>
      </c>
      <c r="G89" s="25" t="n">
        <f aca="false">IF($B89=0,"",C89/$B89)</f>
        <v>1</v>
      </c>
      <c r="H89" s="25" t="n">
        <f aca="false">IF($B89=0,"",D89/$B89)</f>
        <v>0</v>
      </c>
      <c r="I89" s="25" t="n">
        <f aca="false">IF($B89=0,"",E89/$B89)</f>
        <v>0</v>
      </c>
      <c r="J89" s="25" t="n">
        <f aca="false">IF($B89=0,"",F89/$B89)</f>
        <v>0</v>
      </c>
      <c r="K89" s="26" t="n">
        <f aca="false">IFERROR(AVERAGEIFS(DONNEES!$O$2:$O$1501,DONNEES!$F$2:$F$1501,$A89),"")</f>
        <v>14.23</v>
      </c>
    </row>
    <row r="90" customFormat="false" ht="15" hidden="false" customHeight="false" outlineLevel="0" collapsed="false">
      <c r="A90" s="4" t="s">
        <v>2617</v>
      </c>
      <c r="B90" s="4" t="n">
        <f aca="false">COUNTIFS(DONNEES!$H$2:$H$1501,"NOTABLE",DONNEES!$L$2:$L$1501,"Correct",DONNEES!$F$2:$F$1501,$A90)+COUNTIFS(DONNEES!$H$2:$H$1501,"NOTABLE",DONNEES!$L$2:$L$1501,"Pas d’info à tort",DONNEES!$F$2:$F$1501,$A90)+COUNTIFS(DONNEES!$H$2:$H$1501,"NOTABLE",DONNEES!$L$2:$L$1501,"Incorrect",DONNEES!$F$2:$F$1501,$A90)+COUNTIFS(DONNEES!$H$2:$H$1501,"NOTABLE",DONNEES!$L$2:$L$1501,"Hors sujet",DONNEES!$F$2:$F$1501,$A90)</f>
        <v>6</v>
      </c>
      <c r="C90" s="4" t="n">
        <f aca="false">COUNTIFS(DONNEES!$H$2:$H$1501,"NOTABLE",DONNEES!$L$2:$L$1501,"Correct",DONNEES!$F$2:$F$1501,$A90)</f>
        <v>6</v>
      </c>
      <c r="D90" s="4" t="n">
        <f aca="false">COUNTIFS(DONNEES!$H$2:$H$1501,"NOTABLE",DONNEES!$L$2:$L$1501,"Pas d’info à tort",DONNEES!$F$2:$F$1501,$A90)</f>
        <v>0</v>
      </c>
      <c r="E90" s="4" t="n">
        <f aca="false">COUNTIFS(DONNEES!$H$2:$H$1501,"NOTABLE",DONNEES!$L$2:$L$1501,"Incorrect",DONNEES!$F$2:$F$1501,$A90)</f>
        <v>0</v>
      </c>
      <c r="F90" s="4" t="n">
        <f aca="false">COUNTIFS(DONNEES!$H$2:$H$1501,"NOTABLE",DONNEES!$L$2:$L$1501,"Hors sujet",DONNEES!$F$2:$F$1501,$A90)</f>
        <v>0</v>
      </c>
      <c r="G90" s="25" t="n">
        <f aca="false">IF($B90=0,"",C90/$B90)</f>
        <v>1</v>
      </c>
      <c r="H90" s="25" t="n">
        <f aca="false">IF($B90=0,"",D90/$B90)</f>
        <v>0</v>
      </c>
      <c r="I90" s="25" t="n">
        <f aca="false">IF($B90=0,"",E90/$B90)</f>
        <v>0</v>
      </c>
      <c r="J90" s="25" t="n">
        <f aca="false">IF($B90=0,"",F90/$B90)</f>
        <v>0</v>
      </c>
      <c r="K90" s="26" t="n">
        <f aca="false">IFERROR(AVERAGEIFS(DONNEES!$O$2:$O$1501,DONNEES!$F$2:$F$1501,$A90),"")</f>
        <v>16.4771428571429</v>
      </c>
    </row>
    <row r="91" customFormat="false" ht="15" hidden="false" customHeight="false" outlineLevel="0" collapsed="false">
      <c r="A91" s="4" t="s">
        <v>2234</v>
      </c>
      <c r="B91" s="4" t="n">
        <f aca="false">COUNTIFS(DONNEES!$H$2:$H$1501,"NOTABLE",DONNEES!$L$2:$L$1501,"Correct",DONNEES!$F$2:$F$1501,$A91)+COUNTIFS(DONNEES!$H$2:$H$1501,"NOTABLE",DONNEES!$L$2:$L$1501,"Pas d’info à tort",DONNEES!$F$2:$F$1501,$A91)+COUNTIFS(DONNEES!$H$2:$H$1501,"NOTABLE",DONNEES!$L$2:$L$1501,"Incorrect",DONNEES!$F$2:$F$1501,$A91)+COUNTIFS(DONNEES!$H$2:$H$1501,"NOTABLE",DONNEES!$L$2:$L$1501,"Hors sujet",DONNEES!$F$2:$F$1501,$A91)</f>
        <v>6</v>
      </c>
      <c r="C91" s="4" t="n">
        <f aca="false">COUNTIFS(DONNEES!$H$2:$H$1501,"NOTABLE",DONNEES!$L$2:$L$1501,"Correct",DONNEES!$F$2:$F$1501,$A91)</f>
        <v>6</v>
      </c>
      <c r="D91" s="4" t="n">
        <f aca="false">COUNTIFS(DONNEES!$H$2:$H$1501,"NOTABLE",DONNEES!$L$2:$L$1501,"Pas d’info à tort",DONNEES!$F$2:$F$1501,$A91)</f>
        <v>0</v>
      </c>
      <c r="E91" s="4" t="n">
        <f aca="false">COUNTIFS(DONNEES!$H$2:$H$1501,"NOTABLE",DONNEES!$L$2:$L$1501,"Incorrect",DONNEES!$F$2:$F$1501,$A91)</f>
        <v>0</v>
      </c>
      <c r="F91" s="4" t="n">
        <f aca="false">COUNTIFS(DONNEES!$H$2:$H$1501,"NOTABLE",DONNEES!$L$2:$L$1501,"Hors sujet",DONNEES!$F$2:$F$1501,$A91)</f>
        <v>0</v>
      </c>
      <c r="G91" s="25" t="n">
        <f aca="false">IF($B91=0,"",C91/$B91)</f>
        <v>1</v>
      </c>
      <c r="H91" s="25" t="n">
        <f aca="false">IF($B91=0,"",D91/$B91)</f>
        <v>0</v>
      </c>
      <c r="I91" s="25" t="n">
        <f aca="false">IF($B91=0,"",E91/$B91)</f>
        <v>0</v>
      </c>
      <c r="J91" s="25" t="n">
        <f aca="false">IF($B91=0,"",F91/$B91)</f>
        <v>0</v>
      </c>
      <c r="K91" s="26" t="n">
        <f aca="false">IFERROR(AVERAGEIFS(DONNEES!$O$2:$O$1501,DONNEES!$F$2:$F$1501,$A91),"")</f>
        <v>14.2128571428571</v>
      </c>
    </row>
    <row r="92" customFormat="false" ht="15" hidden="false" customHeight="false" outlineLevel="0" collapsed="false">
      <c r="A92" s="4" t="s">
        <v>3335</v>
      </c>
      <c r="B92" s="4" t="n">
        <f aca="false">COUNTIFS(DONNEES!$H$2:$H$1501,"NOTABLE",DONNEES!$L$2:$L$1501,"Correct",DONNEES!$F$2:$F$1501,$A92)+COUNTIFS(DONNEES!$H$2:$H$1501,"NOTABLE",DONNEES!$L$2:$L$1501,"Pas d’info à tort",DONNEES!$F$2:$F$1501,$A92)+COUNTIFS(DONNEES!$H$2:$H$1501,"NOTABLE",DONNEES!$L$2:$L$1501,"Incorrect",DONNEES!$F$2:$F$1501,$A92)+COUNTIFS(DONNEES!$H$2:$H$1501,"NOTABLE",DONNEES!$L$2:$L$1501,"Hors sujet",DONNEES!$F$2:$F$1501,$A92)</f>
        <v>6</v>
      </c>
      <c r="C92" s="4" t="n">
        <f aca="false">COUNTIFS(DONNEES!$H$2:$H$1501,"NOTABLE",DONNEES!$L$2:$L$1501,"Correct",DONNEES!$F$2:$F$1501,$A92)</f>
        <v>6</v>
      </c>
      <c r="D92" s="4" t="n">
        <f aca="false">COUNTIFS(DONNEES!$H$2:$H$1501,"NOTABLE",DONNEES!$L$2:$L$1501,"Pas d’info à tort",DONNEES!$F$2:$F$1501,$A92)</f>
        <v>0</v>
      </c>
      <c r="E92" s="4" t="n">
        <f aca="false">COUNTIFS(DONNEES!$H$2:$H$1501,"NOTABLE",DONNEES!$L$2:$L$1501,"Incorrect",DONNEES!$F$2:$F$1501,$A92)</f>
        <v>0</v>
      </c>
      <c r="F92" s="4" t="n">
        <f aca="false">COUNTIFS(DONNEES!$H$2:$H$1501,"NOTABLE",DONNEES!$L$2:$L$1501,"Hors sujet",DONNEES!$F$2:$F$1501,$A92)</f>
        <v>0</v>
      </c>
      <c r="G92" s="25" t="n">
        <f aca="false">IF($B92=0,"",C92/$B92)</f>
        <v>1</v>
      </c>
      <c r="H92" s="25" t="n">
        <f aca="false">IF($B92=0,"",D92/$B92)</f>
        <v>0</v>
      </c>
      <c r="I92" s="25" t="n">
        <f aca="false">IF($B92=0,"",E92/$B92)</f>
        <v>0</v>
      </c>
      <c r="J92" s="25" t="n">
        <f aca="false">IF($B92=0,"",F92/$B92)</f>
        <v>0</v>
      </c>
      <c r="K92" s="26" t="n">
        <f aca="false">IFERROR(AVERAGEIFS(DONNEES!$O$2:$O$1501,DONNEES!$F$2:$F$1501,$A92),"")</f>
        <v>16.6214285714286</v>
      </c>
    </row>
    <row r="93" customFormat="false" ht="15" hidden="false" customHeight="false" outlineLevel="0" collapsed="false">
      <c r="A93" s="4" t="s">
        <v>3693</v>
      </c>
      <c r="B93" s="4" t="n">
        <f aca="false">COUNTIFS(DONNEES!$H$2:$H$1501,"NOTABLE",DONNEES!$L$2:$L$1501,"Correct",DONNEES!$F$2:$F$1501,$A93)+COUNTIFS(DONNEES!$H$2:$H$1501,"NOTABLE",DONNEES!$L$2:$L$1501,"Pas d’info à tort",DONNEES!$F$2:$F$1501,$A93)+COUNTIFS(DONNEES!$H$2:$H$1501,"NOTABLE",DONNEES!$L$2:$L$1501,"Incorrect",DONNEES!$F$2:$F$1501,$A93)+COUNTIFS(DONNEES!$H$2:$H$1501,"NOTABLE",DONNEES!$L$2:$L$1501,"Hors sujet",DONNEES!$F$2:$F$1501,$A93)</f>
        <v>6</v>
      </c>
      <c r="C93" s="4" t="n">
        <f aca="false">COUNTIFS(DONNEES!$H$2:$H$1501,"NOTABLE",DONNEES!$L$2:$L$1501,"Correct",DONNEES!$F$2:$F$1501,$A93)</f>
        <v>6</v>
      </c>
      <c r="D93" s="4" t="n">
        <f aca="false">COUNTIFS(DONNEES!$H$2:$H$1501,"NOTABLE",DONNEES!$L$2:$L$1501,"Pas d’info à tort",DONNEES!$F$2:$F$1501,$A93)</f>
        <v>0</v>
      </c>
      <c r="E93" s="4" t="n">
        <f aca="false">COUNTIFS(DONNEES!$H$2:$H$1501,"NOTABLE",DONNEES!$L$2:$L$1501,"Incorrect",DONNEES!$F$2:$F$1501,$A93)</f>
        <v>0</v>
      </c>
      <c r="F93" s="4" t="n">
        <f aca="false">COUNTIFS(DONNEES!$H$2:$H$1501,"NOTABLE",DONNEES!$L$2:$L$1501,"Hors sujet",DONNEES!$F$2:$F$1501,$A93)</f>
        <v>0</v>
      </c>
      <c r="G93" s="25" t="n">
        <f aca="false">IF($B93=0,"",C93/$B93)</f>
        <v>1</v>
      </c>
      <c r="H93" s="25" t="n">
        <f aca="false">IF($B93=0,"",D93/$B93)</f>
        <v>0</v>
      </c>
      <c r="I93" s="25" t="n">
        <f aca="false">IF($B93=0,"",E93/$B93)</f>
        <v>0</v>
      </c>
      <c r="J93" s="25" t="n">
        <f aca="false">IF($B93=0,"",F93/$B93)</f>
        <v>0</v>
      </c>
      <c r="K93" s="26" t="n">
        <f aca="false">IFERROR(AVERAGEIFS(DONNEES!$O$2:$O$1501,DONNEES!$F$2:$F$1501,$A93),"")</f>
        <v>15.6814285714286</v>
      </c>
    </row>
    <row r="94" customFormat="false" ht="15" hidden="false" customHeight="false" outlineLevel="0" collapsed="false">
      <c r="A94" s="4" t="s">
        <v>245</v>
      </c>
      <c r="B94" s="4" t="n">
        <f aca="false">COUNTIFS(DONNEES!$H$2:$H$1501,"NOTABLE",DONNEES!$L$2:$L$1501,"Correct",DONNEES!$F$2:$F$1501,$A94)+COUNTIFS(DONNEES!$H$2:$H$1501,"NOTABLE",DONNEES!$L$2:$L$1501,"Pas d’info à tort",DONNEES!$F$2:$F$1501,$A94)+COUNTIFS(DONNEES!$H$2:$H$1501,"NOTABLE",DONNEES!$L$2:$L$1501,"Incorrect",DONNEES!$F$2:$F$1501,$A94)+COUNTIFS(DONNEES!$H$2:$H$1501,"NOTABLE",DONNEES!$L$2:$L$1501,"Hors sujet",DONNEES!$F$2:$F$1501,$A94)</f>
        <v>6</v>
      </c>
      <c r="C94" s="4" t="n">
        <f aca="false">COUNTIFS(DONNEES!$H$2:$H$1501,"NOTABLE",DONNEES!$L$2:$L$1501,"Correct",DONNEES!$F$2:$F$1501,$A94)</f>
        <v>6</v>
      </c>
      <c r="D94" s="4" t="n">
        <f aca="false">COUNTIFS(DONNEES!$H$2:$H$1501,"NOTABLE",DONNEES!$L$2:$L$1501,"Pas d’info à tort",DONNEES!$F$2:$F$1501,$A94)</f>
        <v>0</v>
      </c>
      <c r="E94" s="4" t="n">
        <f aca="false">COUNTIFS(DONNEES!$H$2:$H$1501,"NOTABLE",DONNEES!$L$2:$L$1501,"Incorrect",DONNEES!$F$2:$F$1501,$A94)</f>
        <v>0</v>
      </c>
      <c r="F94" s="4" t="n">
        <f aca="false">COUNTIFS(DONNEES!$H$2:$H$1501,"NOTABLE",DONNEES!$L$2:$L$1501,"Hors sujet",DONNEES!$F$2:$F$1501,$A94)</f>
        <v>0</v>
      </c>
      <c r="G94" s="25" t="n">
        <f aca="false">IF($B94=0,"",C94/$B94)</f>
        <v>1</v>
      </c>
      <c r="H94" s="25" t="n">
        <f aca="false">IF($B94=0,"",D94/$B94)</f>
        <v>0</v>
      </c>
      <c r="I94" s="25" t="n">
        <f aca="false">IF($B94=0,"",E94/$B94)</f>
        <v>0</v>
      </c>
      <c r="J94" s="25" t="n">
        <f aca="false">IF($B94=0,"",F94/$B94)</f>
        <v>0</v>
      </c>
      <c r="K94" s="26" t="n">
        <f aca="false">IFERROR(AVERAGEIFS(DONNEES!$O$2:$O$1501,DONNEES!$F$2:$F$1501,$A94),"")</f>
        <v>16.4771428571429</v>
      </c>
    </row>
    <row r="95" customFormat="false" ht="15" hidden="false" customHeight="false" outlineLevel="0" collapsed="false">
      <c r="A95" s="4" t="s">
        <v>2420</v>
      </c>
      <c r="B95" s="4" t="n">
        <f aca="false">COUNTIFS(DONNEES!$H$2:$H$1501,"NOTABLE",DONNEES!$L$2:$L$1501,"Correct",DONNEES!$F$2:$F$1501,$A95)+COUNTIFS(DONNEES!$H$2:$H$1501,"NOTABLE",DONNEES!$L$2:$L$1501,"Pas d’info à tort",DONNEES!$F$2:$F$1501,$A95)+COUNTIFS(DONNEES!$H$2:$H$1501,"NOTABLE",DONNEES!$L$2:$L$1501,"Incorrect",DONNEES!$F$2:$F$1501,$A95)+COUNTIFS(DONNEES!$H$2:$H$1501,"NOTABLE",DONNEES!$L$2:$L$1501,"Hors sujet",DONNEES!$F$2:$F$1501,$A95)</f>
        <v>5</v>
      </c>
      <c r="C95" s="4" t="n">
        <f aca="false">COUNTIFS(DONNEES!$H$2:$H$1501,"NOTABLE",DONNEES!$L$2:$L$1501,"Correct",DONNEES!$F$2:$F$1501,$A95)</f>
        <v>5</v>
      </c>
      <c r="D95" s="4" t="n">
        <f aca="false">COUNTIFS(DONNEES!$H$2:$H$1501,"NOTABLE",DONNEES!$L$2:$L$1501,"Pas d’info à tort",DONNEES!$F$2:$F$1501,$A95)</f>
        <v>0</v>
      </c>
      <c r="E95" s="4" t="n">
        <f aca="false">COUNTIFS(DONNEES!$H$2:$H$1501,"NOTABLE",DONNEES!$L$2:$L$1501,"Incorrect",DONNEES!$F$2:$F$1501,$A95)</f>
        <v>0</v>
      </c>
      <c r="F95" s="4" t="n">
        <f aca="false">COUNTIFS(DONNEES!$H$2:$H$1501,"NOTABLE",DONNEES!$L$2:$L$1501,"Hors sujet",DONNEES!$F$2:$F$1501,$A95)</f>
        <v>0</v>
      </c>
      <c r="G95" s="25" t="n">
        <f aca="false">IF($B95=0,"",C95/$B95)</f>
        <v>1</v>
      </c>
      <c r="H95" s="25" t="n">
        <f aca="false">IF($B95=0,"",D95/$B95)</f>
        <v>0</v>
      </c>
      <c r="I95" s="25" t="n">
        <f aca="false">IF($B95=0,"",E95/$B95)</f>
        <v>0</v>
      </c>
      <c r="J95" s="25" t="n">
        <f aca="false">IF($B95=0,"",F95/$B95)</f>
        <v>0</v>
      </c>
      <c r="K95" s="26" t="n">
        <f aca="false">IFERROR(AVERAGEIFS(DONNEES!$O$2:$O$1501,DONNEES!$F$2:$F$1501,$A95),"")</f>
        <v>15.562</v>
      </c>
    </row>
    <row r="96" customFormat="false" ht="15" hidden="false" customHeight="false" outlineLevel="0" collapsed="false">
      <c r="A96" s="4" t="s">
        <v>2348</v>
      </c>
      <c r="B96" s="4" t="n">
        <f aca="false">COUNTIFS(DONNEES!$H$2:$H$1501,"NOTABLE",DONNEES!$L$2:$L$1501,"Correct",DONNEES!$F$2:$F$1501,$A96)+COUNTIFS(DONNEES!$H$2:$H$1501,"NOTABLE",DONNEES!$L$2:$L$1501,"Pas d’info à tort",DONNEES!$F$2:$F$1501,$A96)+COUNTIFS(DONNEES!$H$2:$H$1501,"NOTABLE",DONNEES!$L$2:$L$1501,"Incorrect",DONNEES!$F$2:$F$1501,$A96)+COUNTIFS(DONNEES!$H$2:$H$1501,"NOTABLE",DONNEES!$L$2:$L$1501,"Hors sujet",DONNEES!$F$2:$F$1501,$A96)</f>
        <v>5</v>
      </c>
      <c r="C96" s="4" t="n">
        <f aca="false">COUNTIFS(DONNEES!$H$2:$H$1501,"NOTABLE",DONNEES!$L$2:$L$1501,"Correct",DONNEES!$F$2:$F$1501,$A96)</f>
        <v>5</v>
      </c>
      <c r="D96" s="4" t="n">
        <f aca="false">COUNTIFS(DONNEES!$H$2:$H$1501,"NOTABLE",DONNEES!$L$2:$L$1501,"Pas d’info à tort",DONNEES!$F$2:$F$1501,$A96)</f>
        <v>0</v>
      </c>
      <c r="E96" s="4" t="n">
        <f aca="false">COUNTIFS(DONNEES!$H$2:$H$1501,"NOTABLE",DONNEES!$L$2:$L$1501,"Incorrect",DONNEES!$F$2:$F$1501,$A96)</f>
        <v>0</v>
      </c>
      <c r="F96" s="4" t="n">
        <f aca="false">COUNTIFS(DONNEES!$H$2:$H$1501,"NOTABLE",DONNEES!$L$2:$L$1501,"Hors sujet",DONNEES!$F$2:$F$1501,$A96)</f>
        <v>0</v>
      </c>
      <c r="G96" s="25" t="n">
        <f aca="false">IF($B96=0,"",C96/$B96)</f>
        <v>1</v>
      </c>
      <c r="H96" s="25" t="n">
        <f aca="false">IF($B96=0,"",D96/$B96)</f>
        <v>0</v>
      </c>
      <c r="I96" s="25" t="n">
        <f aca="false">IF($B96=0,"",E96/$B96)</f>
        <v>0</v>
      </c>
      <c r="J96" s="25" t="n">
        <f aca="false">IF($B96=0,"",F96/$B96)</f>
        <v>0</v>
      </c>
      <c r="K96" s="26" t="n">
        <f aca="false">IFERROR(AVERAGEIFS(DONNEES!$O$2:$O$1501,DONNEES!$F$2:$F$1501,$A96),"")</f>
        <v>16.036</v>
      </c>
    </row>
    <row r="97" customFormat="false" ht="15" hidden="false" customHeight="false" outlineLevel="0" collapsed="false">
      <c r="A97" s="4" t="s">
        <v>1194</v>
      </c>
      <c r="B97" s="4" t="n">
        <f aca="false">COUNTIFS(DONNEES!$H$2:$H$1501,"NOTABLE",DONNEES!$L$2:$L$1501,"Correct",DONNEES!$F$2:$F$1501,$A97)+COUNTIFS(DONNEES!$H$2:$H$1501,"NOTABLE",DONNEES!$L$2:$L$1501,"Pas d’info à tort",DONNEES!$F$2:$F$1501,$A97)+COUNTIFS(DONNEES!$H$2:$H$1501,"NOTABLE",DONNEES!$L$2:$L$1501,"Incorrect",DONNEES!$F$2:$F$1501,$A97)+COUNTIFS(DONNEES!$H$2:$H$1501,"NOTABLE",DONNEES!$L$2:$L$1501,"Hors sujet",DONNEES!$F$2:$F$1501,$A97)</f>
        <v>5</v>
      </c>
      <c r="C97" s="4" t="n">
        <f aca="false">COUNTIFS(DONNEES!$H$2:$H$1501,"NOTABLE",DONNEES!$L$2:$L$1501,"Correct",DONNEES!$F$2:$F$1501,$A97)</f>
        <v>5</v>
      </c>
      <c r="D97" s="4" t="n">
        <f aca="false">COUNTIFS(DONNEES!$H$2:$H$1501,"NOTABLE",DONNEES!$L$2:$L$1501,"Pas d’info à tort",DONNEES!$F$2:$F$1501,$A97)</f>
        <v>0</v>
      </c>
      <c r="E97" s="4" t="n">
        <f aca="false">COUNTIFS(DONNEES!$H$2:$H$1501,"NOTABLE",DONNEES!$L$2:$L$1501,"Incorrect",DONNEES!$F$2:$F$1501,$A97)</f>
        <v>0</v>
      </c>
      <c r="F97" s="4" t="n">
        <f aca="false">COUNTIFS(DONNEES!$H$2:$H$1501,"NOTABLE",DONNEES!$L$2:$L$1501,"Hors sujet",DONNEES!$F$2:$F$1501,$A97)</f>
        <v>0</v>
      </c>
      <c r="G97" s="25" t="n">
        <f aca="false">IF($B97=0,"",C97/$B97)</f>
        <v>1</v>
      </c>
      <c r="H97" s="25" t="n">
        <f aca="false">IF($B97=0,"",D97/$B97)</f>
        <v>0</v>
      </c>
      <c r="I97" s="25" t="n">
        <f aca="false">IF($B97=0,"",E97/$B97)</f>
        <v>0</v>
      </c>
      <c r="J97" s="25" t="n">
        <f aca="false">IF($B97=0,"",F97/$B97)</f>
        <v>0</v>
      </c>
      <c r="K97" s="26" t="n">
        <f aca="false">IFERROR(AVERAGEIFS(DONNEES!$O$2:$O$1501,DONNEES!$F$2:$F$1501,$A97),"")</f>
        <v>17.832</v>
      </c>
    </row>
    <row r="98" customFormat="false" ht="15" hidden="false" customHeight="false" outlineLevel="0" collapsed="false">
      <c r="A98" s="4" t="s">
        <v>3260</v>
      </c>
      <c r="B98" s="4" t="n">
        <f aca="false">COUNTIFS(DONNEES!$H$2:$H$1501,"NOTABLE",DONNEES!$L$2:$L$1501,"Correct",DONNEES!$F$2:$F$1501,$A98)+COUNTIFS(DONNEES!$H$2:$H$1501,"NOTABLE",DONNEES!$L$2:$L$1501,"Pas d’info à tort",DONNEES!$F$2:$F$1501,$A98)+COUNTIFS(DONNEES!$H$2:$H$1501,"NOTABLE",DONNEES!$L$2:$L$1501,"Incorrect",DONNEES!$F$2:$F$1501,$A98)+COUNTIFS(DONNEES!$H$2:$H$1501,"NOTABLE",DONNEES!$L$2:$L$1501,"Hors sujet",DONNEES!$F$2:$F$1501,$A98)</f>
        <v>5</v>
      </c>
      <c r="C98" s="4" t="n">
        <f aca="false">COUNTIFS(DONNEES!$H$2:$H$1501,"NOTABLE",DONNEES!$L$2:$L$1501,"Correct",DONNEES!$F$2:$F$1501,$A98)</f>
        <v>5</v>
      </c>
      <c r="D98" s="4" t="n">
        <f aca="false">COUNTIFS(DONNEES!$H$2:$H$1501,"NOTABLE",DONNEES!$L$2:$L$1501,"Pas d’info à tort",DONNEES!$F$2:$F$1501,$A98)</f>
        <v>0</v>
      </c>
      <c r="E98" s="4" t="n">
        <f aca="false">COUNTIFS(DONNEES!$H$2:$H$1501,"NOTABLE",DONNEES!$L$2:$L$1501,"Incorrect",DONNEES!$F$2:$F$1501,$A98)</f>
        <v>0</v>
      </c>
      <c r="F98" s="4" t="n">
        <f aca="false">COUNTIFS(DONNEES!$H$2:$H$1501,"NOTABLE",DONNEES!$L$2:$L$1501,"Hors sujet",DONNEES!$F$2:$F$1501,$A98)</f>
        <v>0</v>
      </c>
      <c r="G98" s="25" t="n">
        <f aca="false">IF($B98=0,"",C98/$B98)</f>
        <v>1</v>
      </c>
      <c r="H98" s="25" t="n">
        <f aca="false">IF($B98=0,"",D98/$B98)</f>
        <v>0</v>
      </c>
      <c r="I98" s="25" t="n">
        <f aca="false">IF($B98=0,"",E98/$B98)</f>
        <v>0</v>
      </c>
      <c r="J98" s="25" t="n">
        <f aca="false">IF($B98=0,"",F98/$B98)</f>
        <v>0</v>
      </c>
      <c r="K98" s="26" t="n">
        <f aca="false">IFERROR(AVERAGEIFS(DONNEES!$O$2:$O$1501,DONNEES!$F$2:$F$1501,$A98),"")</f>
        <v>16.178</v>
      </c>
    </row>
    <row r="99" customFormat="false" ht="15" hidden="false" customHeight="false" outlineLevel="0" collapsed="false">
      <c r="A99" s="4" t="s">
        <v>745</v>
      </c>
      <c r="B99" s="4" t="n">
        <f aca="false">COUNTIFS(DONNEES!$H$2:$H$1501,"NOTABLE",DONNEES!$L$2:$L$1501,"Correct",DONNEES!$F$2:$F$1501,$A99)+COUNTIFS(DONNEES!$H$2:$H$1501,"NOTABLE",DONNEES!$L$2:$L$1501,"Pas d’info à tort",DONNEES!$F$2:$F$1501,$A99)+COUNTIFS(DONNEES!$H$2:$H$1501,"NOTABLE",DONNEES!$L$2:$L$1501,"Incorrect",DONNEES!$F$2:$F$1501,$A99)+COUNTIFS(DONNEES!$H$2:$H$1501,"NOTABLE",DONNEES!$L$2:$L$1501,"Hors sujet",DONNEES!$F$2:$F$1501,$A99)</f>
        <v>5</v>
      </c>
      <c r="C99" s="4" t="n">
        <f aca="false">COUNTIFS(DONNEES!$H$2:$H$1501,"NOTABLE",DONNEES!$L$2:$L$1501,"Correct",DONNEES!$F$2:$F$1501,$A99)</f>
        <v>5</v>
      </c>
      <c r="D99" s="4" t="n">
        <f aca="false">COUNTIFS(DONNEES!$H$2:$H$1501,"NOTABLE",DONNEES!$L$2:$L$1501,"Pas d’info à tort",DONNEES!$F$2:$F$1501,$A99)</f>
        <v>0</v>
      </c>
      <c r="E99" s="4" t="n">
        <f aca="false">COUNTIFS(DONNEES!$H$2:$H$1501,"NOTABLE",DONNEES!$L$2:$L$1501,"Incorrect",DONNEES!$F$2:$F$1501,$A99)</f>
        <v>0</v>
      </c>
      <c r="F99" s="4" t="n">
        <f aca="false">COUNTIFS(DONNEES!$H$2:$H$1501,"NOTABLE",DONNEES!$L$2:$L$1501,"Hors sujet",DONNEES!$F$2:$F$1501,$A99)</f>
        <v>0</v>
      </c>
      <c r="G99" s="25" t="n">
        <f aca="false">IF($B99=0,"",C99/$B99)</f>
        <v>1</v>
      </c>
      <c r="H99" s="25" t="n">
        <f aca="false">IF($B99=0,"",D99/$B99)</f>
        <v>0</v>
      </c>
      <c r="I99" s="25" t="n">
        <f aca="false">IF($B99=0,"",E99/$B99)</f>
        <v>0</v>
      </c>
      <c r="J99" s="25" t="n">
        <f aca="false">IF($B99=0,"",F99/$B99)</f>
        <v>0</v>
      </c>
      <c r="K99" s="26" t="n">
        <f aca="false">IFERROR(AVERAGEIFS(DONNEES!$O$2:$O$1501,DONNEES!$F$2:$F$1501,$A99),"")</f>
        <v>20.406</v>
      </c>
    </row>
    <row r="100" customFormat="false" ht="15" hidden="false" customHeight="false" outlineLevel="0" collapsed="false">
      <c r="A100" s="4" t="s">
        <v>2609</v>
      </c>
      <c r="B100" s="4" t="n">
        <f aca="false">COUNTIFS(DONNEES!$H$2:$H$1501,"NOTABLE",DONNEES!$L$2:$L$1501,"Correct",DONNEES!$F$2:$F$1501,$A100)+COUNTIFS(DONNEES!$H$2:$H$1501,"NOTABLE",DONNEES!$L$2:$L$1501,"Pas d’info à tort",DONNEES!$F$2:$F$1501,$A100)+COUNTIFS(DONNEES!$H$2:$H$1501,"NOTABLE",DONNEES!$L$2:$L$1501,"Incorrect",DONNEES!$F$2:$F$1501,$A100)+COUNTIFS(DONNEES!$H$2:$H$1501,"NOTABLE",DONNEES!$L$2:$L$1501,"Hors sujet",DONNEES!$F$2:$F$1501,$A100)</f>
        <v>5</v>
      </c>
      <c r="C100" s="4" t="n">
        <f aca="false">COUNTIFS(DONNEES!$H$2:$H$1501,"NOTABLE",DONNEES!$L$2:$L$1501,"Correct",DONNEES!$F$2:$F$1501,$A100)</f>
        <v>5</v>
      </c>
      <c r="D100" s="4" t="n">
        <f aca="false">COUNTIFS(DONNEES!$H$2:$H$1501,"NOTABLE",DONNEES!$L$2:$L$1501,"Pas d’info à tort",DONNEES!$F$2:$F$1501,$A100)</f>
        <v>0</v>
      </c>
      <c r="E100" s="4" t="n">
        <f aca="false">COUNTIFS(DONNEES!$H$2:$H$1501,"NOTABLE",DONNEES!$L$2:$L$1501,"Incorrect",DONNEES!$F$2:$F$1501,$A100)</f>
        <v>0</v>
      </c>
      <c r="F100" s="4" t="n">
        <f aca="false">COUNTIFS(DONNEES!$H$2:$H$1501,"NOTABLE",DONNEES!$L$2:$L$1501,"Hors sujet",DONNEES!$F$2:$F$1501,$A100)</f>
        <v>0</v>
      </c>
      <c r="G100" s="25" t="n">
        <f aca="false">IF($B100=0,"",C100/$B100)</f>
        <v>1</v>
      </c>
      <c r="H100" s="25" t="n">
        <f aca="false">IF($B100=0,"",D100/$B100)</f>
        <v>0</v>
      </c>
      <c r="I100" s="25" t="n">
        <f aca="false">IF($B100=0,"",E100/$B100)</f>
        <v>0</v>
      </c>
      <c r="J100" s="25" t="n">
        <f aca="false">IF($B100=0,"",F100/$B100)</f>
        <v>0</v>
      </c>
      <c r="K100" s="26" t="n">
        <f aca="false">IFERROR(AVERAGEIFS(DONNEES!$O$2:$O$1501,DONNEES!$F$2:$F$1501,$A100),"")</f>
        <v>21.406</v>
      </c>
    </row>
    <row r="101" customFormat="false" ht="15" hidden="false" customHeight="false" outlineLevel="0" collapsed="false">
      <c r="A101" s="4" t="s">
        <v>315</v>
      </c>
      <c r="B101" s="4" t="n">
        <f aca="false">COUNTIFS(DONNEES!$H$2:$H$1501,"NOTABLE",DONNEES!$L$2:$L$1501,"Correct",DONNEES!$F$2:$F$1501,$A101)+COUNTIFS(DONNEES!$H$2:$H$1501,"NOTABLE",DONNEES!$L$2:$L$1501,"Pas d’info à tort",DONNEES!$F$2:$F$1501,$A101)+COUNTIFS(DONNEES!$H$2:$H$1501,"NOTABLE",DONNEES!$L$2:$L$1501,"Incorrect",DONNEES!$F$2:$F$1501,$A101)+COUNTIFS(DONNEES!$H$2:$H$1501,"NOTABLE",DONNEES!$L$2:$L$1501,"Hors sujet",DONNEES!$F$2:$F$1501,$A101)</f>
        <v>5</v>
      </c>
      <c r="C101" s="4" t="n">
        <f aca="false">COUNTIFS(DONNEES!$H$2:$H$1501,"NOTABLE",DONNEES!$L$2:$L$1501,"Correct",DONNEES!$F$2:$F$1501,$A101)</f>
        <v>5</v>
      </c>
      <c r="D101" s="4" t="n">
        <f aca="false">COUNTIFS(DONNEES!$H$2:$H$1501,"NOTABLE",DONNEES!$L$2:$L$1501,"Pas d’info à tort",DONNEES!$F$2:$F$1501,$A101)</f>
        <v>0</v>
      </c>
      <c r="E101" s="4" t="n">
        <f aca="false">COUNTIFS(DONNEES!$H$2:$H$1501,"NOTABLE",DONNEES!$L$2:$L$1501,"Incorrect",DONNEES!$F$2:$F$1501,$A101)</f>
        <v>0</v>
      </c>
      <c r="F101" s="4" t="n">
        <f aca="false">COUNTIFS(DONNEES!$H$2:$H$1501,"NOTABLE",DONNEES!$L$2:$L$1501,"Hors sujet",DONNEES!$F$2:$F$1501,$A101)</f>
        <v>0</v>
      </c>
      <c r="G101" s="25" t="n">
        <f aca="false">IF($B101=0,"",C101/$B101)</f>
        <v>1</v>
      </c>
      <c r="H101" s="25" t="n">
        <f aca="false">IF($B101=0,"",D101/$B101)</f>
        <v>0</v>
      </c>
      <c r="I101" s="25" t="n">
        <f aca="false">IF($B101=0,"",E101/$B101)</f>
        <v>0</v>
      </c>
      <c r="J101" s="25" t="n">
        <f aca="false">IF($B101=0,"",F101/$B101)</f>
        <v>0</v>
      </c>
      <c r="K101" s="26" t="n">
        <f aca="false">IFERROR(AVERAGEIFS(DONNEES!$O$2:$O$1501,DONNEES!$F$2:$F$1501,$A101),"")</f>
        <v>22.43</v>
      </c>
    </row>
    <row r="102" customFormat="false" ht="15" hidden="false" customHeight="false" outlineLevel="0" collapsed="false">
      <c r="A102" s="4" t="s">
        <v>1337</v>
      </c>
      <c r="B102" s="4" t="n">
        <f aca="false">COUNTIFS(DONNEES!$H$2:$H$1501,"NOTABLE",DONNEES!$L$2:$L$1501,"Correct",DONNEES!$F$2:$F$1501,$A102)+COUNTIFS(DONNEES!$H$2:$H$1501,"NOTABLE",DONNEES!$L$2:$L$1501,"Pas d’info à tort",DONNEES!$F$2:$F$1501,$A102)+COUNTIFS(DONNEES!$H$2:$H$1501,"NOTABLE",DONNEES!$L$2:$L$1501,"Incorrect",DONNEES!$F$2:$F$1501,$A102)+COUNTIFS(DONNEES!$H$2:$H$1501,"NOTABLE",DONNEES!$L$2:$L$1501,"Hors sujet",DONNEES!$F$2:$F$1501,$A102)</f>
        <v>5</v>
      </c>
      <c r="C102" s="4" t="n">
        <f aca="false">COUNTIFS(DONNEES!$H$2:$H$1501,"NOTABLE",DONNEES!$L$2:$L$1501,"Correct",DONNEES!$F$2:$F$1501,$A102)</f>
        <v>5</v>
      </c>
      <c r="D102" s="4" t="n">
        <f aca="false">COUNTIFS(DONNEES!$H$2:$H$1501,"NOTABLE",DONNEES!$L$2:$L$1501,"Pas d’info à tort",DONNEES!$F$2:$F$1501,$A102)</f>
        <v>0</v>
      </c>
      <c r="E102" s="4" t="n">
        <f aca="false">COUNTIFS(DONNEES!$H$2:$H$1501,"NOTABLE",DONNEES!$L$2:$L$1501,"Incorrect",DONNEES!$F$2:$F$1501,$A102)</f>
        <v>0</v>
      </c>
      <c r="F102" s="4" t="n">
        <f aca="false">COUNTIFS(DONNEES!$H$2:$H$1501,"NOTABLE",DONNEES!$L$2:$L$1501,"Hors sujet",DONNEES!$F$2:$F$1501,$A102)</f>
        <v>0</v>
      </c>
      <c r="G102" s="25" t="n">
        <f aca="false">IF($B102=0,"",C102/$B102)</f>
        <v>1</v>
      </c>
      <c r="H102" s="25" t="n">
        <f aca="false">IF($B102=0,"",D102/$B102)</f>
        <v>0</v>
      </c>
      <c r="I102" s="25" t="n">
        <f aca="false">IF($B102=0,"",E102/$B102)</f>
        <v>0</v>
      </c>
      <c r="J102" s="25" t="n">
        <f aca="false">IF($B102=0,"",F102/$B102)</f>
        <v>0</v>
      </c>
      <c r="K102" s="26" t="n">
        <f aca="false">IFERROR(AVERAGEIFS(DONNEES!$O$2:$O$1501,DONNEES!$F$2:$F$1501,$A102),"")</f>
        <v>14.73</v>
      </c>
    </row>
    <row r="103" customFormat="false" ht="15" hidden="false" customHeight="false" outlineLevel="0" collapsed="false">
      <c r="A103" s="4" t="s">
        <v>832</v>
      </c>
      <c r="B103" s="4" t="n">
        <f aca="false">COUNTIFS(DONNEES!$H$2:$H$1501,"NOTABLE",DONNEES!$L$2:$L$1501,"Correct",DONNEES!$F$2:$F$1501,$A103)+COUNTIFS(DONNEES!$H$2:$H$1501,"NOTABLE",DONNEES!$L$2:$L$1501,"Pas d’info à tort",DONNEES!$F$2:$F$1501,$A103)+COUNTIFS(DONNEES!$H$2:$H$1501,"NOTABLE",DONNEES!$L$2:$L$1501,"Incorrect",DONNEES!$F$2:$F$1501,$A103)+COUNTIFS(DONNEES!$H$2:$H$1501,"NOTABLE",DONNEES!$L$2:$L$1501,"Hors sujet",DONNEES!$F$2:$F$1501,$A103)</f>
        <v>5</v>
      </c>
      <c r="C103" s="4" t="n">
        <f aca="false">COUNTIFS(DONNEES!$H$2:$H$1501,"NOTABLE",DONNEES!$L$2:$L$1501,"Correct",DONNEES!$F$2:$F$1501,$A103)</f>
        <v>5</v>
      </c>
      <c r="D103" s="4" t="n">
        <f aca="false">COUNTIFS(DONNEES!$H$2:$H$1501,"NOTABLE",DONNEES!$L$2:$L$1501,"Pas d’info à tort",DONNEES!$F$2:$F$1501,$A103)</f>
        <v>0</v>
      </c>
      <c r="E103" s="4" t="n">
        <f aca="false">COUNTIFS(DONNEES!$H$2:$H$1501,"NOTABLE",DONNEES!$L$2:$L$1501,"Incorrect",DONNEES!$F$2:$F$1501,$A103)</f>
        <v>0</v>
      </c>
      <c r="F103" s="4" t="n">
        <f aca="false">COUNTIFS(DONNEES!$H$2:$H$1501,"NOTABLE",DONNEES!$L$2:$L$1501,"Hors sujet",DONNEES!$F$2:$F$1501,$A103)</f>
        <v>0</v>
      </c>
      <c r="G103" s="25" t="n">
        <f aca="false">IF($B103=0,"",C103/$B103)</f>
        <v>1</v>
      </c>
      <c r="H103" s="25" t="n">
        <f aca="false">IF($B103=0,"",D103/$B103)</f>
        <v>0</v>
      </c>
      <c r="I103" s="25" t="n">
        <f aca="false">IF($B103=0,"",E103/$B103)</f>
        <v>0</v>
      </c>
      <c r="J103" s="25" t="n">
        <f aca="false">IF($B103=0,"",F103/$B103)</f>
        <v>0</v>
      </c>
      <c r="K103" s="26" t="n">
        <f aca="false">IFERROR(AVERAGEIFS(DONNEES!$O$2:$O$1501,DONNEES!$F$2:$F$1501,$A103),"")</f>
        <v>19.412</v>
      </c>
    </row>
    <row r="104" customFormat="false" ht="15" hidden="false" customHeight="false" outlineLevel="0" collapsed="false">
      <c r="A104" s="4" t="s">
        <v>3973</v>
      </c>
      <c r="B104" s="4" t="n">
        <f aca="false">COUNTIFS(DONNEES!$H$2:$H$1501,"NOTABLE",DONNEES!$L$2:$L$1501,"Correct",DONNEES!$F$2:$F$1501,$A104)+COUNTIFS(DONNEES!$H$2:$H$1501,"NOTABLE",DONNEES!$L$2:$L$1501,"Pas d’info à tort",DONNEES!$F$2:$F$1501,$A104)+COUNTIFS(DONNEES!$H$2:$H$1501,"NOTABLE",DONNEES!$L$2:$L$1501,"Incorrect",DONNEES!$F$2:$F$1501,$A104)+COUNTIFS(DONNEES!$H$2:$H$1501,"NOTABLE",DONNEES!$L$2:$L$1501,"Hors sujet",DONNEES!$F$2:$F$1501,$A104)</f>
        <v>5</v>
      </c>
      <c r="C104" s="4" t="n">
        <f aca="false">COUNTIFS(DONNEES!$H$2:$H$1501,"NOTABLE",DONNEES!$L$2:$L$1501,"Correct",DONNEES!$F$2:$F$1501,$A104)</f>
        <v>5</v>
      </c>
      <c r="D104" s="4" t="n">
        <f aca="false">COUNTIFS(DONNEES!$H$2:$H$1501,"NOTABLE",DONNEES!$L$2:$L$1501,"Pas d’info à tort",DONNEES!$F$2:$F$1501,$A104)</f>
        <v>0</v>
      </c>
      <c r="E104" s="4" t="n">
        <f aca="false">COUNTIFS(DONNEES!$H$2:$H$1501,"NOTABLE",DONNEES!$L$2:$L$1501,"Incorrect",DONNEES!$F$2:$F$1501,$A104)</f>
        <v>0</v>
      </c>
      <c r="F104" s="4" t="n">
        <f aca="false">COUNTIFS(DONNEES!$H$2:$H$1501,"NOTABLE",DONNEES!$L$2:$L$1501,"Hors sujet",DONNEES!$F$2:$F$1501,$A104)</f>
        <v>0</v>
      </c>
      <c r="G104" s="25" t="n">
        <f aca="false">IF($B104=0,"",C104/$B104)</f>
        <v>1</v>
      </c>
      <c r="H104" s="25" t="n">
        <f aca="false">IF($B104=0,"",D104/$B104)</f>
        <v>0</v>
      </c>
      <c r="I104" s="25" t="n">
        <f aca="false">IF($B104=0,"",E104/$B104)</f>
        <v>0</v>
      </c>
      <c r="J104" s="25" t="n">
        <f aca="false">IF($B104=0,"",F104/$B104)</f>
        <v>0</v>
      </c>
      <c r="K104" s="26" t="n">
        <f aca="false">IFERROR(AVERAGEIFS(DONNEES!$O$2:$O$1501,DONNEES!$F$2:$F$1501,$A104),"")</f>
        <v>13.088</v>
      </c>
    </row>
    <row r="105" customFormat="false" ht="15" hidden="false" customHeight="false" outlineLevel="0" collapsed="false">
      <c r="A105" s="4" t="s">
        <v>1488</v>
      </c>
      <c r="B105" s="4" t="n">
        <f aca="false">COUNTIFS(DONNEES!$H$2:$H$1501,"NOTABLE",DONNEES!$L$2:$L$1501,"Correct",DONNEES!$F$2:$F$1501,$A105)+COUNTIFS(DONNEES!$H$2:$H$1501,"NOTABLE",DONNEES!$L$2:$L$1501,"Pas d’info à tort",DONNEES!$F$2:$F$1501,$A105)+COUNTIFS(DONNEES!$H$2:$H$1501,"NOTABLE",DONNEES!$L$2:$L$1501,"Incorrect",DONNEES!$F$2:$F$1501,$A105)+COUNTIFS(DONNEES!$H$2:$H$1501,"NOTABLE",DONNEES!$L$2:$L$1501,"Hors sujet",DONNEES!$F$2:$F$1501,$A105)</f>
        <v>5</v>
      </c>
      <c r="C105" s="4" t="n">
        <f aca="false">COUNTIFS(DONNEES!$H$2:$H$1501,"NOTABLE",DONNEES!$L$2:$L$1501,"Correct",DONNEES!$F$2:$F$1501,$A105)</f>
        <v>5</v>
      </c>
      <c r="D105" s="4" t="n">
        <f aca="false">COUNTIFS(DONNEES!$H$2:$H$1501,"NOTABLE",DONNEES!$L$2:$L$1501,"Pas d’info à tort",DONNEES!$F$2:$F$1501,$A105)</f>
        <v>0</v>
      </c>
      <c r="E105" s="4" t="n">
        <f aca="false">COUNTIFS(DONNEES!$H$2:$H$1501,"NOTABLE",DONNEES!$L$2:$L$1501,"Incorrect",DONNEES!$F$2:$F$1501,$A105)</f>
        <v>0</v>
      </c>
      <c r="F105" s="4" t="n">
        <f aca="false">COUNTIFS(DONNEES!$H$2:$H$1501,"NOTABLE",DONNEES!$L$2:$L$1501,"Hors sujet",DONNEES!$F$2:$F$1501,$A105)</f>
        <v>0</v>
      </c>
      <c r="G105" s="25" t="n">
        <f aca="false">IF($B105=0,"",C105/$B105)</f>
        <v>1</v>
      </c>
      <c r="H105" s="25" t="n">
        <f aca="false">IF($B105=0,"",D105/$B105)</f>
        <v>0</v>
      </c>
      <c r="I105" s="25" t="n">
        <f aca="false">IF($B105=0,"",E105/$B105)</f>
        <v>0</v>
      </c>
      <c r="J105" s="25" t="n">
        <f aca="false">IF($B105=0,"",F105/$B105)</f>
        <v>0</v>
      </c>
      <c r="K105" s="26" t="n">
        <f aca="false">IFERROR(AVERAGEIFS(DONNEES!$O$2:$O$1501,DONNEES!$F$2:$F$1501,$A105),"")</f>
        <v>23.584</v>
      </c>
    </row>
    <row r="106" customFormat="false" ht="15" hidden="false" customHeight="false" outlineLevel="0" collapsed="false">
      <c r="A106" s="4" t="s">
        <v>1044</v>
      </c>
      <c r="B106" s="4" t="n">
        <f aca="false">COUNTIFS(DONNEES!$H$2:$H$1501,"NOTABLE",DONNEES!$L$2:$L$1501,"Correct",DONNEES!$F$2:$F$1501,$A106)+COUNTIFS(DONNEES!$H$2:$H$1501,"NOTABLE",DONNEES!$L$2:$L$1501,"Pas d’info à tort",DONNEES!$F$2:$F$1501,$A106)+COUNTIFS(DONNEES!$H$2:$H$1501,"NOTABLE",DONNEES!$L$2:$L$1501,"Incorrect",DONNEES!$F$2:$F$1501,$A106)+COUNTIFS(DONNEES!$H$2:$H$1501,"NOTABLE",DONNEES!$L$2:$L$1501,"Hors sujet",DONNEES!$F$2:$F$1501,$A106)</f>
        <v>5</v>
      </c>
      <c r="C106" s="4" t="n">
        <f aca="false">COUNTIFS(DONNEES!$H$2:$H$1501,"NOTABLE",DONNEES!$L$2:$L$1501,"Correct",DONNEES!$F$2:$F$1501,$A106)</f>
        <v>5</v>
      </c>
      <c r="D106" s="4" t="n">
        <f aca="false">COUNTIFS(DONNEES!$H$2:$H$1501,"NOTABLE",DONNEES!$L$2:$L$1501,"Pas d’info à tort",DONNEES!$F$2:$F$1501,$A106)</f>
        <v>0</v>
      </c>
      <c r="E106" s="4" t="n">
        <f aca="false">COUNTIFS(DONNEES!$H$2:$H$1501,"NOTABLE",DONNEES!$L$2:$L$1501,"Incorrect",DONNEES!$F$2:$F$1501,$A106)</f>
        <v>0</v>
      </c>
      <c r="F106" s="4" t="n">
        <f aca="false">COUNTIFS(DONNEES!$H$2:$H$1501,"NOTABLE",DONNEES!$L$2:$L$1501,"Hors sujet",DONNEES!$F$2:$F$1501,$A106)</f>
        <v>0</v>
      </c>
      <c r="G106" s="25" t="n">
        <f aca="false">IF($B106=0,"",C106/$B106)</f>
        <v>1</v>
      </c>
      <c r="H106" s="25" t="n">
        <f aca="false">IF($B106=0,"",D106/$B106)</f>
        <v>0</v>
      </c>
      <c r="I106" s="25" t="n">
        <f aca="false">IF($B106=0,"",E106/$B106)</f>
        <v>0</v>
      </c>
      <c r="J106" s="25" t="n">
        <f aca="false">IF($B106=0,"",F106/$B106)</f>
        <v>0</v>
      </c>
      <c r="K106" s="26" t="n">
        <f aca="false">IFERROR(AVERAGEIFS(DONNEES!$O$2:$O$1501,DONNEES!$F$2:$F$1501,$A106),"")</f>
        <v>20.686</v>
      </c>
    </row>
    <row r="107" customFormat="false" ht="15" hidden="false" customHeight="false" outlineLevel="0" collapsed="false">
      <c r="A107" s="4" t="s">
        <v>2541</v>
      </c>
      <c r="B107" s="4" t="n">
        <f aca="false">COUNTIFS(DONNEES!$H$2:$H$1501,"NOTABLE",DONNEES!$L$2:$L$1501,"Correct",DONNEES!$F$2:$F$1501,$A107)+COUNTIFS(DONNEES!$H$2:$H$1501,"NOTABLE",DONNEES!$L$2:$L$1501,"Pas d’info à tort",DONNEES!$F$2:$F$1501,$A107)+COUNTIFS(DONNEES!$H$2:$H$1501,"NOTABLE",DONNEES!$L$2:$L$1501,"Incorrect",DONNEES!$F$2:$F$1501,$A107)+COUNTIFS(DONNEES!$H$2:$H$1501,"NOTABLE",DONNEES!$L$2:$L$1501,"Hors sujet",DONNEES!$F$2:$F$1501,$A107)</f>
        <v>5</v>
      </c>
      <c r="C107" s="4" t="n">
        <f aca="false">COUNTIFS(DONNEES!$H$2:$H$1501,"NOTABLE",DONNEES!$L$2:$L$1501,"Correct",DONNEES!$F$2:$F$1501,$A107)</f>
        <v>5</v>
      </c>
      <c r="D107" s="4" t="n">
        <f aca="false">COUNTIFS(DONNEES!$H$2:$H$1501,"NOTABLE",DONNEES!$L$2:$L$1501,"Pas d’info à tort",DONNEES!$F$2:$F$1501,$A107)</f>
        <v>0</v>
      </c>
      <c r="E107" s="4" t="n">
        <f aca="false">COUNTIFS(DONNEES!$H$2:$H$1501,"NOTABLE",DONNEES!$L$2:$L$1501,"Incorrect",DONNEES!$F$2:$F$1501,$A107)</f>
        <v>0</v>
      </c>
      <c r="F107" s="4" t="n">
        <f aca="false">COUNTIFS(DONNEES!$H$2:$H$1501,"NOTABLE",DONNEES!$L$2:$L$1501,"Hors sujet",DONNEES!$F$2:$F$1501,$A107)</f>
        <v>0</v>
      </c>
      <c r="G107" s="25" t="n">
        <f aca="false">IF($B107=0,"",C107/$B107)</f>
        <v>1</v>
      </c>
      <c r="H107" s="25" t="n">
        <f aca="false">IF($B107=0,"",D107/$B107)</f>
        <v>0</v>
      </c>
      <c r="I107" s="25" t="n">
        <f aca="false">IF($B107=0,"",E107/$B107)</f>
        <v>0</v>
      </c>
      <c r="J107" s="25" t="n">
        <f aca="false">IF($B107=0,"",F107/$B107)</f>
        <v>0</v>
      </c>
      <c r="K107" s="26" t="n">
        <f aca="false">IFERROR(AVERAGEIFS(DONNEES!$O$2:$O$1501,DONNEES!$F$2:$F$1501,$A107),"")</f>
        <v>17.02</v>
      </c>
    </row>
    <row r="108" customFormat="false" ht="15" hidden="false" customHeight="false" outlineLevel="0" collapsed="false">
      <c r="A108" s="4" t="s">
        <v>2900</v>
      </c>
      <c r="B108" s="4" t="n">
        <f aca="false">COUNTIFS(DONNEES!$H$2:$H$1501,"NOTABLE",DONNEES!$L$2:$L$1501,"Correct",DONNEES!$F$2:$F$1501,$A108)+COUNTIFS(DONNEES!$H$2:$H$1501,"NOTABLE",DONNEES!$L$2:$L$1501,"Pas d’info à tort",DONNEES!$F$2:$F$1501,$A108)+COUNTIFS(DONNEES!$H$2:$H$1501,"NOTABLE",DONNEES!$L$2:$L$1501,"Incorrect",DONNEES!$F$2:$F$1501,$A108)+COUNTIFS(DONNEES!$H$2:$H$1501,"NOTABLE",DONNEES!$L$2:$L$1501,"Hors sujet",DONNEES!$F$2:$F$1501,$A108)</f>
        <v>5</v>
      </c>
      <c r="C108" s="4" t="n">
        <f aca="false">COUNTIFS(DONNEES!$H$2:$H$1501,"NOTABLE",DONNEES!$L$2:$L$1501,"Correct",DONNEES!$F$2:$F$1501,$A108)</f>
        <v>5</v>
      </c>
      <c r="D108" s="4" t="n">
        <f aca="false">COUNTIFS(DONNEES!$H$2:$H$1501,"NOTABLE",DONNEES!$L$2:$L$1501,"Pas d’info à tort",DONNEES!$F$2:$F$1501,$A108)</f>
        <v>0</v>
      </c>
      <c r="E108" s="4" t="n">
        <f aca="false">COUNTIFS(DONNEES!$H$2:$H$1501,"NOTABLE",DONNEES!$L$2:$L$1501,"Incorrect",DONNEES!$F$2:$F$1501,$A108)</f>
        <v>0</v>
      </c>
      <c r="F108" s="4" t="n">
        <f aca="false">COUNTIFS(DONNEES!$H$2:$H$1501,"NOTABLE",DONNEES!$L$2:$L$1501,"Hors sujet",DONNEES!$F$2:$F$1501,$A108)</f>
        <v>0</v>
      </c>
      <c r="G108" s="25" t="n">
        <f aca="false">IF($B108=0,"",C108/$B108)</f>
        <v>1</v>
      </c>
      <c r="H108" s="25" t="n">
        <f aca="false">IF($B108=0,"",D108/$B108)</f>
        <v>0</v>
      </c>
      <c r="I108" s="25" t="n">
        <f aca="false">IF($B108=0,"",E108/$B108)</f>
        <v>0</v>
      </c>
      <c r="J108" s="25" t="n">
        <f aca="false">IF($B108=0,"",F108/$B108)</f>
        <v>0</v>
      </c>
      <c r="K108" s="26" t="n">
        <f aca="false">IFERROR(AVERAGEIFS(DONNEES!$O$2:$O$1501,DONNEES!$F$2:$F$1501,$A108),"")</f>
        <v>15.45</v>
      </c>
    </row>
    <row r="109" customFormat="false" ht="15" hidden="false" customHeight="false" outlineLevel="0" collapsed="false">
      <c r="A109" s="4" t="s">
        <v>2226</v>
      </c>
      <c r="B109" s="4" t="n">
        <f aca="false">COUNTIFS(DONNEES!$H$2:$H$1501,"NOTABLE",DONNEES!$L$2:$L$1501,"Correct",DONNEES!$F$2:$F$1501,$A109)+COUNTIFS(DONNEES!$H$2:$H$1501,"NOTABLE",DONNEES!$L$2:$L$1501,"Pas d’info à tort",DONNEES!$F$2:$F$1501,$A109)+COUNTIFS(DONNEES!$H$2:$H$1501,"NOTABLE",DONNEES!$L$2:$L$1501,"Incorrect",DONNEES!$F$2:$F$1501,$A109)+COUNTIFS(DONNEES!$H$2:$H$1501,"NOTABLE",DONNEES!$L$2:$L$1501,"Hors sujet",DONNEES!$F$2:$F$1501,$A109)</f>
        <v>5</v>
      </c>
      <c r="C109" s="4" t="n">
        <f aca="false">COUNTIFS(DONNEES!$H$2:$H$1501,"NOTABLE",DONNEES!$L$2:$L$1501,"Correct",DONNEES!$F$2:$F$1501,$A109)</f>
        <v>5</v>
      </c>
      <c r="D109" s="4" t="n">
        <f aca="false">COUNTIFS(DONNEES!$H$2:$H$1501,"NOTABLE",DONNEES!$L$2:$L$1501,"Pas d’info à tort",DONNEES!$F$2:$F$1501,$A109)</f>
        <v>0</v>
      </c>
      <c r="E109" s="4" t="n">
        <f aca="false">COUNTIFS(DONNEES!$H$2:$H$1501,"NOTABLE",DONNEES!$L$2:$L$1501,"Incorrect",DONNEES!$F$2:$F$1501,$A109)</f>
        <v>0</v>
      </c>
      <c r="F109" s="4" t="n">
        <f aca="false">COUNTIFS(DONNEES!$H$2:$H$1501,"NOTABLE",DONNEES!$L$2:$L$1501,"Hors sujet",DONNEES!$F$2:$F$1501,$A109)</f>
        <v>0</v>
      </c>
      <c r="G109" s="25" t="n">
        <f aca="false">IF($B109=0,"",C109/$B109)</f>
        <v>1</v>
      </c>
      <c r="H109" s="25" t="n">
        <f aca="false">IF($B109=0,"",D109/$B109)</f>
        <v>0</v>
      </c>
      <c r="I109" s="25" t="n">
        <f aca="false">IF($B109=0,"",E109/$B109)</f>
        <v>0</v>
      </c>
      <c r="J109" s="25" t="n">
        <f aca="false">IF($B109=0,"",F109/$B109)</f>
        <v>0</v>
      </c>
      <c r="K109" s="26" t="n">
        <f aca="false">IFERROR(AVERAGEIFS(DONNEES!$O$2:$O$1501,DONNEES!$F$2:$F$1501,$A109),"")</f>
        <v>19.338</v>
      </c>
    </row>
    <row r="110" customFormat="false" ht="15" hidden="false" customHeight="false" outlineLevel="0" collapsed="false">
      <c r="A110" s="4" t="s">
        <v>2725</v>
      </c>
      <c r="B110" s="4" t="n">
        <f aca="false">COUNTIFS(DONNEES!$H$2:$H$1501,"NOTABLE",DONNEES!$L$2:$L$1501,"Correct",DONNEES!$F$2:$F$1501,$A110)+COUNTIFS(DONNEES!$H$2:$H$1501,"NOTABLE",DONNEES!$L$2:$L$1501,"Pas d’info à tort",DONNEES!$F$2:$F$1501,$A110)+COUNTIFS(DONNEES!$H$2:$H$1501,"NOTABLE",DONNEES!$L$2:$L$1501,"Incorrect",DONNEES!$F$2:$F$1501,$A110)+COUNTIFS(DONNEES!$H$2:$H$1501,"NOTABLE",DONNEES!$L$2:$L$1501,"Hors sujet",DONNEES!$F$2:$F$1501,$A110)</f>
        <v>5</v>
      </c>
      <c r="C110" s="4" t="n">
        <f aca="false">COUNTIFS(DONNEES!$H$2:$H$1501,"NOTABLE",DONNEES!$L$2:$L$1501,"Correct",DONNEES!$F$2:$F$1501,$A110)</f>
        <v>5</v>
      </c>
      <c r="D110" s="4" t="n">
        <f aca="false">COUNTIFS(DONNEES!$H$2:$H$1501,"NOTABLE",DONNEES!$L$2:$L$1501,"Pas d’info à tort",DONNEES!$F$2:$F$1501,$A110)</f>
        <v>0</v>
      </c>
      <c r="E110" s="4" t="n">
        <f aca="false">COUNTIFS(DONNEES!$H$2:$H$1501,"NOTABLE",DONNEES!$L$2:$L$1501,"Incorrect",DONNEES!$F$2:$F$1501,$A110)</f>
        <v>0</v>
      </c>
      <c r="F110" s="4" t="n">
        <f aca="false">COUNTIFS(DONNEES!$H$2:$H$1501,"NOTABLE",DONNEES!$L$2:$L$1501,"Hors sujet",DONNEES!$F$2:$F$1501,$A110)</f>
        <v>0</v>
      </c>
      <c r="G110" s="25" t="n">
        <f aca="false">IF($B110=0,"",C110/$B110)</f>
        <v>1</v>
      </c>
      <c r="H110" s="25" t="n">
        <f aca="false">IF($B110=0,"",D110/$B110)</f>
        <v>0</v>
      </c>
      <c r="I110" s="25" t="n">
        <f aca="false">IF($B110=0,"",E110/$B110)</f>
        <v>0</v>
      </c>
      <c r="J110" s="25" t="n">
        <f aca="false">IF($B110=0,"",F110/$B110)</f>
        <v>0</v>
      </c>
      <c r="K110" s="26" t="n">
        <f aca="false">IFERROR(AVERAGEIFS(DONNEES!$O$2:$O$1501,DONNEES!$F$2:$F$1501,$A110),"")</f>
        <v>21.254</v>
      </c>
    </row>
    <row r="111" customFormat="false" ht="15" hidden="false" customHeight="false" outlineLevel="0" collapsed="false">
      <c r="A111" s="4" t="s">
        <v>895</v>
      </c>
      <c r="B111" s="4" t="n">
        <f aca="false">COUNTIFS(DONNEES!$H$2:$H$1501,"NOTABLE",DONNEES!$L$2:$L$1501,"Correct",DONNEES!$F$2:$F$1501,$A111)+COUNTIFS(DONNEES!$H$2:$H$1501,"NOTABLE",DONNEES!$L$2:$L$1501,"Pas d’info à tort",DONNEES!$F$2:$F$1501,$A111)+COUNTIFS(DONNEES!$H$2:$H$1501,"NOTABLE",DONNEES!$L$2:$L$1501,"Incorrect",DONNEES!$F$2:$F$1501,$A111)+COUNTIFS(DONNEES!$H$2:$H$1501,"NOTABLE",DONNEES!$L$2:$L$1501,"Hors sujet",DONNEES!$F$2:$F$1501,$A111)</f>
        <v>5</v>
      </c>
      <c r="C111" s="4" t="n">
        <f aca="false">COUNTIFS(DONNEES!$H$2:$H$1501,"NOTABLE",DONNEES!$L$2:$L$1501,"Correct",DONNEES!$F$2:$F$1501,$A111)</f>
        <v>5</v>
      </c>
      <c r="D111" s="4" t="n">
        <f aca="false">COUNTIFS(DONNEES!$H$2:$H$1501,"NOTABLE",DONNEES!$L$2:$L$1501,"Pas d’info à tort",DONNEES!$F$2:$F$1501,$A111)</f>
        <v>0</v>
      </c>
      <c r="E111" s="4" t="n">
        <f aca="false">COUNTIFS(DONNEES!$H$2:$H$1501,"NOTABLE",DONNEES!$L$2:$L$1501,"Incorrect",DONNEES!$F$2:$F$1501,$A111)</f>
        <v>0</v>
      </c>
      <c r="F111" s="4" t="n">
        <f aca="false">COUNTIFS(DONNEES!$H$2:$H$1501,"NOTABLE",DONNEES!$L$2:$L$1501,"Hors sujet",DONNEES!$F$2:$F$1501,$A111)</f>
        <v>0</v>
      </c>
      <c r="G111" s="25" t="n">
        <f aca="false">IF($B111=0,"",C111/$B111)</f>
        <v>1</v>
      </c>
      <c r="H111" s="25" t="n">
        <f aca="false">IF($B111=0,"",D111/$B111)</f>
        <v>0</v>
      </c>
      <c r="I111" s="25" t="n">
        <f aca="false">IF($B111=0,"",E111/$B111)</f>
        <v>0</v>
      </c>
      <c r="J111" s="25" t="n">
        <f aca="false">IF($B111=0,"",F111/$B111)</f>
        <v>0</v>
      </c>
      <c r="K111" s="26" t="n">
        <f aca="false">IFERROR(AVERAGEIFS(DONNEES!$O$2:$O$1501,DONNEES!$F$2:$F$1501,$A111),"")</f>
        <v>23.418</v>
      </c>
    </row>
    <row r="112" customFormat="false" ht="15" hidden="false" customHeight="false" outlineLevel="0" collapsed="false">
      <c r="A112" s="4" t="s">
        <v>1632</v>
      </c>
      <c r="B112" s="4" t="n">
        <f aca="false">COUNTIFS(DONNEES!$H$2:$H$1501,"NOTABLE",DONNEES!$L$2:$L$1501,"Correct",DONNEES!$F$2:$F$1501,$A112)+COUNTIFS(DONNEES!$H$2:$H$1501,"NOTABLE",DONNEES!$L$2:$L$1501,"Pas d’info à tort",DONNEES!$F$2:$F$1501,$A112)+COUNTIFS(DONNEES!$H$2:$H$1501,"NOTABLE",DONNEES!$L$2:$L$1501,"Incorrect",DONNEES!$F$2:$F$1501,$A112)+COUNTIFS(DONNEES!$H$2:$H$1501,"NOTABLE",DONNEES!$L$2:$L$1501,"Hors sujet",DONNEES!$F$2:$F$1501,$A112)</f>
        <v>5</v>
      </c>
      <c r="C112" s="4" t="n">
        <f aca="false">COUNTIFS(DONNEES!$H$2:$H$1501,"NOTABLE",DONNEES!$L$2:$L$1501,"Correct",DONNEES!$F$2:$F$1501,$A112)</f>
        <v>5</v>
      </c>
      <c r="D112" s="4" t="n">
        <f aca="false">COUNTIFS(DONNEES!$H$2:$H$1501,"NOTABLE",DONNEES!$L$2:$L$1501,"Pas d’info à tort",DONNEES!$F$2:$F$1501,$A112)</f>
        <v>0</v>
      </c>
      <c r="E112" s="4" t="n">
        <f aca="false">COUNTIFS(DONNEES!$H$2:$H$1501,"NOTABLE",DONNEES!$L$2:$L$1501,"Incorrect",DONNEES!$F$2:$F$1501,$A112)</f>
        <v>0</v>
      </c>
      <c r="F112" s="4" t="n">
        <f aca="false">COUNTIFS(DONNEES!$H$2:$H$1501,"NOTABLE",DONNEES!$L$2:$L$1501,"Hors sujet",DONNEES!$F$2:$F$1501,$A112)</f>
        <v>0</v>
      </c>
      <c r="G112" s="25" t="n">
        <f aca="false">IF($B112=0,"",C112/$B112)</f>
        <v>1</v>
      </c>
      <c r="H112" s="25" t="n">
        <f aca="false">IF($B112=0,"",D112/$B112)</f>
        <v>0</v>
      </c>
      <c r="I112" s="25" t="n">
        <f aca="false">IF($B112=0,"",E112/$B112)</f>
        <v>0</v>
      </c>
      <c r="J112" s="25" t="n">
        <f aca="false">IF($B112=0,"",F112/$B112)</f>
        <v>0</v>
      </c>
      <c r="K112" s="26" t="n">
        <f aca="false">IFERROR(AVERAGEIFS(DONNEES!$O$2:$O$1501,DONNEES!$F$2:$F$1501,$A112),"")</f>
        <v>17.896</v>
      </c>
    </row>
    <row r="113" customFormat="false" ht="15" hidden="false" customHeight="false" outlineLevel="0" collapsed="false">
      <c r="A113" s="4" t="s">
        <v>1947</v>
      </c>
      <c r="B113" s="4" t="n">
        <f aca="false">COUNTIFS(DONNEES!$H$2:$H$1501,"NOTABLE",DONNEES!$L$2:$L$1501,"Correct",DONNEES!$F$2:$F$1501,$A113)+COUNTIFS(DONNEES!$H$2:$H$1501,"NOTABLE",DONNEES!$L$2:$L$1501,"Pas d’info à tort",DONNEES!$F$2:$F$1501,$A113)+COUNTIFS(DONNEES!$H$2:$H$1501,"NOTABLE",DONNEES!$L$2:$L$1501,"Incorrect",DONNEES!$F$2:$F$1501,$A113)+COUNTIFS(DONNEES!$H$2:$H$1501,"NOTABLE",DONNEES!$L$2:$L$1501,"Hors sujet",DONNEES!$F$2:$F$1501,$A113)</f>
        <v>5</v>
      </c>
      <c r="C113" s="4" t="n">
        <f aca="false">COUNTIFS(DONNEES!$H$2:$H$1501,"NOTABLE",DONNEES!$L$2:$L$1501,"Correct",DONNEES!$F$2:$F$1501,$A113)</f>
        <v>5</v>
      </c>
      <c r="D113" s="4" t="n">
        <f aca="false">COUNTIFS(DONNEES!$H$2:$H$1501,"NOTABLE",DONNEES!$L$2:$L$1501,"Pas d’info à tort",DONNEES!$F$2:$F$1501,$A113)</f>
        <v>0</v>
      </c>
      <c r="E113" s="4" t="n">
        <f aca="false">COUNTIFS(DONNEES!$H$2:$H$1501,"NOTABLE",DONNEES!$L$2:$L$1501,"Incorrect",DONNEES!$F$2:$F$1501,$A113)</f>
        <v>0</v>
      </c>
      <c r="F113" s="4" t="n">
        <f aca="false">COUNTIFS(DONNEES!$H$2:$H$1501,"NOTABLE",DONNEES!$L$2:$L$1501,"Hors sujet",DONNEES!$F$2:$F$1501,$A113)</f>
        <v>0</v>
      </c>
      <c r="G113" s="25" t="n">
        <f aca="false">IF($B113=0,"",C113/$B113)</f>
        <v>1</v>
      </c>
      <c r="H113" s="25" t="n">
        <f aca="false">IF($B113=0,"",D113/$B113)</f>
        <v>0</v>
      </c>
      <c r="I113" s="25" t="n">
        <f aca="false">IF($B113=0,"",E113/$B113)</f>
        <v>0</v>
      </c>
      <c r="J113" s="25" t="n">
        <f aca="false">IF($B113=0,"",F113/$B113)</f>
        <v>0</v>
      </c>
      <c r="K113" s="26" t="n">
        <f aca="false">IFERROR(AVERAGEIFS(DONNEES!$O$2:$O$1501,DONNEES!$F$2:$F$1501,$A113),"")</f>
        <v>18.066</v>
      </c>
    </row>
  </sheetData>
  <conditionalFormatting sqref="G5:G113">
    <cfRule type="colorScale" priority="2">
      <colorScale>
        <cfvo type="num" val="0.4"/>
        <cfvo type="num" val="0.8"/>
        <cfvo type="num" val="1"/>
        <color rgb="FFF6D5D5"/>
        <color rgb="FFFFFFFF"/>
        <color rgb="FFD9F2E8"/>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9"/>
    <col collapsed="false" customWidth="true" hidden="false" outlineLevel="0" max="4" min="4" style="0" width="13"/>
    <col collapsed="false" customWidth="true" hidden="false" outlineLevel="0" max="5" min="5" style="0" width="11"/>
    <col collapsed="false" customWidth="true" hidden="false" outlineLevel="0" max="7" min="6" style="0" width="10"/>
    <col collapsed="false" customWidth="true" hidden="false" outlineLevel="0" max="8" min="8" style="0" width="11"/>
    <col collapsed="false" customWidth="true" hidden="false" outlineLevel="0" max="9" min="9" style="0" width="9"/>
    <col collapsed="false" customWidth="true" hidden="false" outlineLevel="0" max="10" min="10" style="0" width="10"/>
    <col collapsed="false" customWidth="true" hidden="false" outlineLevel="0" max="11" min="11" style="0" width="11"/>
  </cols>
  <sheetData>
    <row r="1" customFormat="false" ht="18.55" hidden="false" customHeight="false" outlineLevel="0" collapsed="false">
      <c r="A1" s="1" t="s">
        <v>5384</v>
      </c>
    </row>
    <row r="4" customFormat="false" ht="23.85" hidden="false" customHeight="false" outlineLevel="0" collapsed="false">
      <c r="A4" s="3" t="s">
        <v>80</v>
      </c>
      <c r="B4" s="3" t="s">
        <v>5369</v>
      </c>
      <c r="C4" s="3" t="s">
        <v>36</v>
      </c>
      <c r="D4" s="3" t="s">
        <v>5370</v>
      </c>
      <c r="E4" s="3" t="s">
        <v>5371</v>
      </c>
      <c r="F4" s="3" t="s">
        <v>39</v>
      </c>
      <c r="G4" s="3" t="s">
        <v>5372</v>
      </c>
      <c r="H4" s="3" t="s">
        <v>5373</v>
      </c>
      <c r="I4" s="3" t="s">
        <v>5374</v>
      </c>
      <c r="J4" s="3" t="s">
        <v>5375</v>
      </c>
      <c r="K4" s="3" t="s">
        <v>5376</v>
      </c>
    </row>
    <row r="5" customFormat="false" ht="15" hidden="false" customHeight="false" outlineLevel="0" collapsed="false">
      <c r="A5" s="4" t="s">
        <v>135</v>
      </c>
      <c r="B5" s="4" t="n">
        <f aca="false">COUNTIFS(DONNEES!$H$2:$H$1501,"NOTABLE",DONNEES!$L$2:$L$1501,"Correct",DONNEES!$D$2:$D$1501,$A5)+COUNTIFS(DONNEES!$H$2:$H$1501,"NOTABLE",DONNEES!$L$2:$L$1501,"Pas d’info à tort",DONNEES!$D$2:$D$1501,$A5)+COUNTIFS(DONNEES!$H$2:$H$1501,"NOTABLE",DONNEES!$L$2:$L$1501,"Incorrect",DONNEES!$D$2:$D$1501,$A5)+COUNTIFS(DONNEES!$H$2:$H$1501,"NOTABLE",DONNEES!$L$2:$L$1501,"Hors sujet",DONNEES!$D$2:$D$1501,$A5)</f>
        <v>676</v>
      </c>
      <c r="C5" s="4" t="n">
        <f aca="false">COUNTIFS(DONNEES!$H$2:$H$1501,"NOTABLE",DONNEES!$L$2:$L$1501,"Correct",DONNEES!$D$2:$D$1501,$A5)</f>
        <v>553</v>
      </c>
      <c r="D5" s="4" t="n">
        <f aca="false">COUNTIFS(DONNEES!$H$2:$H$1501,"NOTABLE",DONNEES!$L$2:$L$1501,"Pas d’info à tort",DONNEES!$D$2:$D$1501,$A5)</f>
        <v>94</v>
      </c>
      <c r="E5" s="4" t="n">
        <f aca="false">COUNTIFS(DONNEES!$H$2:$H$1501,"NOTABLE",DONNEES!$L$2:$L$1501,"Incorrect",DONNEES!$D$2:$D$1501,$A5)</f>
        <v>16</v>
      </c>
      <c r="F5" s="4" t="n">
        <f aca="false">COUNTIFS(DONNEES!$H$2:$H$1501,"NOTABLE",DONNEES!$L$2:$L$1501,"Hors sujet",DONNEES!$D$2:$D$1501,$A5)</f>
        <v>13</v>
      </c>
      <c r="G5" s="25" t="n">
        <f aca="false">IF($B5=0,"",C5/$B5)</f>
        <v>0.818047337278107</v>
      </c>
      <c r="H5" s="25" t="n">
        <f aca="false">IF($B5=0,"",D5/$B5)</f>
        <v>0.13905325443787</v>
      </c>
      <c r="I5" s="25" t="n">
        <f aca="false">IF($B5=0,"",E5/$B5)</f>
        <v>0.0236686390532544</v>
      </c>
      <c r="J5" s="25" t="n">
        <f aca="false">IF($B5=0,"",F5/$B5)</f>
        <v>0.0192307692307692</v>
      </c>
      <c r="K5" s="26" t="n">
        <f aca="false">IFERROR(AVERAGEIFS(DONNEES!$O$2:$O$1501,DONNEES!$D$2:$D$1501,$A5),"")</f>
        <v>18.3458503401361</v>
      </c>
    </row>
    <row r="6" customFormat="false" ht="15" hidden="false" customHeight="false" outlineLevel="0" collapsed="false">
      <c r="A6" s="4" t="s">
        <v>97</v>
      </c>
      <c r="B6" s="4" t="n">
        <f aca="false">COUNTIFS(DONNEES!$H$2:$H$1501,"NOTABLE",DONNEES!$L$2:$L$1501,"Correct",DONNEES!$D$2:$D$1501,$A6)+COUNTIFS(DONNEES!$H$2:$H$1501,"NOTABLE",DONNEES!$L$2:$L$1501,"Pas d’info à tort",DONNEES!$D$2:$D$1501,$A6)+COUNTIFS(DONNEES!$H$2:$H$1501,"NOTABLE",DONNEES!$L$2:$L$1501,"Incorrect",DONNEES!$D$2:$D$1501,$A6)+COUNTIFS(DONNEES!$H$2:$H$1501,"NOTABLE",DONNEES!$L$2:$L$1501,"Hors sujet",DONNEES!$D$2:$D$1501,$A6)</f>
        <v>689</v>
      </c>
      <c r="C6" s="4" t="n">
        <f aca="false">COUNTIFS(DONNEES!$H$2:$H$1501,"NOTABLE",DONNEES!$L$2:$L$1501,"Correct",DONNEES!$D$2:$D$1501,$A6)</f>
        <v>554</v>
      </c>
      <c r="D6" s="4" t="n">
        <f aca="false">COUNTIFS(DONNEES!$H$2:$H$1501,"NOTABLE",DONNEES!$L$2:$L$1501,"Pas d’info à tort",DONNEES!$D$2:$D$1501,$A6)</f>
        <v>92</v>
      </c>
      <c r="E6" s="4" t="n">
        <f aca="false">COUNTIFS(DONNEES!$H$2:$H$1501,"NOTABLE",DONNEES!$L$2:$L$1501,"Incorrect",DONNEES!$D$2:$D$1501,$A6)</f>
        <v>33</v>
      </c>
      <c r="F6" s="4" t="n">
        <f aca="false">COUNTIFS(DONNEES!$H$2:$H$1501,"NOTABLE",DONNEES!$L$2:$L$1501,"Hors sujet",DONNEES!$D$2:$D$1501,$A6)</f>
        <v>10</v>
      </c>
      <c r="G6" s="25" t="n">
        <f aca="false">IF($B6=0,"",C6/$B6)</f>
        <v>0.804063860667634</v>
      </c>
      <c r="H6" s="25" t="n">
        <f aca="false">IF($B6=0,"",D6/$B6)</f>
        <v>0.133526850507983</v>
      </c>
      <c r="I6" s="25" t="n">
        <f aca="false">IF($B6=0,"",E6/$B6)</f>
        <v>0.0478955007256894</v>
      </c>
      <c r="J6" s="25" t="n">
        <f aca="false">IF($B6=0,"",F6/$B6)</f>
        <v>0.0145137880986938</v>
      </c>
      <c r="K6" s="26" t="n">
        <f aca="false">IFERROR(AVERAGEIFS(DONNEES!$O$2:$O$1501,DONNEES!$D$2:$D$1501,$A6),"")</f>
        <v>18.5574666666667</v>
      </c>
    </row>
  </sheetData>
  <conditionalFormatting sqref="G5:G6">
    <cfRule type="colorScale" priority="2">
      <colorScale>
        <cfvo type="num" val="0.4"/>
        <cfvo type="num" val="0.8"/>
        <cfvo type="num" val="1"/>
        <color rgb="FFF6D5D5"/>
        <color rgb="FFFFFFFF"/>
        <color rgb="FFD9F2E8"/>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9" min="2" style="0" width="13"/>
  </cols>
  <sheetData>
    <row r="1" customFormat="false" ht="18.55" hidden="false" customHeight="false" outlineLevel="0" collapsed="false">
      <c r="A1" s="1" t="s">
        <v>5385</v>
      </c>
    </row>
    <row r="2" customFormat="false" ht="15" hidden="false" customHeight="false" outlineLevel="0" collapsed="false">
      <c r="A2" s="2" t="s">
        <v>5386</v>
      </c>
    </row>
    <row r="4" customFormat="false" ht="15" hidden="false" customHeight="false" outlineLevel="0" collapsed="false">
      <c r="A4" s="3" t="s">
        <v>5387</v>
      </c>
      <c r="B4" s="3" t="s">
        <v>5388</v>
      </c>
      <c r="C4" s="3" t="s">
        <v>5389</v>
      </c>
      <c r="D4" s="3" t="s">
        <v>5390</v>
      </c>
      <c r="E4" s="3" t="s">
        <v>5391</v>
      </c>
      <c r="F4" s="3" t="s">
        <v>5392</v>
      </c>
      <c r="G4" s="3" t="s">
        <v>5393</v>
      </c>
    </row>
    <row r="5" customFormat="false" ht="15" hidden="false" customHeight="false" outlineLevel="0" collapsed="false">
      <c r="A5" s="4" t="s">
        <v>158</v>
      </c>
      <c r="B5" s="27" t="n">
        <f aca="false">IFERROR(COUNTIFS(DONNEES!$H$2:$H$1501,"NOTABLE",DONNEES!$L$2:$L$1501,"Correct",DONNEES!$E$2:$E$1501,$A5,DONNEES!$C$2:$C$1501,1)/(COUNTIFS(DONNEES!$H$2:$H$1501,"NOTABLE",DONNEES!$L$2:$L$1501,"Correct",DONNEES!$E$2:$E$1501,$A5,DONNEES!$C$2:$C$1501,1)+COUNTIFS(DONNEES!$H$2:$H$1501,"NOTABLE",DONNEES!$L$2:$L$1501,"Pas d’info à tort",DONNEES!$E$2:$E$1501,$A5,DONNEES!$C$2:$C$1501,1)+COUNTIFS(DONNEES!$H$2:$H$1501,"NOTABLE",DONNEES!$L$2:$L$1501,"Incorrect",DONNEES!$E$2:$E$1501,$A5,DONNEES!$C$2:$C$1501,1)+COUNTIFS(DONNEES!$H$2:$H$1501,"NOTABLE",DONNEES!$L$2:$L$1501,"Hors sujet",DONNEES!$E$2:$E$1501,$A5,DONNEES!$C$2:$C$1501,1)),"")</f>
        <v>0.5</v>
      </c>
      <c r="C5" s="27" t="n">
        <f aca="false">IFERROR(COUNTIFS(DONNEES!$H$2:$H$1501,"NOTABLE",DONNEES!$L$2:$L$1501,"Correct",DONNEES!$E$2:$E$1501,$A5,DONNEES!$C$2:$C$1501,2)/(COUNTIFS(DONNEES!$H$2:$H$1501,"NOTABLE",DONNEES!$L$2:$L$1501,"Correct",DONNEES!$E$2:$E$1501,$A5,DONNEES!$C$2:$C$1501,2)+COUNTIFS(DONNEES!$H$2:$H$1501,"NOTABLE",DONNEES!$L$2:$L$1501,"Pas d’info à tort",DONNEES!$E$2:$E$1501,$A5,DONNEES!$C$2:$C$1501,2)+COUNTIFS(DONNEES!$H$2:$H$1501,"NOTABLE",DONNEES!$L$2:$L$1501,"Incorrect",DONNEES!$E$2:$E$1501,$A5,DONNEES!$C$2:$C$1501,2)+COUNTIFS(DONNEES!$H$2:$H$1501,"NOTABLE",DONNEES!$L$2:$L$1501,"Hors sujet",DONNEES!$E$2:$E$1501,$A5,DONNEES!$C$2:$C$1501,2)),"")</f>
        <v>0.5</v>
      </c>
      <c r="D5" s="27" t="n">
        <f aca="false">IFERROR(COUNTIFS(DONNEES!$H$2:$H$1501,"NOTABLE",DONNEES!$L$2:$L$1501,"Correct",DONNEES!$E$2:$E$1501,$A5,DONNEES!$C$2:$C$1501,3)/(COUNTIFS(DONNEES!$H$2:$H$1501,"NOTABLE",DONNEES!$L$2:$L$1501,"Correct",DONNEES!$E$2:$E$1501,$A5,DONNEES!$C$2:$C$1501,3)+COUNTIFS(DONNEES!$H$2:$H$1501,"NOTABLE",DONNEES!$L$2:$L$1501,"Pas d’info à tort",DONNEES!$E$2:$E$1501,$A5,DONNEES!$C$2:$C$1501,3)+COUNTIFS(DONNEES!$H$2:$H$1501,"NOTABLE",DONNEES!$L$2:$L$1501,"Incorrect",DONNEES!$E$2:$E$1501,$A5,DONNEES!$C$2:$C$1501,3)+COUNTIFS(DONNEES!$H$2:$H$1501,"NOTABLE",DONNEES!$L$2:$L$1501,"Hors sujet",DONNEES!$E$2:$E$1501,$A5,DONNEES!$C$2:$C$1501,3)),"")</f>
        <v>0.416666666666667</v>
      </c>
      <c r="E5" s="27" t="n">
        <f aca="false">IFERROR(COUNTIFS(DONNEES!$H$2:$H$1501,"NOTABLE",DONNEES!$L$2:$L$1501,"Correct",DONNEES!$E$2:$E$1501,$A5,DONNEES!$C$2:$C$1501,4)/(COUNTIFS(DONNEES!$H$2:$H$1501,"NOTABLE",DONNEES!$L$2:$L$1501,"Correct",DONNEES!$E$2:$E$1501,$A5,DONNEES!$C$2:$C$1501,4)+COUNTIFS(DONNEES!$H$2:$H$1501,"NOTABLE",DONNEES!$L$2:$L$1501,"Pas d’info à tort",DONNEES!$E$2:$E$1501,$A5,DONNEES!$C$2:$C$1501,4)+COUNTIFS(DONNEES!$H$2:$H$1501,"NOTABLE",DONNEES!$L$2:$L$1501,"Incorrect",DONNEES!$E$2:$E$1501,$A5,DONNEES!$C$2:$C$1501,4)+COUNTIFS(DONNEES!$H$2:$H$1501,"NOTABLE",DONNEES!$L$2:$L$1501,"Hors sujet",DONNEES!$E$2:$E$1501,$A5,DONNEES!$C$2:$C$1501,4)),"")</f>
        <v>0.375</v>
      </c>
      <c r="F5" s="27" t="n">
        <f aca="false">IFERROR(COUNTIFS(DONNEES!$H$2:$H$1501,"NOTABLE",DONNEES!$L$2:$L$1501,"Correct",DONNEES!$E$2:$E$1501,$A5,DONNEES!$C$2:$C$1501,5)/(COUNTIFS(DONNEES!$H$2:$H$1501,"NOTABLE",DONNEES!$L$2:$L$1501,"Correct",DONNEES!$E$2:$E$1501,$A5,DONNEES!$C$2:$C$1501,5)+COUNTIFS(DONNEES!$H$2:$H$1501,"NOTABLE",DONNEES!$L$2:$L$1501,"Pas d’info à tort",DONNEES!$E$2:$E$1501,$A5,DONNEES!$C$2:$C$1501,5)+COUNTIFS(DONNEES!$H$2:$H$1501,"NOTABLE",DONNEES!$L$2:$L$1501,"Incorrect",DONNEES!$E$2:$E$1501,$A5,DONNEES!$C$2:$C$1501,5)+COUNTIFS(DONNEES!$H$2:$H$1501,"NOTABLE",DONNEES!$L$2:$L$1501,"Hors sujet",DONNEES!$E$2:$E$1501,$A5,DONNEES!$C$2:$C$1501,5)),"")</f>
        <v>0.571428571428571</v>
      </c>
      <c r="G5" s="27" t="n">
        <f aca="false">IFERROR(COUNTIFS(DONNEES!$H$2:$H$1501,"NOTABLE",DONNEES!$L$2:$L$1501,"Correct",DONNEES!$E$2:$E$1501,$A5)/(COUNTIFS(DONNEES!$H$2:$H$1501,"NOTABLE",DONNEES!$L$2:$L$1501,"Correct",DONNEES!$E$2:$E$1501,$A5)+COUNTIFS(DONNEES!$H$2:$H$1501,"NOTABLE",DONNEES!$L$2:$L$1501,"Pas d’info à tort",DONNEES!$E$2:$E$1501,$A5)+COUNTIFS(DONNEES!$H$2:$H$1501,"NOTABLE",DONNEES!$L$2:$L$1501,"Incorrect",DONNEES!$E$2:$E$1501,$A5)+COUNTIFS(DONNEES!$H$2:$H$1501,"NOTABLE",DONNEES!$L$2:$L$1501,"Hors sujet",DONNEES!$E$2:$E$1501,$A5)),"")</f>
        <v>0.481818181818182</v>
      </c>
    </row>
    <row r="6" customFormat="false" ht="15" hidden="false" customHeight="false" outlineLevel="0" collapsed="false">
      <c r="A6" s="4" t="s">
        <v>122</v>
      </c>
      <c r="B6" s="27" t="n">
        <f aca="false">IFERROR(COUNTIFS(DONNEES!$H$2:$H$1501,"NOTABLE",DONNEES!$L$2:$L$1501,"Correct",DONNEES!$E$2:$E$1501,$A6,DONNEES!$C$2:$C$1501,1)/(COUNTIFS(DONNEES!$H$2:$H$1501,"NOTABLE",DONNEES!$L$2:$L$1501,"Correct",DONNEES!$E$2:$E$1501,$A6,DONNEES!$C$2:$C$1501,1)+COUNTIFS(DONNEES!$H$2:$H$1501,"NOTABLE",DONNEES!$L$2:$L$1501,"Pas d’info à tort",DONNEES!$E$2:$E$1501,$A6,DONNEES!$C$2:$C$1501,1)+COUNTIFS(DONNEES!$H$2:$H$1501,"NOTABLE",DONNEES!$L$2:$L$1501,"Incorrect",DONNEES!$E$2:$E$1501,$A6,DONNEES!$C$2:$C$1501,1)+COUNTIFS(DONNEES!$H$2:$H$1501,"NOTABLE",DONNEES!$L$2:$L$1501,"Hors sujet",DONNEES!$E$2:$E$1501,$A6,DONNEES!$C$2:$C$1501,1)),"")</f>
        <v>0.737704918032787</v>
      </c>
      <c r="C6" s="27" t="n">
        <f aca="false">IFERROR(COUNTIFS(DONNEES!$H$2:$H$1501,"NOTABLE",DONNEES!$L$2:$L$1501,"Correct",DONNEES!$E$2:$E$1501,$A6,DONNEES!$C$2:$C$1501,2)/(COUNTIFS(DONNEES!$H$2:$H$1501,"NOTABLE",DONNEES!$L$2:$L$1501,"Correct",DONNEES!$E$2:$E$1501,$A6,DONNEES!$C$2:$C$1501,2)+COUNTIFS(DONNEES!$H$2:$H$1501,"NOTABLE",DONNEES!$L$2:$L$1501,"Pas d’info à tort",DONNEES!$E$2:$E$1501,$A6,DONNEES!$C$2:$C$1501,2)+COUNTIFS(DONNEES!$H$2:$H$1501,"NOTABLE",DONNEES!$L$2:$L$1501,"Incorrect",DONNEES!$E$2:$E$1501,$A6,DONNEES!$C$2:$C$1501,2)+COUNTIFS(DONNEES!$H$2:$H$1501,"NOTABLE",DONNEES!$L$2:$L$1501,"Hors sujet",DONNEES!$E$2:$E$1501,$A6,DONNEES!$C$2:$C$1501,2)),"")</f>
        <v>0.680851063829787</v>
      </c>
      <c r="D6" s="27" t="n">
        <f aca="false">IFERROR(COUNTIFS(DONNEES!$H$2:$H$1501,"NOTABLE",DONNEES!$L$2:$L$1501,"Correct",DONNEES!$E$2:$E$1501,$A6,DONNEES!$C$2:$C$1501,3)/(COUNTIFS(DONNEES!$H$2:$H$1501,"NOTABLE",DONNEES!$L$2:$L$1501,"Correct",DONNEES!$E$2:$E$1501,$A6,DONNEES!$C$2:$C$1501,3)+COUNTIFS(DONNEES!$H$2:$H$1501,"NOTABLE",DONNEES!$L$2:$L$1501,"Pas d’info à tort",DONNEES!$E$2:$E$1501,$A6,DONNEES!$C$2:$C$1501,3)+COUNTIFS(DONNEES!$H$2:$H$1501,"NOTABLE",DONNEES!$L$2:$L$1501,"Incorrect",DONNEES!$E$2:$E$1501,$A6,DONNEES!$C$2:$C$1501,3)+COUNTIFS(DONNEES!$H$2:$H$1501,"NOTABLE",DONNEES!$L$2:$L$1501,"Hors sujet",DONNEES!$E$2:$E$1501,$A6,DONNEES!$C$2:$C$1501,3)),"")</f>
        <v>0.777777777777778</v>
      </c>
      <c r="E6" s="27" t="n">
        <f aca="false">IFERROR(COUNTIFS(DONNEES!$H$2:$H$1501,"NOTABLE",DONNEES!$L$2:$L$1501,"Correct",DONNEES!$E$2:$E$1501,$A6,DONNEES!$C$2:$C$1501,4)/(COUNTIFS(DONNEES!$H$2:$H$1501,"NOTABLE",DONNEES!$L$2:$L$1501,"Correct",DONNEES!$E$2:$E$1501,$A6,DONNEES!$C$2:$C$1501,4)+COUNTIFS(DONNEES!$H$2:$H$1501,"NOTABLE",DONNEES!$L$2:$L$1501,"Pas d’info à tort",DONNEES!$E$2:$E$1501,$A6,DONNEES!$C$2:$C$1501,4)+COUNTIFS(DONNEES!$H$2:$H$1501,"NOTABLE",DONNEES!$L$2:$L$1501,"Incorrect",DONNEES!$E$2:$E$1501,$A6,DONNEES!$C$2:$C$1501,4)+COUNTIFS(DONNEES!$H$2:$H$1501,"NOTABLE",DONNEES!$L$2:$L$1501,"Hors sujet",DONNEES!$E$2:$E$1501,$A6,DONNEES!$C$2:$C$1501,4)),"")</f>
        <v>0.909090909090909</v>
      </c>
      <c r="F6" s="27" t="n">
        <f aca="false">IFERROR(COUNTIFS(DONNEES!$H$2:$H$1501,"NOTABLE",DONNEES!$L$2:$L$1501,"Correct",DONNEES!$E$2:$E$1501,$A6,DONNEES!$C$2:$C$1501,5)/(COUNTIFS(DONNEES!$H$2:$H$1501,"NOTABLE",DONNEES!$L$2:$L$1501,"Correct",DONNEES!$E$2:$E$1501,$A6,DONNEES!$C$2:$C$1501,5)+COUNTIFS(DONNEES!$H$2:$H$1501,"NOTABLE",DONNEES!$L$2:$L$1501,"Pas d’info à tort",DONNEES!$E$2:$E$1501,$A6,DONNEES!$C$2:$C$1501,5)+COUNTIFS(DONNEES!$H$2:$H$1501,"NOTABLE",DONNEES!$L$2:$L$1501,"Incorrect",DONNEES!$E$2:$E$1501,$A6,DONNEES!$C$2:$C$1501,5)+COUNTIFS(DONNEES!$H$2:$H$1501,"NOTABLE",DONNEES!$L$2:$L$1501,"Hors sujet",DONNEES!$E$2:$E$1501,$A6,DONNEES!$C$2:$C$1501,5)),"")</f>
        <v>0.805970149253731</v>
      </c>
      <c r="G6" s="27" t="n">
        <f aca="false">IFERROR(COUNTIFS(DONNEES!$H$2:$H$1501,"NOTABLE",DONNEES!$L$2:$L$1501,"Correct",DONNEES!$E$2:$E$1501,$A6)/(COUNTIFS(DONNEES!$H$2:$H$1501,"NOTABLE",DONNEES!$L$2:$L$1501,"Correct",DONNEES!$E$2:$E$1501,$A6)+COUNTIFS(DONNEES!$H$2:$H$1501,"NOTABLE",DONNEES!$L$2:$L$1501,"Pas d’info à tort",DONNEES!$E$2:$E$1501,$A6)+COUNTIFS(DONNEES!$H$2:$H$1501,"NOTABLE",DONNEES!$L$2:$L$1501,"Incorrect",DONNEES!$E$2:$E$1501,$A6)+COUNTIFS(DONNEES!$H$2:$H$1501,"NOTABLE",DONNEES!$L$2:$L$1501,"Hors sujet",DONNEES!$E$2:$E$1501,$A6)),"")</f>
        <v>0.774809160305344</v>
      </c>
    </row>
    <row r="7" customFormat="false" ht="15" hidden="false" customHeight="false" outlineLevel="0" collapsed="false">
      <c r="A7" s="4" t="s">
        <v>171</v>
      </c>
      <c r="B7" s="27" t="n">
        <f aca="false">IFERROR(COUNTIFS(DONNEES!$H$2:$H$1501,"NOTABLE",DONNEES!$L$2:$L$1501,"Correct",DONNEES!$E$2:$E$1501,$A7,DONNEES!$C$2:$C$1501,1)/(COUNTIFS(DONNEES!$H$2:$H$1501,"NOTABLE",DONNEES!$L$2:$L$1501,"Correct",DONNEES!$E$2:$E$1501,$A7,DONNEES!$C$2:$C$1501,1)+COUNTIFS(DONNEES!$H$2:$H$1501,"NOTABLE",DONNEES!$L$2:$L$1501,"Pas d’info à tort",DONNEES!$E$2:$E$1501,$A7,DONNEES!$C$2:$C$1501,1)+COUNTIFS(DONNEES!$H$2:$H$1501,"NOTABLE",DONNEES!$L$2:$L$1501,"Incorrect",DONNEES!$E$2:$E$1501,$A7,DONNEES!$C$2:$C$1501,1)+COUNTIFS(DONNEES!$H$2:$H$1501,"NOTABLE",DONNEES!$L$2:$L$1501,"Hors sujet",DONNEES!$E$2:$E$1501,$A7,DONNEES!$C$2:$C$1501,1)),"")</f>
        <v>0.892857142857143</v>
      </c>
      <c r="C7" s="27" t="n">
        <f aca="false">IFERROR(COUNTIFS(DONNEES!$H$2:$H$1501,"NOTABLE",DONNEES!$L$2:$L$1501,"Correct",DONNEES!$E$2:$E$1501,$A7,DONNEES!$C$2:$C$1501,2)/(COUNTIFS(DONNEES!$H$2:$H$1501,"NOTABLE",DONNEES!$L$2:$L$1501,"Correct",DONNEES!$E$2:$E$1501,$A7,DONNEES!$C$2:$C$1501,2)+COUNTIFS(DONNEES!$H$2:$H$1501,"NOTABLE",DONNEES!$L$2:$L$1501,"Pas d’info à tort",DONNEES!$E$2:$E$1501,$A7,DONNEES!$C$2:$C$1501,2)+COUNTIFS(DONNEES!$H$2:$H$1501,"NOTABLE",DONNEES!$L$2:$L$1501,"Incorrect",DONNEES!$E$2:$E$1501,$A7,DONNEES!$C$2:$C$1501,2)+COUNTIFS(DONNEES!$H$2:$H$1501,"NOTABLE",DONNEES!$L$2:$L$1501,"Hors sujet",DONNEES!$E$2:$E$1501,$A7,DONNEES!$C$2:$C$1501,2)),"")</f>
        <v>0.75</v>
      </c>
      <c r="D7" s="27" t="n">
        <f aca="false">IFERROR(COUNTIFS(DONNEES!$H$2:$H$1501,"NOTABLE",DONNEES!$L$2:$L$1501,"Correct",DONNEES!$E$2:$E$1501,$A7,DONNEES!$C$2:$C$1501,3)/(COUNTIFS(DONNEES!$H$2:$H$1501,"NOTABLE",DONNEES!$L$2:$L$1501,"Correct",DONNEES!$E$2:$E$1501,$A7,DONNEES!$C$2:$C$1501,3)+COUNTIFS(DONNEES!$H$2:$H$1501,"NOTABLE",DONNEES!$L$2:$L$1501,"Pas d’info à tort",DONNEES!$E$2:$E$1501,$A7,DONNEES!$C$2:$C$1501,3)+COUNTIFS(DONNEES!$H$2:$H$1501,"NOTABLE",DONNEES!$L$2:$L$1501,"Incorrect",DONNEES!$E$2:$E$1501,$A7,DONNEES!$C$2:$C$1501,3)+COUNTIFS(DONNEES!$H$2:$H$1501,"NOTABLE",DONNEES!$L$2:$L$1501,"Hors sujet",DONNEES!$E$2:$E$1501,$A7,DONNEES!$C$2:$C$1501,3)),"")</f>
        <v>0.769230769230769</v>
      </c>
      <c r="E7" s="27" t="n">
        <f aca="false">IFERROR(COUNTIFS(DONNEES!$H$2:$H$1501,"NOTABLE",DONNEES!$L$2:$L$1501,"Correct",DONNEES!$E$2:$E$1501,$A7,DONNEES!$C$2:$C$1501,4)/(COUNTIFS(DONNEES!$H$2:$H$1501,"NOTABLE",DONNEES!$L$2:$L$1501,"Correct",DONNEES!$E$2:$E$1501,$A7,DONNEES!$C$2:$C$1501,4)+COUNTIFS(DONNEES!$H$2:$H$1501,"NOTABLE",DONNEES!$L$2:$L$1501,"Pas d’info à tort",DONNEES!$E$2:$E$1501,$A7,DONNEES!$C$2:$C$1501,4)+COUNTIFS(DONNEES!$H$2:$H$1501,"NOTABLE",DONNEES!$L$2:$L$1501,"Incorrect",DONNEES!$E$2:$E$1501,$A7,DONNEES!$C$2:$C$1501,4)+COUNTIFS(DONNEES!$H$2:$H$1501,"NOTABLE",DONNEES!$L$2:$L$1501,"Hors sujet",DONNEES!$E$2:$E$1501,$A7,DONNEES!$C$2:$C$1501,4)),"")</f>
        <v>0.772727272727273</v>
      </c>
      <c r="F7" s="27" t="n">
        <f aca="false">IFERROR(COUNTIFS(DONNEES!$H$2:$H$1501,"NOTABLE",DONNEES!$L$2:$L$1501,"Correct",DONNEES!$E$2:$E$1501,$A7,DONNEES!$C$2:$C$1501,5)/(COUNTIFS(DONNEES!$H$2:$H$1501,"NOTABLE",DONNEES!$L$2:$L$1501,"Correct",DONNEES!$E$2:$E$1501,$A7,DONNEES!$C$2:$C$1501,5)+COUNTIFS(DONNEES!$H$2:$H$1501,"NOTABLE",DONNEES!$L$2:$L$1501,"Pas d’info à tort",DONNEES!$E$2:$E$1501,$A7,DONNEES!$C$2:$C$1501,5)+COUNTIFS(DONNEES!$H$2:$H$1501,"NOTABLE",DONNEES!$L$2:$L$1501,"Incorrect",DONNEES!$E$2:$E$1501,$A7,DONNEES!$C$2:$C$1501,5)+COUNTIFS(DONNEES!$H$2:$H$1501,"NOTABLE",DONNEES!$L$2:$L$1501,"Hors sujet",DONNEES!$E$2:$E$1501,$A7,DONNEES!$C$2:$C$1501,5)),"")</f>
        <v>0.769230769230769</v>
      </c>
      <c r="G7" s="27" t="n">
        <f aca="false">IFERROR(COUNTIFS(DONNEES!$H$2:$H$1501,"NOTABLE",DONNEES!$L$2:$L$1501,"Correct",DONNEES!$E$2:$E$1501,$A7)/(COUNTIFS(DONNEES!$H$2:$H$1501,"NOTABLE",DONNEES!$L$2:$L$1501,"Correct",DONNEES!$E$2:$E$1501,$A7)+COUNTIFS(DONNEES!$H$2:$H$1501,"NOTABLE",DONNEES!$L$2:$L$1501,"Pas d’info à tort",DONNEES!$E$2:$E$1501,$A7)+COUNTIFS(DONNEES!$H$2:$H$1501,"NOTABLE",DONNEES!$L$2:$L$1501,"Incorrect",DONNEES!$E$2:$E$1501,$A7)+COUNTIFS(DONNEES!$H$2:$H$1501,"NOTABLE",DONNEES!$L$2:$L$1501,"Hors sujet",DONNEES!$E$2:$E$1501,$A7)),"")</f>
        <v>0.792592592592593</v>
      </c>
    </row>
    <row r="8" customFormat="false" ht="15" hidden="false" customHeight="false" outlineLevel="0" collapsed="false">
      <c r="A8" s="4" t="s">
        <v>570</v>
      </c>
      <c r="B8" s="27" t="n">
        <f aca="false">IFERROR(COUNTIFS(DONNEES!$H$2:$H$1501,"NOTABLE",DONNEES!$L$2:$L$1501,"Correct",DONNEES!$E$2:$E$1501,$A8,DONNEES!$C$2:$C$1501,1)/(COUNTIFS(DONNEES!$H$2:$H$1501,"NOTABLE",DONNEES!$L$2:$L$1501,"Correct",DONNEES!$E$2:$E$1501,$A8,DONNEES!$C$2:$C$1501,1)+COUNTIFS(DONNEES!$H$2:$H$1501,"NOTABLE",DONNEES!$L$2:$L$1501,"Pas d’info à tort",DONNEES!$E$2:$E$1501,$A8,DONNEES!$C$2:$C$1501,1)+COUNTIFS(DONNEES!$H$2:$H$1501,"NOTABLE",DONNEES!$L$2:$L$1501,"Incorrect",DONNEES!$E$2:$E$1501,$A8,DONNEES!$C$2:$C$1501,1)+COUNTIFS(DONNEES!$H$2:$H$1501,"NOTABLE",DONNEES!$L$2:$L$1501,"Hors sujet",DONNEES!$E$2:$E$1501,$A8,DONNEES!$C$2:$C$1501,1)),"")</f>
        <v>0.840909090909091</v>
      </c>
      <c r="C8" s="27" t="n">
        <f aca="false">IFERROR(COUNTIFS(DONNEES!$H$2:$H$1501,"NOTABLE",DONNEES!$L$2:$L$1501,"Correct",DONNEES!$E$2:$E$1501,$A8,DONNEES!$C$2:$C$1501,2)/(COUNTIFS(DONNEES!$H$2:$H$1501,"NOTABLE",DONNEES!$L$2:$L$1501,"Correct",DONNEES!$E$2:$E$1501,$A8,DONNEES!$C$2:$C$1501,2)+COUNTIFS(DONNEES!$H$2:$H$1501,"NOTABLE",DONNEES!$L$2:$L$1501,"Pas d’info à tort",DONNEES!$E$2:$E$1501,$A8,DONNEES!$C$2:$C$1501,2)+COUNTIFS(DONNEES!$H$2:$H$1501,"NOTABLE",DONNEES!$L$2:$L$1501,"Incorrect",DONNEES!$E$2:$E$1501,$A8,DONNEES!$C$2:$C$1501,2)+COUNTIFS(DONNEES!$H$2:$H$1501,"NOTABLE",DONNEES!$L$2:$L$1501,"Hors sujet",DONNEES!$E$2:$E$1501,$A8,DONNEES!$C$2:$C$1501,2)),"")</f>
        <v>0.790697674418605</v>
      </c>
      <c r="D8" s="27" t="n">
        <f aca="false">IFERROR(COUNTIFS(DONNEES!$H$2:$H$1501,"NOTABLE",DONNEES!$L$2:$L$1501,"Correct",DONNEES!$E$2:$E$1501,$A8,DONNEES!$C$2:$C$1501,3)/(COUNTIFS(DONNEES!$H$2:$H$1501,"NOTABLE",DONNEES!$L$2:$L$1501,"Correct",DONNEES!$E$2:$E$1501,$A8,DONNEES!$C$2:$C$1501,3)+COUNTIFS(DONNEES!$H$2:$H$1501,"NOTABLE",DONNEES!$L$2:$L$1501,"Pas d’info à tort",DONNEES!$E$2:$E$1501,$A8,DONNEES!$C$2:$C$1501,3)+COUNTIFS(DONNEES!$H$2:$H$1501,"NOTABLE",DONNEES!$L$2:$L$1501,"Incorrect",DONNEES!$E$2:$E$1501,$A8,DONNEES!$C$2:$C$1501,3)+COUNTIFS(DONNEES!$H$2:$H$1501,"NOTABLE",DONNEES!$L$2:$L$1501,"Hors sujet",DONNEES!$E$2:$E$1501,$A8,DONNEES!$C$2:$C$1501,3)),"")</f>
        <v>0.827586206896552</v>
      </c>
      <c r="E8" s="27" t="n">
        <f aca="false">IFERROR(COUNTIFS(DONNEES!$H$2:$H$1501,"NOTABLE",DONNEES!$L$2:$L$1501,"Correct",DONNEES!$E$2:$E$1501,$A8,DONNEES!$C$2:$C$1501,4)/(COUNTIFS(DONNEES!$H$2:$H$1501,"NOTABLE",DONNEES!$L$2:$L$1501,"Correct",DONNEES!$E$2:$E$1501,$A8,DONNEES!$C$2:$C$1501,4)+COUNTIFS(DONNEES!$H$2:$H$1501,"NOTABLE",DONNEES!$L$2:$L$1501,"Pas d’info à tort",DONNEES!$E$2:$E$1501,$A8,DONNEES!$C$2:$C$1501,4)+COUNTIFS(DONNEES!$H$2:$H$1501,"NOTABLE",DONNEES!$L$2:$L$1501,"Incorrect",DONNEES!$E$2:$E$1501,$A8,DONNEES!$C$2:$C$1501,4)+COUNTIFS(DONNEES!$H$2:$H$1501,"NOTABLE",DONNEES!$L$2:$L$1501,"Hors sujet",DONNEES!$E$2:$E$1501,$A8,DONNEES!$C$2:$C$1501,4)),"")</f>
        <v>0.833333333333333</v>
      </c>
      <c r="F8" s="27" t="n">
        <f aca="false">IFERROR(COUNTIFS(DONNEES!$H$2:$H$1501,"NOTABLE",DONNEES!$L$2:$L$1501,"Correct",DONNEES!$E$2:$E$1501,$A8,DONNEES!$C$2:$C$1501,5)/(COUNTIFS(DONNEES!$H$2:$H$1501,"NOTABLE",DONNEES!$L$2:$L$1501,"Correct",DONNEES!$E$2:$E$1501,$A8,DONNEES!$C$2:$C$1501,5)+COUNTIFS(DONNEES!$H$2:$H$1501,"NOTABLE",DONNEES!$L$2:$L$1501,"Pas d’info à tort",DONNEES!$E$2:$E$1501,$A8,DONNEES!$C$2:$C$1501,5)+COUNTIFS(DONNEES!$H$2:$H$1501,"NOTABLE",DONNEES!$L$2:$L$1501,"Incorrect",DONNEES!$E$2:$E$1501,$A8,DONNEES!$C$2:$C$1501,5)+COUNTIFS(DONNEES!$H$2:$H$1501,"NOTABLE",DONNEES!$L$2:$L$1501,"Hors sujet",DONNEES!$E$2:$E$1501,$A8,DONNEES!$C$2:$C$1501,5)),"")</f>
        <v>0.85</v>
      </c>
      <c r="G8" s="27" t="n">
        <f aca="false">IFERROR(COUNTIFS(DONNEES!$H$2:$H$1501,"NOTABLE",DONNEES!$L$2:$L$1501,"Correct",DONNEES!$E$2:$E$1501,$A8)/(COUNTIFS(DONNEES!$H$2:$H$1501,"NOTABLE",DONNEES!$L$2:$L$1501,"Correct",DONNEES!$E$2:$E$1501,$A8)+COUNTIFS(DONNEES!$H$2:$H$1501,"NOTABLE",DONNEES!$L$2:$L$1501,"Pas d’info à tort",DONNEES!$E$2:$E$1501,$A8)+COUNTIFS(DONNEES!$H$2:$H$1501,"NOTABLE",DONNEES!$L$2:$L$1501,"Incorrect",DONNEES!$E$2:$E$1501,$A8)+COUNTIFS(DONNEES!$H$2:$H$1501,"NOTABLE",DONNEES!$L$2:$L$1501,"Hors sujet",DONNEES!$E$2:$E$1501,$A8)),"")</f>
        <v>0.828125</v>
      </c>
    </row>
    <row r="9" customFormat="false" ht="15" hidden="false" customHeight="false" outlineLevel="0" collapsed="false">
      <c r="A9" s="4" t="s">
        <v>1730</v>
      </c>
      <c r="B9" s="27" t="n">
        <f aca="false">IFERROR(COUNTIFS(DONNEES!$H$2:$H$1501,"NOTABLE",DONNEES!$L$2:$L$1501,"Correct",DONNEES!$E$2:$E$1501,$A9,DONNEES!$C$2:$C$1501,1)/(COUNTIFS(DONNEES!$H$2:$H$1501,"NOTABLE",DONNEES!$L$2:$L$1501,"Correct",DONNEES!$E$2:$E$1501,$A9,DONNEES!$C$2:$C$1501,1)+COUNTIFS(DONNEES!$H$2:$H$1501,"NOTABLE",DONNEES!$L$2:$L$1501,"Pas d’info à tort",DONNEES!$E$2:$E$1501,$A9,DONNEES!$C$2:$C$1501,1)+COUNTIFS(DONNEES!$H$2:$H$1501,"NOTABLE",DONNEES!$L$2:$L$1501,"Incorrect",DONNEES!$E$2:$E$1501,$A9,DONNEES!$C$2:$C$1501,1)+COUNTIFS(DONNEES!$H$2:$H$1501,"NOTABLE",DONNEES!$L$2:$L$1501,"Hors sujet",DONNEES!$E$2:$E$1501,$A9,DONNEES!$C$2:$C$1501,1)),"")</f>
        <v>0.705882352941177</v>
      </c>
      <c r="C9" s="27" t="n">
        <f aca="false">IFERROR(COUNTIFS(DONNEES!$H$2:$H$1501,"NOTABLE",DONNEES!$L$2:$L$1501,"Correct",DONNEES!$E$2:$E$1501,$A9,DONNEES!$C$2:$C$1501,2)/(COUNTIFS(DONNEES!$H$2:$H$1501,"NOTABLE",DONNEES!$L$2:$L$1501,"Correct",DONNEES!$E$2:$E$1501,$A9,DONNEES!$C$2:$C$1501,2)+COUNTIFS(DONNEES!$H$2:$H$1501,"NOTABLE",DONNEES!$L$2:$L$1501,"Pas d’info à tort",DONNEES!$E$2:$E$1501,$A9,DONNEES!$C$2:$C$1501,2)+COUNTIFS(DONNEES!$H$2:$H$1501,"NOTABLE",DONNEES!$L$2:$L$1501,"Incorrect",DONNEES!$E$2:$E$1501,$A9,DONNEES!$C$2:$C$1501,2)+COUNTIFS(DONNEES!$H$2:$H$1501,"NOTABLE",DONNEES!$L$2:$L$1501,"Hors sujet",DONNEES!$E$2:$E$1501,$A9,DONNEES!$C$2:$C$1501,2)),"")</f>
        <v>0.833333333333333</v>
      </c>
      <c r="D9" s="27" t="n">
        <f aca="false">IFERROR(COUNTIFS(DONNEES!$H$2:$H$1501,"NOTABLE",DONNEES!$L$2:$L$1501,"Correct",DONNEES!$E$2:$E$1501,$A9,DONNEES!$C$2:$C$1501,3)/(COUNTIFS(DONNEES!$H$2:$H$1501,"NOTABLE",DONNEES!$L$2:$L$1501,"Correct",DONNEES!$E$2:$E$1501,$A9,DONNEES!$C$2:$C$1501,3)+COUNTIFS(DONNEES!$H$2:$H$1501,"NOTABLE",DONNEES!$L$2:$L$1501,"Pas d’info à tort",DONNEES!$E$2:$E$1501,$A9,DONNEES!$C$2:$C$1501,3)+COUNTIFS(DONNEES!$H$2:$H$1501,"NOTABLE",DONNEES!$L$2:$L$1501,"Incorrect",DONNEES!$E$2:$E$1501,$A9,DONNEES!$C$2:$C$1501,3)+COUNTIFS(DONNEES!$H$2:$H$1501,"NOTABLE",DONNEES!$L$2:$L$1501,"Hors sujet",DONNEES!$E$2:$E$1501,$A9,DONNEES!$C$2:$C$1501,3)),"")</f>
        <v>0.833333333333333</v>
      </c>
      <c r="E9" s="27" t="n">
        <f aca="false">IFERROR(COUNTIFS(DONNEES!$H$2:$H$1501,"NOTABLE",DONNEES!$L$2:$L$1501,"Correct",DONNEES!$E$2:$E$1501,$A9,DONNEES!$C$2:$C$1501,4)/(COUNTIFS(DONNEES!$H$2:$H$1501,"NOTABLE",DONNEES!$L$2:$L$1501,"Correct",DONNEES!$E$2:$E$1501,$A9,DONNEES!$C$2:$C$1501,4)+COUNTIFS(DONNEES!$H$2:$H$1501,"NOTABLE",DONNEES!$L$2:$L$1501,"Pas d’info à tort",DONNEES!$E$2:$E$1501,$A9,DONNEES!$C$2:$C$1501,4)+COUNTIFS(DONNEES!$H$2:$H$1501,"NOTABLE",DONNEES!$L$2:$L$1501,"Incorrect",DONNEES!$E$2:$E$1501,$A9,DONNEES!$C$2:$C$1501,4)+COUNTIFS(DONNEES!$H$2:$H$1501,"NOTABLE",DONNEES!$L$2:$L$1501,"Hors sujet",DONNEES!$E$2:$E$1501,$A9,DONNEES!$C$2:$C$1501,4)),"")</f>
        <v>0.923076923076923</v>
      </c>
      <c r="F9" s="27" t="n">
        <f aca="false">IFERROR(COUNTIFS(DONNEES!$H$2:$H$1501,"NOTABLE",DONNEES!$L$2:$L$1501,"Correct",DONNEES!$E$2:$E$1501,$A9,DONNEES!$C$2:$C$1501,5)/(COUNTIFS(DONNEES!$H$2:$H$1501,"NOTABLE",DONNEES!$L$2:$L$1501,"Correct",DONNEES!$E$2:$E$1501,$A9,DONNEES!$C$2:$C$1501,5)+COUNTIFS(DONNEES!$H$2:$H$1501,"NOTABLE",DONNEES!$L$2:$L$1501,"Pas d’info à tort",DONNEES!$E$2:$E$1501,$A9,DONNEES!$C$2:$C$1501,5)+COUNTIFS(DONNEES!$H$2:$H$1501,"NOTABLE",DONNEES!$L$2:$L$1501,"Incorrect",DONNEES!$E$2:$E$1501,$A9,DONNEES!$C$2:$C$1501,5)+COUNTIFS(DONNEES!$H$2:$H$1501,"NOTABLE",DONNEES!$L$2:$L$1501,"Hors sujet",DONNEES!$E$2:$E$1501,$A9,DONNEES!$C$2:$C$1501,5)),"")</f>
        <v>0.923076923076923</v>
      </c>
      <c r="G9" s="27" t="n">
        <f aca="false">IFERROR(COUNTIFS(DONNEES!$H$2:$H$1501,"NOTABLE",DONNEES!$L$2:$L$1501,"Correct",DONNEES!$E$2:$E$1501,$A9)/(COUNTIFS(DONNEES!$H$2:$H$1501,"NOTABLE",DONNEES!$L$2:$L$1501,"Correct",DONNEES!$E$2:$E$1501,$A9)+COUNTIFS(DONNEES!$H$2:$H$1501,"NOTABLE",DONNEES!$L$2:$L$1501,"Pas d’info à tort",DONNEES!$E$2:$E$1501,$A9)+COUNTIFS(DONNEES!$H$2:$H$1501,"NOTABLE",DONNEES!$L$2:$L$1501,"Incorrect",DONNEES!$E$2:$E$1501,$A9)+COUNTIFS(DONNEES!$H$2:$H$1501,"NOTABLE",DONNEES!$L$2:$L$1501,"Hors sujet",DONNEES!$E$2:$E$1501,$A9)),"")</f>
        <v>0.835443037974684</v>
      </c>
    </row>
    <row r="10" customFormat="false" ht="15" hidden="false" customHeight="false" outlineLevel="0" collapsed="false">
      <c r="A10" s="4" t="s">
        <v>114</v>
      </c>
      <c r="B10" s="27" t="n">
        <f aca="false">IFERROR(COUNTIFS(DONNEES!$H$2:$H$1501,"NOTABLE",DONNEES!$L$2:$L$1501,"Correct",DONNEES!$E$2:$E$1501,$A10,DONNEES!$C$2:$C$1501,1)/(COUNTIFS(DONNEES!$H$2:$H$1501,"NOTABLE",DONNEES!$L$2:$L$1501,"Correct",DONNEES!$E$2:$E$1501,$A10,DONNEES!$C$2:$C$1501,1)+COUNTIFS(DONNEES!$H$2:$H$1501,"NOTABLE",DONNEES!$L$2:$L$1501,"Pas d’info à tort",DONNEES!$E$2:$E$1501,$A10,DONNEES!$C$2:$C$1501,1)+COUNTIFS(DONNEES!$H$2:$H$1501,"NOTABLE",DONNEES!$L$2:$L$1501,"Incorrect",DONNEES!$E$2:$E$1501,$A10,DONNEES!$C$2:$C$1501,1)+COUNTIFS(DONNEES!$H$2:$H$1501,"NOTABLE",DONNEES!$L$2:$L$1501,"Hors sujet",DONNEES!$E$2:$E$1501,$A10,DONNEES!$C$2:$C$1501,1)),"")</f>
        <v>0.833333333333333</v>
      </c>
      <c r="C10" s="27" t="n">
        <f aca="false">IFERROR(COUNTIFS(DONNEES!$H$2:$H$1501,"NOTABLE",DONNEES!$L$2:$L$1501,"Correct",DONNEES!$E$2:$E$1501,$A10,DONNEES!$C$2:$C$1501,2)/(COUNTIFS(DONNEES!$H$2:$H$1501,"NOTABLE",DONNEES!$L$2:$L$1501,"Correct",DONNEES!$E$2:$E$1501,$A10,DONNEES!$C$2:$C$1501,2)+COUNTIFS(DONNEES!$H$2:$H$1501,"NOTABLE",DONNEES!$L$2:$L$1501,"Pas d’info à tort",DONNEES!$E$2:$E$1501,$A10,DONNEES!$C$2:$C$1501,2)+COUNTIFS(DONNEES!$H$2:$H$1501,"NOTABLE",DONNEES!$L$2:$L$1501,"Incorrect",DONNEES!$E$2:$E$1501,$A10,DONNEES!$C$2:$C$1501,2)+COUNTIFS(DONNEES!$H$2:$H$1501,"NOTABLE",DONNEES!$L$2:$L$1501,"Hors sujet",DONNEES!$E$2:$E$1501,$A10,DONNEES!$C$2:$C$1501,2)),"")</f>
        <v>0.888888888888889</v>
      </c>
      <c r="D10" s="27" t="n">
        <f aca="false">IFERROR(COUNTIFS(DONNEES!$H$2:$H$1501,"NOTABLE",DONNEES!$L$2:$L$1501,"Correct",DONNEES!$E$2:$E$1501,$A10,DONNEES!$C$2:$C$1501,3)/(COUNTIFS(DONNEES!$H$2:$H$1501,"NOTABLE",DONNEES!$L$2:$L$1501,"Correct",DONNEES!$E$2:$E$1501,$A10,DONNEES!$C$2:$C$1501,3)+COUNTIFS(DONNEES!$H$2:$H$1501,"NOTABLE",DONNEES!$L$2:$L$1501,"Pas d’info à tort",DONNEES!$E$2:$E$1501,$A10,DONNEES!$C$2:$C$1501,3)+COUNTIFS(DONNEES!$H$2:$H$1501,"NOTABLE",DONNEES!$L$2:$L$1501,"Incorrect",DONNEES!$E$2:$E$1501,$A10,DONNEES!$C$2:$C$1501,3)+COUNTIFS(DONNEES!$H$2:$H$1501,"NOTABLE",DONNEES!$L$2:$L$1501,"Hors sujet",DONNEES!$E$2:$E$1501,$A10,DONNEES!$C$2:$C$1501,3)),"")</f>
        <v>0.870967741935484</v>
      </c>
      <c r="E10" s="27" t="n">
        <f aca="false">IFERROR(COUNTIFS(DONNEES!$H$2:$H$1501,"NOTABLE",DONNEES!$L$2:$L$1501,"Correct",DONNEES!$E$2:$E$1501,$A10,DONNEES!$C$2:$C$1501,4)/(COUNTIFS(DONNEES!$H$2:$H$1501,"NOTABLE",DONNEES!$L$2:$L$1501,"Correct",DONNEES!$E$2:$E$1501,$A10,DONNEES!$C$2:$C$1501,4)+COUNTIFS(DONNEES!$H$2:$H$1501,"NOTABLE",DONNEES!$L$2:$L$1501,"Pas d’info à tort",DONNEES!$E$2:$E$1501,$A10,DONNEES!$C$2:$C$1501,4)+COUNTIFS(DONNEES!$H$2:$H$1501,"NOTABLE",DONNEES!$L$2:$L$1501,"Incorrect",DONNEES!$E$2:$E$1501,$A10,DONNEES!$C$2:$C$1501,4)+COUNTIFS(DONNEES!$H$2:$H$1501,"NOTABLE",DONNEES!$L$2:$L$1501,"Hors sujet",DONNEES!$E$2:$E$1501,$A10,DONNEES!$C$2:$C$1501,4)),"")</f>
        <v>0.925925925925926</v>
      </c>
      <c r="F10" s="27" t="n">
        <f aca="false">IFERROR(COUNTIFS(DONNEES!$H$2:$H$1501,"NOTABLE",DONNEES!$L$2:$L$1501,"Correct",DONNEES!$E$2:$E$1501,$A10,DONNEES!$C$2:$C$1501,5)/(COUNTIFS(DONNEES!$H$2:$H$1501,"NOTABLE",DONNEES!$L$2:$L$1501,"Correct",DONNEES!$E$2:$E$1501,$A10,DONNEES!$C$2:$C$1501,5)+COUNTIFS(DONNEES!$H$2:$H$1501,"NOTABLE",DONNEES!$L$2:$L$1501,"Pas d’info à tort",DONNEES!$E$2:$E$1501,$A10,DONNEES!$C$2:$C$1501,5)+COUNTIFS(DONNEES!$H$2:$H$1501,"NOTABLE",DONNEES!$L$2:$L$1501,"Incorrect",DONNEES!$E$2:$E$1501,$A10,DONNEES!$C$2:$C$1501,5)+COUNTIFS(DONNEES!$H$2:$H$1501,"NOTABLE",DONNEES!$L$2:$L$1501,"Hors sujet",DONNEES!$E$2:$E$1501,$A10,DONNEES!$C$2:$C$1501,5)),"")</f>
        <v>0.822222222222222</v>
      </c>
      <c r="G10" s="27" t="n">
        <f aca="false">IFERROR(COUNTIFS(DONNEES!$H$2:$H$1501,"NOTABLE",DONNEES!$L$2:$L$1501,"Correct",DONNEES!$E$2:$E$1501,$A10)/(COUNTIFS(DONNEES!$H$2:$H$1501,"NOTABLE",DONNEES!$L$2:$L$1501,"Correct",DONNEES!$E$2:$E$1501,$A10)+COUNTIFS(DONNEES!$H$2:$H$1501,"NOTABLE",DONNEES!$L$2:$L$1501,"Pas d’info à tort",DONNEES!$E$2:$E$1501,$A10)+COUNTIFS(DONNEES!$H$2:$H$1501,"NOTABLE",DONNEES!$L$2:$L$1501,"Incorrect",DONNEES!$E$2:$E$1501,$A10)+COUNTIFS(DONNEES!$H$2:$H$1501,"NOTABLE",DONNEES!$L$2:$L$1501,"Hors sujet",DONNEES!$E$2:$E$1501,$A10)),"")</f>
        <v>0.866279069767442</v>
      </c>
    </row>
    <row r="11" customFormat="false" ht="15" hidden="false" customHeight="false" outlineLevel="0" collapsed="false">
      <c r="A11" s="4" t="s">
        <v>260</v>
      </c>
      <c r="B11" s="27" t="n">
        <f aca="false">IFERROR(COUNTIFS(DONNEES!$H$2:$H$1501,"NOTABLE",DONNEES!$L$2:$L$1501,"Correct",DONNEES!$E$2:$E$1501,$A11,DONNEES!$C$2:$C$1501,1)/(COUNTIFS(DONNEES!$H$2:$H$1501,"NOTABLE",DONNEES!$L$2:$L$1501,"Correct",DONNEES!$E$2:$E$1501,$A11,DONNEES!$C$2:$C$1501,1)+COUNTIFS(DONNEES!$H$2:$H$1501,"NOTABLE",DONNEES!$L$2:$L$1501,"Pas d’info à tort",DONNEES!$E$2:$E$1501,$A11,DONNEES!$C$2:$C$1501,1)+COUNTIFS(DONNEES!$H$2:$H$1501,"NOTABLE",DONNEES!$L$2:$L$1501,"Incorrect",DONNEES!$E$2:$E$1501,$A11,DONNEES!$C$2:$C$1501,1)+COUNTIFS(DONNEES!$H$2:$H$1501,"NOTABLE",DONNEES!$L$2:$L$1501,"Hors sujet",DONNEES!$E$2:$E$1501,$A11,DONNEES!$C$2:$C$1501,1)),"")</f>
        <v>0.785714285714286</v>
      </c>
      <c r="C11" s="27" t="n">
        <f aca="false">IFERROR(COUNTIFS(DONNEES!$H$2:$H$1501,"NOTABLE",DONNEES!$L$2:$L$1501,"Correct",DONNEES!$E$2:$E$1501,$A11,DONNEES!$C$2:$C$1501,2)/(COUNTIFS(DONNEES!$H$2:$H$1501,"NOTABLE",DONNEES!$L$2:$L$1501,"Correct",DONNEES!$E$2:$E$1501,$A11,DONNEES!$C$2:$C$1501,2)+COUNTIFS(DONNEES!$H$2:$H$1501,"NOTABLE",DONNEES!$L$2:$L$1501,"Pas d’info à tort",DONNEES!$E$2:$E$1501,$A11,DONNEES!$C$2:$C$1501,2)+COUNTIFS(DONNEES!$H$2:$H$1501,"NOTABLE",DONNEES!$L$2:$L$1501,"Incorrect",DONNEES!$E$2:$E$1501,$A11,DONNEES!$C$2:$C$1501,2)+COUNTIFS(DONNEES!$H$2:$H$1501,"NOTABLE",DONNEES!$L$2:$L$1501,"Hors sujet",DONNEES!$E$2:$E$1501,$A11,DONNEES!$C$2:$C$1501,2)),"")</f>
        <v>0.894736842105263</v>
      </c>
      <c r="D11" s="27" t="n">
        <f aca="false">IFERROR(COUNTIFS(DONNEES!$H$2:$H$1501,"NOTABLE",DONNEES!$L$2:$L$1501,"Correct",DONNEES!$E$2:$E$1501,$A11,DONNEES!$C$2:$C$1501,3)/(COUNTIFS(DONNEES!$H$2:$H$1501,"NOTABLE",DONNEES!$L$2:$L$1501,"Correct",DONNEES!$E$2:$E$1501,$A11,DONNEES!$C$2:$C$1501,3)+COUNTIFS(DONNEES!$H$2:$H$1501,"NOTABLE",DONNEES!$L$2:$L$1501,"Pas d’info à tort",DONNEES!$E$2:$E$1501,$A11,DONNEES!$C$2:$C$1501,3)+COUNTIFS(DONNEES!$H$2:$H$1501,"NOTABLE",DONNEES!$L$2:$L$1501,"Incorrect",DONNEES!$E$2:$E$1501,$A11,DONNEES!$C$2:$C$1501,3)+COUNTIFS(DONNEES!$H$2:$H$1501,"NOTABLE",DONNEES!$L$2:$L$1501,"Hors sujet",DONNEES!$E$2:$E$1501,$A11,DONNEES!$C$2:$C$1501,3)),"")</f>
        <v>0.571428571428571</v>
      </c>
      <c r="E11" s="27" t="n">
        <f aca="false">IFERROR(COUNTIFS(DONNEES!$H$2:$H$1501,"NOTABLE",DONNEES!$L$2:$L$1501,"Correct",DONNEES!$E$2:$E$1501,$A11,DONNEES!$C$2:$C$1501,4)/(COUNTIFS(DONNEES!$H$2:$H$1501,"NOTABLE",DONNEES!$L$2:$L$1501,"Correct",DONNEES!$E$2:$E$1501,$A11,DONNEES!$C$2:$C$1501,4)+COUNTIFS(DONNEES!$H$2:$H$1501,"NOTABLE",DONNEES!$L$2:$L$1501,"Pas d’info à tort",DONNEES!$E$2:$E$1501,$A11,DONNEES!$C$2:$C$1501,4)+COUNTIFS(DONNEES!$H$2:$H$1501,"NOTABLE",DONNEES!$L$2:$L$1501,"Incorrect",DONNEES!$E$2:$E$1501,$A11,DONNEES!$C$2:$C$1501,4)+COUNTIFS(DONNEES!$H$2:$H$1501,"NOTABLE",DONNEES!$L$2:$L$1501,"Hors sujet",DONNEES!$E$2:$E$1501,$A11,DONNEES!$C$2:$C$1501,4)),"")</f>
        <v>1</v>
      </c>
      <c r="F11" s="27" t="n">
        <f aca="false">IFERROR(COUNTIFS(DONNEES!$H$2:$H$1501,"NOTABLE",DONNEES!$L$2:$L$1501,"Correct",DONNEES!$E$2:$E$1501,$A11,DONNEES!$C$2:$C$1501,5)/(COUNTIFS(DONNEES!$H$2:$H$1501,"NOTABLE",DONNEES!$L$2:$L$1501,"Correct",DONNEES!$E$2:$E$1501,$A11,DONNEES!$C$2:$C$1501,5)+COUNTIFS(DONNEES!$H$2:$H$1501,"NOTABLE",DONNEES!$L$2:$L$1501,"Pas d’info à tort",DONNEES!$E$2:$E$1501,$A11,DONNEES!$C$2:$C$1501,5)+COUNTIFS(DONNEES!$H$2:$H$1501,"NOTABLE",DONNEES!$L$2:$L$1501,"Incorrect",DONNEES!$E$2:$E$1501,$A11,DONNEES!$C$2:$C$1501,5)+COUNTIFS(DONNEES!$H$2:$H$1501,"NOTABLE",DONNEES!$L$2:$L$1501,"Hors sujet",DONNEES!$E$2:$E$1501,$A11,DONNEES!$C$2:$C$1501,5)),"")</f>
        <v>0.916666666666667</v>
      </c>
      <c r="G11" s="27" t="n">
        <f aca="false">IFERROR(COUNTIFS(DONNEES!$H$2:$H$1501,"NOTABLE",DONNEES!$L$2:$L$1501,"Correct",DONNEES!$E$2:$E$1501,$A11)/(COUNTIFS(DONNEES!$H$2:$H$1501,"NOTABLE",DONNEES!$L$2:$L$1501,"Correct",DONNEES!$E$2:$E$1501,$A11)+COUNTIFS(DONNEES!$H$2:$H$1501,"NOTABLE",DONNEES!$L$2:$L$1501,"Pas d’info à tort",DONNEES!$E$2:$E$1501,$A11)+COUNTIFS(DONNEES!$H$2:$H$1501,"NOTABLE",DONNEES!$L$2:$L$1501,"Incorrect",DONNEES!$E$2:$E$1501,$A11)+COUNTIFS(DONNEES!$H$2:$H$1501,"NOTABLE",DONNEES!$L$2:$L$1501,"Hors sujet",DONNEES!$E$2:$E$1501,$A11)),"")</f>
        <v>0.867647058823529</v>
      </c>
    </row>
    <row r="12" customFormat="false" ht="15" hidden="false" customHeight="false" outlineLevel="0" collapsed="false">
      <c r="A12" s="4" t="s">
        <v>128</v>
      </c>
      <c r="B12" s="27" t="n">
        <f aca="false">IFERROR(COUNTIFS(DONNEES!$H$2:$H$1501,"NOTABLE",DONNEES!$L$2:$L$1501,"Correct",DONNEES!$E$2:$E$1501,$A12,DONNEES!$C$2:$C$1501,1)/(COUNTIFS(DONNEES!$H$2:$H$1501,"NOTABLE",DONNEES!$L$2:$L$1501,"Correct",DONNEES!$E$2:$E$1501,$A12,DONNEES!$C$2:$C$1501,1)+COUNTIFS(DONNEES!$H$2:$H$1501,"NOTABLE",DONNEES!$L$2:$L$1501,"Pas d’info à tort",DONNEES!$E$2:$E$1501,$A12,DONNEES!$C$2:$C$1501,1)+COUNTIFS(DONNEES!$H$2:$H$1501,"NOTABLE",DONNEES!$L$2:$L$1501,"Incorrect",DONNEES!$E$2:$E$1501,$A12,DONNEES!$C$2:$C$1501,1)+COUNTIFS(DONNEES!$H$2:$H$1501,"NOTABLE",DONNEES!$L$2:$L$1501,"Hors sujet",DONNEES!$E$2:$E$1501,$A12,DONNEES!$C$2:$C$1501,1)),"")</f>
        <v>0.815789473684211</v>
      </c>
      <c r="C12" s="27" t="n">
        <f aca="false">IFERROR(COUNTIFS(DONNEES!$H$2:$H$1501,"NOTABLE",DONNEES!$L$2:$L$1501,"Correct",DONNEES!$E$2:$E$1501,$A12,DONNEES!$C$2:$C$1501,2)/(COUNTIFS(DONNEES!$H$2:$H$1501,"NOTABLE",DONNEES!$L$2:$L$1501,"Correct",DONNEES!$E$2:$E$1501,$A12,DONNEES!$C$2:$C$1501,2)+COUNTIFS(DONNEES!$H$2:$H$1501,"NOTABLE",DONNEES!$L$2:$L$1501,"Pas d’info à tort",DONNEES!$E$2:$E$1501,$A12,DONNEES!$C$2:$C$1501,2)+COUNTIFS(DONNEES!$H$2:$H$1501,"NOTABLE",DONNEES!$L$2:$L$1501,"Incorrect",DONNEES!$E$2:$E$1501,$A12,DONNEES!$C$2:$C$1501,2)+COUNTIFS(DONNEES!$H$2:$H$1501,"NOTABLE",DONNEES!$L$2:$L$1501,"Hors sujet",DONNEES!$E$2:$E$1501,$A12,DONNEES!$C$2:$C$1501,2)),"")</f>
        <v>0.804878048780488</v>
      </c>
      <c r="D12" s="27" t="n">
        <f aca="false">IFERROR(COUNTIFS(DONNEES!$H$2:$H$1501,"NOTABLE",DONNEES!$L$2:$L$1501,"Correct",DONNEES!$E$2:$E$1501,$A12,DONNEES!$C$2:$C$1501,3)/(COUNTIFS(DONNEES!$H$2:$H$1501,"NOTABLE",DONNEES!$L$2:$L$1501,"Correct",DONNEES!$E$2:$E$1501,$A12,DONNEES!$C$2:$C$1501,3)+COUNTIFS(DONNEES!$H$2:$H$1501,"NOTABLE",DONNEES!$L$2:$L$1501,"Pas d’info à tort",DONNEES!$E$2:$E$1501,$A12,DONNEES!$C$2:$C$1501,3)+COUNTIFS(DONNEES!$H$2:$H$1501,"NOTABLE",DONNEES!$L$2:$L$1501,"Incorrect",DONNEES!$E$2:$E$1501,$A12,DONNEES!$C$2:$C$1501,3)+COUNTIFS(DONNEES!$H$2:$H$1501,"NOTABLE",DONNEES!$L$2:$L$1501,"Hors sujet",DONNEES!$E$2:$E$1501,$A12,DONNEES!$C$2:$C$1501,3)),"")</f>
        <v>0.864864864864865</v>
      </c>
      <c r="E12" s="27" t="n">
        <f aca="false">IFERROR(COUNTIFS(DONNEES!$H$2:$H$1501,"NOTABLE",DONNEES!$L$2:$L$1501,"Correct",DONNEES!$E$2:$E$1501,$A12,DONNEES!$C$2:$C$1501,4)/(COUNTIFS(DONNEES!$H$2:$H$1501,"NOTABLE",DONNEES!$L$2:$L$1501,"Correct",DONNEES!$E$2:$E$1501,$A12,DONNEES!$C$2:$C$1501,4)+COUNTIFS(DONNEES!$H$2:$H$1501,"NOTABLE",DONNEES!$L$2:$L$1501,"Pas d’info à tort",DONNEES!$E$2:$E$1501,$A12,DONNEES!$C$2:$C$1501,4)+COUNTIFS(DONNEES!$H$2:$H$1501,"NOTABLE",DONNEES!$L$2:$L$1501,"Incorrect",DONNEES!$E$2:$E$1501,$A12,DONNEES!$C$2:$C$1501,4)+COUNTIFS(DONNEES!$H$2:$H$1501,"NOTABLE",DONNEES!$L$2:$L$1501,"Hors sujet",DONNEES!$E$2:$E$1501,$A12,DONNEES!$C$2:$C$1501,4)),"")</f>
        <v>0.928571428571429</v>
      </c>
      <c r="F12" s="27" t="n">
        <f aca="false">IFERROR(COUNTIFS(DONNEES!$H$2:$H$1501,"NOTABLE",DONNEES!$L$2:$L$1501,"Correct",DONNEES!$E$2:$E$1501,$A12,DONNEES!$C$2:$C$1501,5)/(COUNTIFS(DONNEES!$H$2:$H$1501,"NOTABLE",DONNEES!$L$2:$L$1501,"Correct",DONNEES!$E$2:$E$1501,$A12,DONNEES!$C$2:$C$1501,5)+COUNTIFS(DONNEES!$H$2:$H$1501,"NOTABLE",DONNEES!$L$2:$L$1501,"Pas d’info à tort",DONNEES!$E$2:$E$1501,$A12,DONNEES!$C$2:$C$1501,5)+COUNTIFS(DONNEES!$H$2:$H$1501,"NOTABLE",DONNEES!$L$2:$L$1501,"Incorrect",DONNEES!$E$2:$E$1501,$A12,DONNEES!$C$2:$C$1501,5)+COUNTIFS(DONNEES!$H$2:$H$1501,"NOTABLE",DONNEES!$L$2:$L$1501,"Hors sujet",DONNEES!$E$2:$E$1501,$A12,DONNEES!$C$2:$C$1501,5)),"")</f>
        <v>1</v>
      </c>
      <c r="G12" s="27" t="n">
        <f aca="false">IFERROR(COUNTIFS(DONNEES!$H$2:$H$1501,"NOTABLE",DONNEES!$L$2:$L$1501,"Correct",DONNEES!$E$2:$E$1501,$A12)/(COUNTIFS(DONNEES!$H$2:$H$1501,"NOTABLE",DONNEES!$L$2:$L$1501,"Correct",DONNEES!$E$2:$E$1501,$A12)+COUNTIFS(DONNEES!$H$2:$H$1501,"NOTABLE",DONNEES!$L$2:$L$1501,"Pas d’info à tort",DONNEES!$E$2:$E$1501,$A12)+COUNTIFS(DONNEES!$H$2:$H$1501,"NOTABLE",DONNEES!$L$2:$L$1501,"Incorrect",DONNEES!$E$2:$E$1501,$A12)+COUNTIFS(DONNEES!$H$2:$H$1501,"NOTABLE",DONNEES!$L$2:$L$1501,"Hors sujet",DONNEES!$E$2:$E$1501,$A12)),"")</f>
        <v>0.881720430107527</v>
      </c>
    </row>
    <row r="13" customFormat="false" ht="15" hidden="false" customHeight="false" outlineLevel="0" collapsed="false">
      <c r="A13" s="4" t="s">
        <v>185</v>
      </c>
      <c r="B13" s="27" t="n">
        <f aca="false">IFERROR(COUNTIFS(DONNEES!$H$2:$H$1501,"NOTABLE",DONNEES!$L$2:$L$1501,"Correct",DONNEES!$E$2:$E$1501,$A13,DONNEES!$C$2:$C$1501,1)/(COUNTIFS(DONNEES!$H$2:$H$1501,"NOTABLE",DONNEES!$L$2:$L$1501,"Correct",DONNEES!$E$2:$E$1501,$A13,DONNEES!$C$2:$C$1501,1)+COUNTIFS(DONNEES!$H$2:$H$1501,"NOTABLE",DONNEES!$L$2:$L$1501,"Pas d’info à tort",DONNEES!$E$2:$E$1501,$A13,DONNEES!$C$2:$C$1501,1)+COUNTIFS(DONNEES!$H$2:$H$1501,"NOTABLE",DONNEES!$L$2:$L$1501,"Incorrect",DONNEES!$E$2:$E$1501,$A13,DONNEES!$C$2:$C$1501,1)+COUNTIFS(DONNEES!$H$2:$H$1501,"NOTABLE",DONNEES!$L$2:$L$1501,"Hors sujet",DONNEES!$E$2:$E$1501,$A13,DONNEES!$C$2:$C$1501,1)),"")</f>
        <v>0.833333333333333</v>
      </c>
      <c r="C13" s="27" t="n">
        <f aca="false">IFERROR(COUNTIFS(DONNEES!$H$2:$H$1501,"NOTABLE",DONNEES!$L$2:$L$1501,"Correct",DONNEES!$E$2:$E$1501,$A13,DONNEES!$C$2:$C$1501,2)/(COUNTIFS(DONNEES!$H$2:$H$1501,"NOTABLE",DONNEES!$L$2:$L$1501,"Correct",DONNEES!$E$2:$E$1501,$A13,DONNEES!$C$2:$C$1501,2)+COUNTIFS(DONNEES!$H$2:$H$1501,"NOTABLE",DONNEES!$L$2:$L$1501,"Pas d’info à tort",DONNEES!$E$2:$E$1501,$A13,DONNEES!$C$2:$C$1501,2)+COUNTIFS(DONNEES!$H$2:$H$1501,"NOTABLE",DONNEES!$L$2:$L$1501,"Incorrect",DONNEES!$E$2:$E$1501,$A13,DONNEES!$C$2:$C$1501,2)+COUNTIFS(DONNEES!$H$2:$H$1501,"NOTABLE",DONNEES!$L$2:$L$1501,"Hors sujet",DONNEES!$E$2:$E$1501,$A13,DONNEES!$C$2:$C$1501,2)),"")</f>
        <v>1</v>
      </c>
      <c r="D13" s="27" t="n">
        <f aca="false">IFERROR(COUNTIFS(DONNEES!$H$2:$H$1501,"NOTABLE",DONNEES!$L$2:$L$1501,"Correct",DONNEES!$E$2:$E$1501,$A13,DONNEES!$C$2:$C$1501,3)/(COUNTIFS(DONNEES!$H$2:$H$1501,"NOTABLE",DONNEES!$L$2:$L$1501,"Correct",DONNEES!$E$2:$E$1501,$A13,DONNEES!$C$2:$C$1501,3)+COUNTIFS(DONNEES!$H$2:$H$1501,"NOTABLE",DONNEES!$L$2:$L$1501,"Pas d’info à tort",DONNEES!$E$2:$E$1501,$A13,DONNEES!$C$2:$C$1501,3)+COUNTIFS(DONNEES!$H$2:$H$1501,"NOTABLE",DONNEES!$L$2:$L$1501,"Incorrect",DONNEES!$E$2:$E$1501,$A13,DONNEES!$C$2:$C$1501,3)+COUNTIFS(DONNEES!$H$2:$H$1501,"NOTABLE",DONNEES!$L$2:$L$1501,"Hors sujet",DONNEES!$E$2:$E$1501,$A13,DONNEES!$C$2:$C$1501,3)),"")</f>
        <v>1</v>
      </c>
      <c r="E13" s="27" t="n">
        <f aca="false">IFERROR(COUNTIFS(DONNEES!$H$2:$H$1501,"NOTABLE",DONNEES!$L$2:$L$1501,"Correct",DONNEES!$E$2:$E$1501,$A13,DONNEES!$C$2:$C$1501,4)/(COUNTIFS(DONNEES!$H$2:$H$1501,"NOTABLE",DONNEES!$L$2:$L$1501,"Correct",DONNEES!$E$2:$E$1501,$A13,DONNEES!$C$2:$C$1501,4)+COUNTIFS(DONNEES!$H$2:$H$1501,"NOTABLE",DONNEES!$L$2:$L$1501,"Pas d’info à tort",DONNEES!$E$2:$E$1501,$A13,DONNEES!$C$2:$C$1501,4)+COUNTIFS(DONNEES!$H$2:$H$1501,"NOTABLE",DONNEES!$L$2:$L$1501,"Incorrect",DONNEES!$E$2:$E$1501,$A13,DONNEES!$C$2:$C$1501,4)+COUNTIFS(DONNEES!$H$2:$H$1501,"NOTABLE",DONNEES!$L$2:$L$1501,"Hors sujet",DONNEES!$E$2:$E$1501,$A13,DONNEES!$C$2:$C$1501,4)),"")</f>
        <v>0.769230769230769</v>
      </c>
      <c r="F13" s="27" t="n">
        <f aca="false">IFERROR(COUNTIFS(DONNEES!$H$2:$H$1501,"NOTABLE",DONNEES!$L$2:$L$1501,"Correct",DONNEES!$E$2:$E$1501,$A13,DONNEES!$C$2:$C$1501,5)/(COUNTIFS(DONNEES!$H$2:$H$1501,"NOTABLE",DONNEES!$L$2:$L$1501,"Correct",DONNEES!$E$2:$E$1501,$A13,DONNEES!$C$2:$C$1501,5)+COUNTIFS(DONNEES!$H$2:$H$1501,"NOTABLE",DONNEES!$L$2:$L$1501,"Pas d’info à tort",DONNEES!$E$2:$E$1501,$A13,DONNEES!$C$2:$C$1501,5)+COUNTIFS(DONNEES!$H$2:$H$1501,"NOTABLE",DONNEES!$L$2:$L$1501,"Incorrect",DONNEES!$E$2:$E$1501,$A13,DONNEES!$C$2:$C$1501,5)+COUNTIFS(DONNEES!$H$2:$H$1501,"NOTABLE",DONNEES!$L$2:$L$1501,"Hors sujet",DONNEES!$E$2:$E$1501,$A13,DONNEES!$C$2:$C$1501,5)),"")</f>
        <v>0.941176470588235</v>
      </c>
      <c r="G13" s="27" t="n">
        <f aca="false">IFERROR(COUNTIFS(DONNEES!$H$2:$H$1501,"NOTABLE",DONNEES!$L$2:$L$1501,"Correct",DONNEES!$E$2:$E$1501,$A13)/(COUNTIFS(DONNEES!$H$2:$H$1501,"NOTABLE",DONNEES!$L$2:$L$1501,"Correct",DONNEES!$E$2:$E$1501,$A13)+COUNTIFS(DONNEES!$H$2:$H$1501,"NOTABLE",DONNEES!$L$2:$L$1501,"Pas d’info à tort",DONNEES!$E$2:$E$1501,$A13)+COUNTIFS(DONNEES!$H$2:$H$1501,"NOTABLE",DONNEES!$L$2:$L$1501,"Incorrect",DONNEES!$E$2:$E$1501,$A13)+COUNTIFS(DONNEES!$H$2:$H$1501,"NOTABLE",DONNEES!$L$2:$L$1501,"Hors sujet",DONNEES!$E$2:$E$1501,$A13)),"")</f>
        <v>0.884615384615385</v>
      </c>
    </row>
    <row r="14" customFormat="false" ht="15" hidden="false" customHeight="false" outlineLevel="0" collapsed="false">
      <c r="A14" s="4" t="s">
        <v>401</v>
      </c>
      <c r="B14" s="27" t="n">
        <f aca="false">IFERROR(COUNTIFS(DONNEES!$H$2:$H$1501,"NOTABLE",DONNEES!$L$2:$L$1501,"Correct",DONNEES!$E$2:$E$1501,$A14,DONNEES!$C$2:$C$1501,1)/(COUNTIFS(DONNEES!$H$2:$H$1501,"NOTABLE",DONNEES!$L$2:$L$1501,"Correct",DONNEES!$E$2:$E$1501,$A14,DONNEES!$C$2:$C$1501,1)+COUNTIFS(DONNEES!$H$2:$H$1501,"NOTABLE",DONNEES!$L$2:$L$1501,"Pas d’info à tort",DONNEES!$E$2:$E$1501,$A14,DONNEES!$C$2:$C$1501,1)+COUNTIFS(DONNEES!$H$2:$H$1501,"NOTABLE",DONNEES!$L$2:$L$1501,"Incorrect",DONNEES!$E$2:$E$1501,$A14,DONNEES!$C$2:$C$1501,1)+COUNTIFS(DONNEES!$H$2:$H$1501,"NOTABLE",DONNEES!$L$2:$L$1501,"Hors sujet",DONNEES!$E$2:$E$1501,$A14,DONNEES!$C$2:$C$1501,1)),"")</f>
        <v>0.75</v>
      </c>
      <c r="C14" s="27" t="n">
        <f aca="false">IFERROR(COUNTIFS(DONNEES!$H$2:$H$1501,"NOTABLE",DONNEES!$L$2:$L$1501,"Correct",DONNEES!$E$2:$E$1501,$A14,DONNEES!$C$2:$C$1501,2)/(COUNTIFS(DONNEES!$H$2:$H$1501,"NOTABLE",DONNEES!$L$2:$L$1501,"Correct",DONNEES!$E$2:$E$1501,$A14,DONNEES!$C$2:$C$1501,2)+COUNTIFS(DONNEES!$H$2:$H$1501,"NOTABLE",DONNEES!$L$2:$L$1501,"Pas d’info à tort",DONNEES!$E$2:$E$1501,$A14,DONNEES!$C$2:$C$1501,2)+COUNTIFS(DONNEES!$H$2:$H$1501,"NOTABLE",DONNEES!$L$2:$L$1501,"Incorrect",DONNEES!$E$2:$E$1501,$A14,DONNEES!$C$2:$C$1501,2)+COUNTIFS(DONNEES!$H$2:$H$1501,"NOTABLE",DONNEES!$L$2:$L$1501,"Hors sujet",DONNEES!$E$2:$E$1501,$A14,DONNEES!$C$2:$C$1501,2)),"")</f>
        <v>1</v>
      </c>
      <c r="D14" s="27" t="n">
        <f aca="false">IFERROR(COUNTIFS(DONNEES!$H$2:$H$1501,"NOTABLE",DONNEES!$L$2:$L$1501,"Correct",DONNEES!$E$2:$E$1501,$A14,DONNEES!$C$2:$C$1501,3)/(COUNTIFS(DONNEES!$H$2:$H$1501,"NOTABLE",DONNEES!$L$2:$L$1501,"Correct",DONNEES!$E$2:$E$1501,$A14,DONNEES!$C$2:$C$1501,3)+COUNTIFS(DONNEES!$H$2:$H$1501,"NOTABLE",DONNEES!$L$2:$L$1501,"Pas d’info à tort",DONNEES!$E$2:$E$1501,$A14,DONNEES!$C$2:$C$1501,3)+COUNTIFS(DONNEES!$H$2:$H$1501,"NOTABLE",DONNEES!$L$2:$L$1501,"Incorrect",DONNEES!$E$2:$E$1501,$A14,DONNEES!$C$2:$C$1501,3)+COUNTIFS(DONNEES!$H$2:$H$1501,"NOTABLE",DONNEES!$L$2:$L$1501,"Hors sujet",DONNEES!$E$2:$E$1501,$A14,DONNEES!$C$2:$C$1501,3)),"")</f>
        <v>1</v>
      </c>
      <c r="E14" s="27" t="n">
        <f aca="false">IFERROR(COUNTIFS(DONNEES!$H$2:$H$1501,"NOTABLE",DONNEES!$L$2:$L$1501,"Correct",DONNEES!$E$2:$E$1501,$A14,DONNEES!$C$2:$C$1501,4)/(COUNTIFS(DONNEES!$H$2:$H$1501,"NOTABLE",DONNEES!$L$2:$L$1501,"Correct",DONNEES!$E$2:$E$1501,$A14,DONNEES!$C$2:$C$1501,4)+COUNTIFS(DONNEES!$H$2:$H$1501,"NOTABLE",DONNEES!$L$2:$L$1501,"Pas d’info à tort",DONNEES!$E$2:$E$1501,$A14,DONNEES!$C$2:$C$1501,4)+COUNTIFS(DONNEES!$H$2:$H$1501,"NOTABLE",DONNEES!$L$2:$L$1501,"Incorrect",DONNEES!$E$2:$E$1501,$A14,DONNEES!$C$2:$C$1501,4)+COUNTIFS(DONNEES!$H$2:$H$1501,"NOTABLE",DONNEES!$L$2:$L$1501,"Hors sujet",DONNEES!$E$2:$E$1501,$A14,DONNEES!$C$2:$C$1501,4)),"")</f>
        <v>0.8</v>
      </c>
      <c r="F14" s="27" t="n">
        <f aca="false">IFERROR(COUNTIFS(DONNEES!$H$2:$H$1501,"NOTABLE",DONNEES!$L$2:$L$1501,"Correct",DONNEES!$E$2:$E$1501,$A14,DONNEES!$C$2:$C$1501,5)/(COUNTIFS(DONNEES!$H$2:$H$1501,"NOTABLE",DONNEES!$L$2:$L$1501,"Correct",DONNEES!$E$2:$E$1501,$A14,DONNEES!$C$2:$C$1501,5)+COUNTIFS(DONNEES!$H$2:$H$1501,"NOTABLE",DONNEES!$L$2:$L$1501,"Pas d’info à tort",DONNEES!$E$2:$E$1501,$A14,DONNEES!$C$2:$C$1501,5)+COUNTIFS(DONNEES!$H$2:$H$1501,"NOTABLE",DONNEES!$L$2:$L$1501,"Incorrect",DONNEES!$E$2:$E$1501,$A14,DONNEES!$C$2:$C$1501,5)+COUNTIFS(DONNEES!$H$2:$H$1501,"NOTABLE",DONNEES!$L$2:$L$1501,"Hors sujet",DONNEES!$E$2:$E$1501,$A14,DONNEES!$C$2:$C$1501,5)),"")</f>
        <v>1</v>
      </c>
      <c r="G14" s="27" t="n">
        <f aca="false">IFERROR(COUNTIFS(DONNEES!$H$2:$H$1501,"NOTABLE",DONNEES!$L$2:$L$1501,"Correct",DONNEES!$E$2:$E$1501,$A14)/(COUNTIFS(DONNEES!$H$2:$H$1501,"NOTABLE",DONNEES!$L$2:$L$1501,"Correct",DONNEES!$E$2:$E$1501,$A14)+COUNTIFS(DONNEES!$H$2:$H$1501,"NOTABLE",DONNEES!$L$2:$L$1501,"Pas d’info à tort",DONNEES!$E$2:$E$1501,$A14)+COUNTIFS(DONNEES!$H$2:$H$1501,"NOTABLE",DONNEES!$L$2:$L$1501,"Incorrect",DONNEES!$E$2:$E$1501,$A14)+COUNTIFS(DONNEES!$H$2:$H$1501,"NOTABLE",DONNEES!$L$2:$L$1501,"Hors sujet",DONNEES!$E$2:$E$1501,$A14)),"")</f>
        <v>0.904761904761905</v>
      </c>
    </row>
    <row r="15" customFormat="false" ht="15" hidden="false" customHeight="false" outlineLevel="0" collapsed="false">
      <c r="A15" s="4" t="s">
        <v>98</v>
      </c>
      <c r="B15" s="27" t="n">
        <f aca="false">IFERROR(COUNTIFS(DONNEES!$H$2:$H$1501,"NOTABLE",DONNEES!$L$2:$L$1501,"Correct",DONNEES!$E$2:$E$1501,$A15,DONNEES!$C$2:$C$1501,1)/(COUNTIFS(DONNEES!$H$2:$H$1501,"NOTABLE",DONNEES!$L$2:$L$1501,"Correct",DONNEES!$E$2:$E$1501,$A15,DONNEES!$C$2:$C$1501,1)+COUNTIFS(DONNEES!$H$2:$H$1501,"NOTABLE",DONNEES!$L$2:$L$1501,"Pas d’info à tort",DONNEES!$E$2:$E$1501,$A15,DONNEES!$C$2:$C$1501,1)+COUNTIFS(DONNEES!$H$2:$H$1501,"NOTABLE",DONNEES!$L$2:$L$1501,"Incorrect",DONNEES!$E$2:$E$1501,$A15,DONNEES!$C$2:$C$1501,1)+COUNTIFS(DONNEES!$H$2:$H$1501,"NOTABLE",DONNEES!$L$2:$L$1501,"Hors sujet",DONNEES!$E$2:$E$1501,$A15,DONNEES!$C$2:$C$1501,1)),"")</f>
        <v>0.9375</v>
      </c>
      <c r="C15" s="27" t="n">
        <f aca="false">IFERROR(COUNTIFS(DONNEES!$H$2:$H$1501,"NOTABLE",DONNEES!$L$2:$L$1501,"Correct",DONNEES!$E$2:$E$1501,$A15,DONNEES!$C$2:$C$1501,2)/(COUNTIFS(DONNEES!$H$2:$H$1501,"NOTABLE",DONNEES!$L$2:$L$1501,"Correct",DONNEES!$E$2:$E$1501,$A15,DONNEES!$C$2:$C$1501,2)+COUNTIFS(DONNEES!$H$2:$H$1501,"NOTABLE",DONNEES!$L$2:$L$1501,"Pas d’info à tort",DONNEES!$E$2:$E$1501,$A15,DONNEES!$C$2:$C$1501,2)+COUNTIFS(DONNEES!$H$2:$H$1501,"NOTABLE",DONNEES!$L$2:$L$1501,"Incorrect",DONNEES!$E$2:$E$1501,$A15,DONNEES!$C$2:$C$1501,2)+COUNTIFS(DONNEES!$H$2:$H$1501,"NOTABLE",DONNEES!$L$2:$L$1501,"Hors sujet",DONNEES!$E$2:$E$1501,$A15,DONNEES!$C$2:$C$1501,2)),"")</f>
        <v>0.933333333333333</v>
      </c>
      <c r="D15" s="27" t="n">
        <f aca="false">IFERROR(COUNTIFS(DONNEES!$H$2:$H$1501,"NOTABLE",DONNEES!$L$2:$L$1501,"Correct",DONNEES!$E$2:$E$1501,$A15,DONNEES!$C$2:$C$1501,3)/(COUNTIFS(DONNEES!$H$2:$H$1501,"NOTABLE",DONNEES!$L$2:$L$1501,"Correct",DONNEES!$E$2:$E$1501,$A15,DONNEES!$C$2:$C$1501,3)+COUNTIFS(DONNEES!$H$2:$H$1501,"NOTABLE",DONNEES!$L$2:$L$1501,"Pas d’info à tort",DONNEES!$E$2:$E$1501,$A15,DONNEES!$C$2:$C$1501,3)+COUNTIFS(DONNEES!$H$2:$H$1501,"NOTABLE",DONNEES!$L$2:$L$1501,"Incorrect",DONNEES!$E$2:$E$1501,$A15,DONNEES!$C$2:$C$1501,3)+COUNTIFS(DONNEES!$H$2:$H$1501,"NOTABLE",DONNEES!$L$2:$L$1501,"Hors sujet",DONNEES!$E$2:$E$1501,$A15,DONNEES!$C$2:$C$1501,3)),"")</f>
        <v>0.916666666666667</v>
      </c>
      <c r="E15" s="27" t="n">
        <f aca="false">IFERROR(COUNTIFS(DONNEES!$H$2:$H$1501,"NOTABLE",DONNEES!$L$2:$L$1501,"Correct",DONNEES!$E$2:$E$1501,$A15,DONNEES!$C$2:$C$1501,4)/(COUNTIFS(DONNEES!$H$2:$H$1501,"NOTABLE",DONNEES!$L$2:$L$1501,"Correct",DONNEES!$E$2:$E$1501,$A15,DONNEES!$C$2:$C$1501,4)+COUNTIFS(DONNEES!$H$2:$H$1501,"NOTABLE",DONNEES!$L$2:$L$1501,"Pas d’info à tort",DONNEES!$E$2:$E$1501,$A15,DONNEES!$C$2:$C$1501,4)+COUNTIFS(DONNEES!$H$2:$H$1501,"NOTABLE",DONNEES!$L$2:$L$1501,"Incorrect",DONNEES!$E$2:$E$1501,$A15,DONNEES!$C$2:$C$1501,4)+COUNTIFS(DONNEES!$H$2:$H$1501,"NOTABLE",DONNEES!$L$2:$L$1501,"Hors sujet",DONNEES!$E$2:$E$1501,$A15,DONNEES!$C$2:$C$1501,4)),"")</f>
        <v>1</v>
      </c>
      <c r="F15" s="27" t="n">
        <f aca="false">IFERROR(COUNTIFS(DONNEES!$H$2:$H$1501,"NOTABLE",DONNEES!$L$2:$L$1501,"Correct",DONNEES!$E$2:$E$1501,$A15,DONNEES!$C$2:$C$1501,5)/(COUNTIFS(DONNEES!$H$2:$H$1501,"NOTABLE",DONNEES!$L$2:$L$1501,"Correct",DONNEES!$E$2:$E$1501,$A15,DONNEES!$C$2:$C$1501,5)+COUNTIFS(DONNEES!$H$2:$H$1501,"NOTABLE",DONNEES!$L$2:$L$1501,"Pas d’info à tort",DONNEES!$E$2:$E$1501,$A15,DONNEES!$C$2:$C$1501,5)+COUNTIFS(DONNEES!$H$2:$H$1501,"NOTABLE",DONNEES!$L$2:$L$1501,"Incorrect",DONNEES!$E$2:$E$1501,$A15,DONNEES!$C$2:$C$1501,5)+COUNTIFS(DONNEES!$H$2:$H$1501,"NOTABLE",DONNEES!$L$2:$L$1501,"Hors sujet",DONNEES!$E$2:$E$1501,$A15,DONNEES!$C$2:$C$1501,5)),"")</f>
        <v>0.75</v>
      </c>
      <c r="G15" s="27" t="n">
        <f aca="false">IFERROR(COUNTIFS(DONNEES!$H$2:$H$1501,"NOTABLE",DONNEES!$L$2:$L$1501,"Correct",DONNEES!$E$2:$E$1501,$A15)/(COUNTIFS(DONNEES!$H$2:$H$1501,"NOTABLE",DONNEES!$L$2:$L$1501,"Correct",DONNEES!$E$2:$E$1501,$A15)+COUNTIFS(DONNEES!$H$2:$H$1501,"NOTABLE",DONNEES!$L$2:$L$1501,"Pas d’info à tort",DONNEES!$E$2:$E$1501,$A15)+COUNTIFS(DONNEES!$H$2:$H$1501,"NOTABLE",DONNEES!$L$2:$L$1501,"Incorrect",DONNEES!$E$2:$E$1501,$A15)+COUNTIFS(DONNEES!$H$2:$H$1501,"NOTABLE",DONNEES!$L$2:$L$1501,"Hors sujet",DONNEES!$E$2:$E$1501,$A15)),"")</f>
        <v>0.931818181818182</v>
      </c>
    </row>
    <row r="17" customFormat="false" ht="15" hidden="false" customHeight="false" outlineLevel="0" collapsed="false">
      <c r="A17" s="10" t="s">
        <v>5394</v>
      </c>
    </row>
    <row r="18" customFormat="false" ht="23.85" hidden="false" customHeight="false" outlineLevel="0" collapsed="false">
      <c r="A18" s="3" t="s">
        <v>5395</v>
      </c>
      <c r="B18" s="3" t="s">
        <v>36</v>
      </c>
      <c r="C18" s="3" t="s">
        <v>37</v>
      </c>
      <c r="D18" s="3" t="s">
        <v>38</v>
      </c>
      <c r="E18" s="3" t="s">
        <v>39</v>
      </c>
      <c r="F18" s="3" t="s">
        <v>40</v>
      </c>
      <c r="G18" s="3" t="s">
        <v>41</v>
      </c>
      <c r="H18" s="3" t="s">
        <v>42</v>
      </c>
      <c r="I18" s="3" t="s">
        <v>43</v>
      </c>
    </row>
    <row r="19" customFormat="false" ht="15" hidden="false" customHeight="false" outlineLevel="0" collapsed="false">
      <c r="A19" s="4" t="s">
        <v>158</v>
      </c>
      <c r="B19" s="28" t="n">
        <f aca="false">COUNTIFS(DONNEES!$E$2:$E$1501,$A19,DONNEES!$L$2:$L$1501,"Correct")</f>
        <v>53</v>
      </c>
      <c r="C19" s="28" t="n">
        <f aca="false">COUNTIFS(DONNEES!$E$2:$E$1501,$A19,DONNEES!$L$2:$L$1501,"Pas d’info à tort")</f>
        <v>56</v>
      </c>
      <c r="D19" s="28" t="n">
        <f aca="false">COUNTIFS(DONNEES!$E$2:$E$1501,$A19,DONNEES!$L$2:$L$1501,"Incorrect")</f>
        <v>0</v>
      </c>
      <c r="E19" s="28" t="n">
        <f aca="false">COUNTIFS(DONNEES!$E$2:$E$1501,$A19,DONNEES!$L$2:$L$1501,"Hors sujet")</f>
        <v>1</v>
      </c>
      <c r="F19" s="28" t="n">
        <f aca="false">COUNTIFS(DONNEES!$E$2:$E$1501,$A19,DONNEES!$L$2:$L$1501,"Abstention correcte")</f>
        <v>0</v>
      </c>
      <c r="G19" s="28" t="n">
        <f aca="false">COUNTIFS(DONNEES!$E$2:$E$1501,$A19,DONNEES!$L$2:$L$1501,"Valeur sur cellule vide")</f>
        <v>0</v>
      </c>
      <c r="H19" s="28" t="n">
        <f aca="false">COUNTIFS(DONNEES!$E$2:$E$1501,$A19,DONNEES!$L$2:$L$1501,"Échec technique")</f>
        <v>0</v>
      </c>
      <c r="I19" s="28" t="n">
        <f aca="false">COUNTIFS(DONNEES!$E$2:$E$1501,$A19,DONNEES!$L$2:$L$1501,"Non capturé")</f>
        <v>0</v>
      </c>
    </row>
    <row r="20" customFormat="false" ht="15" hidden="false" customHeight="false" outlineLevel="0" collapsed="false">
      <c r="A20" s="4" t="s">
        <v>122</v>
      </c>
      <c r="B20" s="28" t="n">
        <f aca="false">COUNTIFS(DONNEES!$E$2:$E$1501,$A20,DONNEES!$L$2:$L$1501,"Correct")</f>
        <v>203</v>
      </c>
      <c r="C20" s="28" t="n">
        <f aca="false">COUNTIFS(DONNEES!$E$2:$E$1501,$A20,DONNEES!$L$2:$L$1501,"Pas d’info à tort")</f>
        <v>38</v>
      </c>
      <c r="D20" s="28" t="n">
        <f aca="false">COUNTIFS(DONNEES!$E$2:$E$1501,$A20,DONNEES!$L$2:$L$1501,"Incorrect")</f>
        <v>17</v>
      </c>
      <c r="E20" s="28" t="n">
        <f aca="false">COUNTIFS(DONNEES!$E$2:$E$1501,$A20,DONNEES!$L$2:$L$1501,"Hors sujet")</f>
        <v>4</v>
      </c>
      <c r="F20" s="28" t="n">
        <f aca="false">COUNTIFS(DONNEES!$E$2:$E$1501,$A20,DONNEES!$L$2:$L$1501,"Abstention correcte")</f>
        <v>5</v>
      </c>
      <c r="G20" s="28" t="n">
        <f aca="false">COUNTIFS(DONNEES!$E$2:$E$1501,$A20,DONNEES!$L$2:$L$1501,"Valeur sur cellule vide")</f>
        <v>0</v>
      </c>
      <c r="H20" s="28" t="n">
        <f aca="false">COUNTIFS(DONNEES!$E$2:$E$1501,$A20,DONNEES!$L$2:$L$1501,"Échec technique")</f>
        <v>0</v>
      </c>
      <c r="I20" s="28" t="n">
        <f aca="false">COUNTIFS(DONNEES!$E$2:$E$1501,$A20,DONNEES!$L$2:$L$1501,"Non capturé")</f>
        <v>3</v>
      </c>
    </row>
    <row r="21" customFormat="false" ht="15" hidden="false" customHeight="false" outlineLevel="0" collapsed="false">
      <c r="A21" s="4" t="s">
        <v>171</v>
      </c>
      <c r="B21" s="28" t="n">
        <f aca="false">COUNTIFS(DONNEES!$E$2:$E$1501,$A21,DONNEES!$L$2:$L$1501,"Correct")</f>
        <v>107</v>
      </c>
      <c r="C21" s="28" t="n">
        <f aca="false">COUNTIFS(DONNEES!$E$2:$E$1501,$A21,DONNEES!$L$2:$L$1501,"Pas d’info à tort")</f>
        <v>22</v>
      </c>
      <c r="D21" s="28" t="n">
        <f aca="false">COUNTIFS(DONNEES!$E$2:$E$1501,$A21,DONNEES!$L$2:$L$1501,"Incorrect")</f>
        <v>4</v>
      </c>
      <c r="E21" s="28" t="n">
        <f aca="false">COUNTIFS(DONNEES!$E$2:$E$1501,$A21,DONNEES!$L$2:$L$1501,"Hors sujet")</f>
        <v>2</v>
      </c>
      <c r="F21" s="28" t="n">
        <f aca="false">COUNTIFS(DONNEES!$E$2:$E$1501,$A21,DONNEES!$L$2:$L$1501,"Abstention correcte")</f>
        <v>0</v>
      </c>
      <c r="G21" s="28" t="n">
        <f aca="false">COUNTIFS(DONNEES!$E$2:$E$1501,$A21,DONNEES!$L$2:$L$1501,"Valeur sur cellule vide")</f>
        <v>0</v>
      </c>
      <c r="H21" s="28" t="n">
        <f aca="false">COUNTIFS(DONNEES!$E$2:$E$1501,$A21,DONNEES!$L$2:$L$1501,"Échec technique")</f>
        <v>0</v>
      </c>
      <c r="I21" s="28" t="n">
        <f aca="false">COUNTIFS(DONNEES!$E$2:$E$1501,$A21,DONNEES!$L$2:$L$1501,"Non capturé")</f>
        <v>1</v>
      </c>
    </row>
    <row r="22" customFormat="false" ht="15" hidden="false" customHeight="false" outlineLevel="0" collapsed="false">
      <c r="A22" s="4" t="s">
        <v>570</v>
      </c>
      <c r="B22" s="28" t="n">
        <f aca="false">COUNTIFS(DONNEES!$E$2:$E$1501,$A22,DONNEES!$L$2:$L$1501,"Correct")</f>
        <v>159</v>
      </c>
      <c r="C22" s="28" t="n">
        <f aca="false">COUNTIFS(DONNEES!$E$2:$E$1501,$A22,DONNEES!$L$2:$L$1501,"Pas d’info à tort")</f>
        <v>16</v>
      </c>
      <c r="D22" s="28" t="n">
        <f aca="false">COUNTIFS(DONNEES!$E$2:$E$1501,$A22,DONNEES!$L$2:$L$1501,"Incorrect")</f>
        <v>14</v>
      </c>
      <c r="E22" s="28" t="n">
        <f aca="false">COUNTIFS(DONNEES!$E$2:$E$1501,$A22,DONNEES!$L$2:$L$1501,"Hors sujet")</f>
        <v>5</v>
      </c>
      <c r="F22" s="28" t="n">
        <f aca="false">COUNTIFS(DONNEES!$E$2:$E$1501,$A22,DONNEES!$L$2:$L$1501,"Abstention correcte")</f>
        <v>63</v>
      </c>
      <c r="G22" s="28" t="n">
        <f aca="false">COUNTIFS(DONNEES!$E$2:$E$1501,$A22,DONNEES!$L$2:$L$1501,"Valeur sur cellule vide")</f>
        <v>2</v>
      </c>
      <c r="H22" s="28" t="n">
        <f aca="false">COUNTIFS(DONNEES!$E$2:$E$1501,$A22,DONNEES!$L$2:$L$1501,"Échec technique")</f>
        <v>1</v>
      </c>
      <c r="I22" s="28" t="n">
        <f aca="false">COUNTIFS(DONNEES!$E$2:$E$1501,$A22,DONNEES!$L$2:$L$1501,"Non capturé")</f>
        <v>0</v>
      </c>
    </row>
    <row r="23" customFormat="false" ht="15" hidden="false" customHeight="false" outlineLevel="0" collapsed="false">
      <c r="A23" s="4" t="s">
        <v>1730</v>
      </c>
      <c r="B23" s="28" t="n">
        <f aca="false">COUNTIFS(DONNEES!$E$2:$E$1501,$A23,DONNEES!$L$2:$L$1501,"Correct")</f>
        <v>66</v>
      </c>
      <c r="C23" s="28" t="n">
        <f aca="false">COUNTIFS(DONNEES!$E$2:$E$1501,$A23,DONNEES!$L$2:$L$1501,"Pas d’info à tort")</f>
        <v>11</v>
      </c>
      <c r="D23" s="28" t="n">
        <f aca="false">COUNTIFS(DONNEES!$E$2:$E$1501,$A23,DONNEES!$L$2:$L$1501,"Incorrect")</f>
        <v>1</v>
      </c>
      <c r="E23" s="28" t="n">
        <f aca="false">COUNTIFS(DONNEES!$E$2:$E$1501,$A23,DONNEES!$L$2:$L$1501,"Hors sujet")</f>
        <v>1</v>
      </c>
      <c r="F23" s="28" t="n">
        <f aca="false">COUNTIFS(DONNEES!$E$2:$E$1501,$A23,DONNEES!$L$2:$L$1501,"Abstention correcte")</f>
        <v>1</v>
      </c>
      <c r="G23" s="28" t="n">
        <f aca="false">COUNTIFS(DONNEES!$E$2:$E$1501,$A23,DONNEES!$L$2:$L$1501,"Valeur sur cellule vide")</f>
        <v>0</v>
      </c>
      <c r="H23" s="28" t="n">
        <f aca="false">COUNTIFS(DONNEES!$E$2:$E$1501,$A23,DONNEES!$L$2:$L$1501,"Échec technique")</f>
        <v>0</v>
      </c>
      <c r="I23" s="28" t="n">
        <f aca="false">COUNTIFS(DONNEES!$E$2:$E$1501,$A23,DONNEES!$L$2:$L$1501,"Non capturé")</f>
        <v>0</v>
      </c>
    </row>
    <row r="24" customFormat="false" ht="15" hidden="false" customHeight="false" outlineLevel="0" collapsed="false">
      <c r="A24" s="4" t="s">
        <v>114</v>
      </c>
      <c r="B24" s="28" t="n">
        <f aca="false">COUNTIFS(DONNEES!$E$2:$E$1501,$A24,DONNEES!$L$2:$L$1501,"Correct")</f>
        <v>149</v>
      </c>
      <c r="C24" s="28" t="n">
        <f aca="false">COUNTIFS(DONNEES!$E$2:$E$1501,$A24,DONNEES!$L$2:$L$1501,"Pas d’info à tort")</f>
        <v>13</v>
      </c>
      <c r="D24" s="28" t="n">
        <f aca="false">COUNTIFS(DONNEES!$E$2:$E$1501,$A24,DONNEES!$L$2:$L$1501,"Incorrect")</f>
        <v>6</v>
      </c>
      <c r="E24" s="28" t="n">
        <f aca="false">COUNTIFS(DONNEES!$E$2:$E$1501,$A24,DONNEES!$L$2:$L$1501,"Hors sujet")</f>
        <v>4</v>
      </c>
      <c r="F24" s="28" t="n">
        <f aca="false">COUNTIFS(DONNEES!$E$2:$E$1501,$A24,DONNEES!$L$2:$L$1501,"Abstention correcte")</f>
        <v>0</v>
      </c>
      <c r="G24" s="28" t="n">
        <f aca="false">COUNTIFS(DONNEES!$E$2:$E$1501,$A24,DONNEES!$L$2:$L$1501,"Valeur sur cellule vide")</f>
        <v>0</v>
      </c>
      <c r="H24" s="28" t="n">
        <f aca="false">COUNTIFS(DONNEES!$E$2:$E$1501,$A24,DONNEES!$L$2:$L$1501,"Échec technique")</f>
        <v>1</v>
      </c>
      <c r="I24" s="28" t="n">
        <f aca="false">COUNTIFS(DONNEES!$E$2:$E$1501,$A24,DONNEES!$L$2:$L$1501,"Non capturé")</f>
        <v>2</v>
      </c>
    </row>
    <row r="25" customFormat="false" ht="15" hidden="false" customHeight="false" outlineLevel="0" collapsed="false">
      <c r="A25" s="4" t="s">
        <v>260</v>
      </c>
      <c r="B25" s="28" t="n">
        <f aca="false">COUNTIFS(DONNEES!$E$2:$E$1501,$A25,DONNEES!$L$2:$L$1501,"Correct")</f>
        <v>59</v>
      </c>
      <c r="C25" s="28" t="n">
        <f aca="false">COUNTIFS(DONNEES!$E$2:$E$1501,$A25,DONNEES!$L$2:$L$1501,"Pas d’info à tort")</f>
        <v>7</v>
      </c>
      <c r="D25" s="28" t="n">
        <f aca="false">COUNTIFS(DONNEES!$E$2:$E$1501,$A25,DONNEES!$L$2:$L$1501,"Incorrect")</f>
        <v>1</v>
      </c>
      <c r="E25" s="28" t="n">
        <f aca="false">COUNTIFS(DONNEES!$E$2:$E$1501,$A25,DONNEES!$L$2:$L$1501,"Hors sujet")</f>
        <v>1</v>
      </c>
      <c r="F25" s="28" t="n">
        <f aca="false">COUNTIFS(DONNEES!$E$2:$E$1501,$A25,DONNEES!$L$2:$L$1501,"Abstention correcte")</f>
        <v>0</v>
      </c>
      <c r="G25" s="28" t="n">
        <f aca="false">COUNTIFS(DONNEES!$E$2:$E$1501,$A25,DONNEES!$L$2:$L$1501,"Valeur sur cellule vide")</f>
        <v>0</v>
      </c>
      <c r="H25" s="28" t="n">
        <f aca="false">COUNTIFS(DONNEES!$E$2:$E$1501,$A25,DONNEES!$L$2:$L$1501,"Échec technique")</f>
        <v>0</v>
      </c>
      <c r="I25" s="28" t="n">
        <f aca="false">COUNTIFS(DONNEES!$E$2:$E$1501,$A25,DONNEES!$L$2:$L$1501,"Non capturé")</f>
        <v>0</v>
      </c>
    </row>
    <row r="26" customFormat="false" ht="15" hidden="false" customHeight="false" outlineLevel="0" collapsed="false">
      <c r="A26" s="4" t="s">
        <v>128</v>
      </c>
      <c r="B26" s="28" t="n">
        <f aca="false">COUNTIFS(DONNEES!$E$2:$E$1501,$A26,DONNEES!$L$2:$L$1501,"Correct")</f>
        <v>164</v>
      </c>
      <c r="C26" s="28" t="n">
        <f aca="false">COUNTIFS(DONNEES!$E$2:$E$1501,$A26,DONNEES!$L$2:$L$1501,"Pas d’info à tort")</f>
        <v>15</v>
      </c>
      <c r="D26" s="28" t="n">
        <f aca="false">COUNTIFS(DONNEES!$E$2:$E$1501,$A26,DONNEES!$L$2:$L$1501,"Incorrect")</f>
        <v>3</v>
      </c>
      <c r="E26" s="28" t="n">
        <f aca="false">COUNTIFS(DONNEES!$E$2:$E$1501,$A26,DONNEES!$L$2:$L$1501,"Hors sujet")</f>
        <v>4</v>
      </c>
      <c r="F26" s="28" t="n">
        <f aca="false">COUNTIFS(DONNEES!$E$2:$E$1501,$A26,DONNEES!$L$2:$L$1501,"Abstention correcte")</f>
        <v>0</v>
      </c>
      <c r="G26" s="28" t="n">
        <f aca="false">COUNTIFS(DONNEES!$E$2:$E$1501,$A26,DONNEES!$L$2:$L$1501,"Valeur sur cellule vide")</f>
        <v>1</v>
      </c>
      <c r="H26" s="28" t="n">
        <f aca="false">COUNTIFS(DONNEES!$E$2:$E$1501,$A26,DONNEES!$L$2:$L$1501,"Échec technique")</f>
        <v>0</v>
      </c>
      <c r="I26" s="28" t="n">
        <f aca="false">COUNTIFS(DONNEES!$E$2:$E$1501,$A26,DONNEES!$L$2:$L$1501,"Non capturé")</f>
        <v>5</v>
      </c>
    </row>
    <row r="27" customFormat="false" ht="15" hidden="false" customHeight="false" outlineLevel="0" collapsed="false">
      <c r="A27" s="4" t="s">
        <v>185</v>
      </c>
      <c r="B27" s="28" t="n">
        <f aca="false">COUNTIFS(DONNEES!$E$2:$E$1501,$A27,DONNEES!$L$2:$L$1501,"Correct")</f>
        <v>46</v>
      </c>
      <c r="C27" s="28" t="n">
        <f aca="false">COUNTIFS(DONNEES!$E$2:$E$1501,$A27,DONNEES!$L$2:$L$1501,"Pas d’info à tort")</f>
        <v>3</v>
      </c>
      <c r="D27" s="28" t="n">
        <f aca="false">COUNTIFS(DONNEES!$E$2:$E$1501,$A27,DONNEES!$L$2:$L$1501,"Incorrect")</f>
        <v>1</v>
      </c>
      <c r="E27" s="28" t="n">
        <f aca="false">COUNTIFS(DONNEES!$E$2:$E$1501,$A27,DONNEES!$L$2:$L$1501,"Hors sujet")</f>
        <v>3</v>
      </c>
      <c r="F27" s="28" t="n">
        <f aca="false">COUNTIFS(DONNEES!$E$2:$E$1501,$A27,DONNEES!$L$2:$L$1501,"Abstention correcte")</f>
        <v>25</v>
      </c>
      <c r="G27" s="28" t="n">
        <f aca="false">COUNTIFS(DONNEES!$E$2:$E$1501,$A27,DONNEES!$L$2:$L$1501,"Valeur sur cellule vide")</f>
        <v>1</v>
      </c>
      <c r="H27" s="28" t="n">
        <f aca="false">COUNTIFS(DONNEES!$E$2:$E$1501,$A27,DONNEES!$L$2:$L$1501,"Échec technique")</f>
        <v>0</v>
      </c>
      <c r="I27" s="28" t="n">
        <f aca="false">COUNTIFS(DONNEES!$E$2:$E$1501,$A27,DONNEES!$L$2:$L$1501,"Non capturé")</f>
        <v>1</v>
      </c>
    </row>
    <row r="28" customFormat="false" ht="15" hidden="false" customHeight="false" outlineLevel="0" collapsed="false">
      <c r="A28" s="4" t="s">
        <v>401</v>
      </c>
      <c r="B28" s="28" t="n">
        <f aca="false">COUNTIFS(DONNEES!$E$2:$E$1501,$A28,DONNEES!$L$2:$L$1501,"Correct")</f>
        <v>19</v>
      </c>
      <c r="C28" s="28" t="n">
        <f aca="false">COUNTIFS(DONNEES!$E$2:$E$1501,$A28,DONNEES!$L$2:$L$1501,"Pas d’info à tort")</f>
        <v>1</v>
      </c>
      <c r="D28" s="28" t="n">
        <f aca="false">COUNTIFS(DONNEES!$E$2:$E$1501,$A28,DONNEES!$L$2:$L$1501,"Incorrect")</f>
        <v>1</v>
      </c>
      <c r="E28" s="28" t="n">
        <f aca="false">COUNTIFS(DONNEES!$E$2:$E$1501,$A28,DONNEES!$L$2:$L$1501,"Hors sujet")</f>
        <v>0</v>
      </c>
      <c r="F28" s="28" t="n">
        <f aca="false">COUNTIFS(DONNEES!$E$2:$E$1501,$A28,DONNEES!$L$2:$L$1501,"Abstention correcte")</f>
        <v>4</v>
      </c>
      <c r="G28" s="28" t="n">
        <f aca="false">COUNTIFS(DONNEES!$E$2:$E$1501,$A28,DONNEES!$L$2:$L$1501,"Valeur sur cellule vide")</f>
        <v>0</v>
      </c>
      <c r="H28" s="28" t="n">
        <f aca="false">COUNTIFS(DONNEES!$E$2:$E$1501,$A28,DONNEES!$L$2:$L$1501,"Échec technique")</f>
        <v>0</v>
      </c>
      <c r="I28" s="28" t="n">
        <f aca="false">COUNTIFS(DONNEES!$E$2:$E$1501,$A28,DONNEES!$L$2:$L$1501,"Non capturé")</f>
        <v>1</v>
      </c>
    </row>
    <row r="29" customFormat="false" ht="15" hidden="false" customHeight="false" outlineLevel="0" collapsed="false">
      <c r="A29" s="4" t="s">
        <v>98</v>
      </c>
      <c r="B29" s="28" t="n">
        <f aca="false">COUNTIFS(DONNEES!$E$2:$E$1501,$A29,DONNEES!$L$2:$L$1501,"Correct")</f>
        <v>82</v>
      </c>
      <c r="C29" s="28" t="n">
        <f aca="false">COUNTIFS(DONNEES!$E$2:$E$1501,$A29,DONNEES!$L$2:$L$1501,"Pas d’info à tort")</f>
        <v>4</v>
      </c>
      <c r="D29" s="28" t="n">
        <f aca="false">COUNTIFS(DONNEES!$E$2:$E$1501,$A29,DONNEES!$L$2:$L$1501,"Incorrect")</f>
        <v>1</v>
      </c>
      <c r="E29" s="28" t="n">
        <f aca="false">COUNTIFS(DONNEES!$E$2:$E$1501,$A29,DONNEES!$L$2:$L$1501,"Hors sujet")</f>
        <v>1</v>
      </c>
      <c r="F29" s="28" t="n">
        <f aca="false">COUNTIFS(DONNEES!$E$2:$E$1501,$A29,DONNEES!$L$2:$L$1501,"Abstention correcte")</f>
        <v>13</v>
      </c>
      <c r="G29" s="28" t="n">
        <f aca="false">COUNTIFS(DONNEES!$E$2:$E$1501,$A29,DONNEES!$L$2:$L$1501,"Valeur sur cellule vide")</f>
        <v>0</v>
      </c>
      <c r="H29" s="28" t="n">
        <f aca="false">COUNTIFS(DONNEES!$E$2:$E$1501,$A29,DONNEES!$L$2:$L$1501,"Échec technique")</f>
        <v>0</v>
      </c>
      <c r="I29" s="28" t="n">
        <f aca="false">COUNTIFS(DONNEES!$E$2:$E$1501,$A29,DONNEES!$L$2:$L$1501,"Non capturé")</f>
        <v>2</v>
      </c>
    </row>
  </sheetData>
  <conditionalFormatting sqref="B5:G15">
    <cfRule type="colorScale" priority="2">
      <colorScale>
        <cfvo type="num" val="0.4"/>
        <cfvo type="num" val="0.8"/>
        <cfvo type="num" val="1"/>
        <color rgb="FFF6D5D5"/>
        <color rgb="FFFFFFFF"/>
        <color rgb="FF9FDCC4"/>
      </colorScale>
    </cfRule>
  </conditionalFormatting>
  <conditionalFormatting sqref="B19:B29">
    <cfRule type="dataBar" priority="3">
      <dataBar showValue="1" minLength="10" maxLength="90">
        <cfvo type="min" val="0"/>
        <cfvo type="max" val="0"/>
        <color rgb="FF1BAF7A"/>
      </dataBar>
      <extLst>
        <ext xmlns:x14="http://schemas.microsoft.com/office/spreadsheetml/2009/9/main" uri="{B025F937-C7B1-47D3-B67F-A62EFF666E3E}">
          <x14:id>{AC59A917-1B37-4B7A-9A27-93DD529F6444}</x14:id>
        </ext>
      </extLst>
    </cfRule>
  </conditionalFormatting>
  <conditionalFormatting sqref="C19:C29">
    <cfRule type="dataBar" priority="4">
      <dataBar showValue="1" minLength="10" maxLength="90">
        <cfvo type="min" val="0"/>
        <cfvo type="max" val="0"/>
        <color rgb="FFE09A00"/>
      </dataBar>
      <extLst>
        <ext xmlns:x14="http://schemas.microsoft.com/office/spreadsheetml/2009/9/main" uri="{B025F937-C7B1-47D3-B67F-A62EFF666E3E}">
          <x14:id>{10EC9B00-C2BD-4FA0-BA80-E142225D8AC0}</x14:id>
        </ext>
      </extLst>
    </cfRule>
  </conditionalFormatting>
  <conditionalFormatting sqref="D19:D29">
    <cfRule type="dataBar" priority="5">
      <dataBar showValue="1" minLength="10" maxLength="90">
        <cfvo type="min" val="0"/>
        <cfvo type="max" val="0"/>
        <color rgb="FFD03B3B"/>
      </dataBar>
      <extLst>
        <ext xmlns:x14="http://schemas.microsoft.com/office/spreadsheetml/2009/9/main" uri="{B025F937-C7B1-47D3-B67F-A62EFF666E3E}">
          <x14:id>{C46692FF-5BA1-40AC-A51A-75E4209B3758}</x14:id>
        </ext>
      </extLst>
    </cfRule>
  </conditionalFormatting>
  <conditionalFormatting sqref="E19:E29">
    <cfRule type="dataBar" priority="6">
      <dataBar showValue="1" minLength="10" maxLength="90">
        <cfvo type="min" val="0"/>
        <cfvo type="max" val="0"/>
        <color rgb="FF2A78D6"/>
      </dataBar>
      <extLst>
        <ext xmlns:x14="http://schemas.microsoft.com/office/spreadsheetml/2009/9/main" uri="{B025F937-C7B1-47D3-B67F-A62EFF666E3E}">
          <x14:id>{174BD3E2-4700-4AD9-A49E-3FB025B4704A}</x14:id>
        </ext>
      </extLst>
    </cfRule>
  </conditionalFormatting>
  <conditionalFormatting sqref="F19:F29">
    <cfRule type="dataBar" priority="7">
      <dataBar showValue="1" minLength="10" maxLength="90">
        <cfvo type="min" val="0"/>
        <cfvo type="max" val="0"/>
        <color rgb="FF86B6EF"/>
      </dataBar>
      <extLst>
        <ext xmlns:x14="http://schemas.microsoft.com/office/spreadsheetml/2009/9/main" uri="{B025F937-C7B1-47D3-B67F-A62EFF666E3E}">
          <x14:id>{E9D6DE56-C4E0-4B77-8999-11566087A7FA}</x14:id>
        </ext>
      </extLst>
    </cfRule>
  </conditionalFormatting>
  <conditionalFormatting sqref="G19:G29">
    <cfRule type="dataBar" priority="8">
      <dataBar showValue="1" minLength="10" maxLength="90">
        <cfvo type="min" val="0"/>
        <cfvo type="max" val="0"/>
        <color rgb="FFEC835A"/>
      </dataBar>
      <extLst>
        <ext xmlns:x14="http://schemas.microsoft.com/office/spreadsheetml/2009/9/main" uri="{B025F937-C7B1-47D3-B67F-A62EFF666E3E}">
          <x14:id>{25CF5811-D759-48DE-89BD-6282AF90704F}</x14:id>
        </ext>
      </extLst>
    </cfRule>
  </conditionalFormatting>
  <conditionalFormatting sqref="H19:H29">
    <cfRule type="dataBar" priority="9">
      <dataBar showValue="1" minLength="10" maxLength="90">
        <cfvo type="min" val="0"/>
        <cfvo type="max" val="0"/>
        <color rgb="FF898781"/>
      </dataBar>
      <extLst>
        <ext xmlns:x14="http://schemas.microsoft.com/office/spreadsheetml/2009/9/main" uri="{B025F937-C7B1-47D3-B67F-A62EFF666E3E}">
          <x14:id>{FA89E77A-C6E3-471C-85C8-85BA68455720}</x14:id>
        </ext>
      </extLst>
    </cfRule>
  </conditionalFormatting>
  <conditionalFormatting sqref="I19:I29">
    <cfRule type="dataBar" priority="10">
      <dataBar showValue="1" minLength="10" maxLength="90">
        <cfvo type="min" val="0"/>
        <cfvo type="max" val="0"/>
        <color rgb="FFC3C2B7"/>
      </dataBar>
      <extLst>
        <ext xmlns:x14="http://schemas.microsoft.com/office/spreadsheetml/2009/9/main" uri="{B025F937-C7B1-47D3-B67F-A62EFF666E3E}">
          <x14:id>{6A91F0D7-E466-4518-BAFC-6F7FAE6DBCF7}</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AC59A917-1B37-4B7A-9A27-93DD529F6444}">
            <x14:dataBar minLength="10" maxLength="90" axisPosition="none" gradient="true">
              <x14:cfvo type="min"/>
              <x14:cfvo type="max"/>
              <x14:negativeFillColor rgb="FF1BAF7A"/>
              <x14:axisColor rgb="FF000000"/>
            </x14:dataBar>
          </x14:cfRule>
          <xm:sqref>B19:B29</xm:sqref>
        </x14:conditionalFormatting>
        <x14:conditionalFormatting xmlns:xm="http://schemas.microsoft.com/office/excel/2006/main">
          <x14:cfRule type="dataBar" id="{10EC9B00-C2BD-4FA0-BA80-E142225D8AC0}">
            <x14:dataBar minLength="10" maxLength="90" axisPosition="none" gradient="true">
              <x14:cfvo type="min"/>
              <x14:cfvo type="max"/>
              <x14:negativeFillColor rgb="FFE09A00"/>
              <x14:axisColor rgb="FF000000"/>
            </x14:dataBar>
          </x14:cfRule>
          <xm:sqref>C19:C29</xm:sqref>
        </x14:conditionalFormatting>
        <x14:conditionalFormatting xmlns:xm="http://schemas.microsoft.com/office/excel/2006/main">
          <x14:cfRule type="dataBar" id="{C46692FF-5BA1-40AC-A51A-75E4209B3758}">
            <x14:dataBar minLength="10" maxLength="90" axisPosition="none" gradient="true">
              <x14:cfvo type="min"/>
              <x14:cfvo type="max"/>
              <x14:negativeFillColor rgb="FFD03B3B"/>
              <x14:axisColor rgb="FF000000"/>
            </x14:dataBar>
          </x14:cfRule>
          <xm:sqref>D19:D29</xm:sqref>
        </x14:conditionalFormatting>
        <x14:conditionalFormatting xmlns:xm="http://schemas.microsoft.com/office/excel/2006/main">
          <x14:cfRule type="dataBar" id="{174BD3E2-4700-4AD9-A49E-3FB025B4704A}">
            <x14:dataBar minLength="10" maxLength="90" axisPosition="none" gradient="true">
              <x14:cfvo type="min"/>
              <x14:cfvo type="max"/>
              <x14:negativeFillColor rgb="FF2A78D6"/>
              <x14:axisColor rgb="FF000000"/>
            </x14:dataBar>
          </x14:cfRule>
          <xm:sqref>E19:E29</xm:sqref>
        </x14:conditionalFormatting>
        <x14:conditionalFormatting xmlns:xm="http://schemas.microsoft.com/office/excel/2006/main">
          <x14:cfRule type="dataBar" id="{E9D6DE56-C4E0-4B77-8999-11566087A7FA}">
            <x14:dataBar minLength="10" maxLength="90" axisPosition="none" gradient="true">
              <x14:cfvo type="min"/>
              <x14:cfvo type="max"/>
              <x14:negativeFillColor rgb="FF86B6EF"/>
              <x14:axisColor rgb="FF000000"/>
            </x14:dataBar>
          </x14:cfRule>
          <xm:sqref>F19:F29</xm:sqref>
        </x14:conditionalFormatting>
        <x14:conditionalFormatting xmlns:xm="http://schemas.microsoft.com/office/excel/2006/main">
          <x14:cfRule type="dataBar" id="{25CF5811-D759-48DE-89BD-6282AF90704F}">
            <x14:dataBar minLength="10" maxLength="90" axisPosition="none" gradient="true">
              <x14:cfvo type="min"/>
              <x14:cfvo type="max"/>
              <x14:negativeFillColor rgb="FFEC835A"/>
              <x14:axisColor rgb="FF000000"/>
            </x14:dataBar>
          </x14:cfRule>
          <xm:sqref>G19:G29</xm:sqref>
        </x14:conditionalFormatting>
        <x14:conditionalFormatting xmlns:xm="http://schemas.microsoft.com/office/excel/2006/main">
          <x14:cfRule type="dataBar" id="{FA89E77A-C6E3-471C-85C8-85BA68455720}">
            <x14:dataBar minLength="10" maxLength="90" axisPosition="none" gradient="true">
              <x14:cfvo type="min"/>
              <x14:cfvo type="max"/>
              <x14:negativeFillColor rgb="FF898781"/>
              <x14:axisColor rgb="FF000000"/>
            </x14:dataBar>
          </x14:cfRule>
          <xm:sqref>H19:H29</xm:sqref>
        </x14:conditionalFormatting>
        <x14:conditionalFormatting xmlns:xm="http://schemas.microsoft.com/office/excel/2006/main">
          <x14:cfRule type="dataBar" id="{6A91F0D7-E466-4518-BAFC-6F7FAE6DBCF7}">
            <x14:dataBar minLength="10" maxLength="90" axisPosition="none" gradient="true">
              <x14:cfvo type="min"/>
              <x14:cfvo type="max"/>
              <x14:negativeFillColor rgb="FFC3C2B7"/>
              <x14:axisColor rgb="FF000000"/>
            </x14:dataBar>
          </x14:cfRule>
          <xm:sqref>I19:I29</xm:sqref>
        </x14:conditionalFormatting>
      </x14:conditionalFormatting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3" min="3" style="0" width="14"/>
    <col collapsed="false" customWidth="true" hidden="false" outlineLevel="0" max="4" min="4" style="0" width="12"/>
    <col collapsed="false" customWidth="true" hidden="false" outlineLevel="0" max="5" min="5" style="0" width="14"/>
    <col collapsed="false" customWidth="true" hidden="false" outlineLevel="0" max="6" min="6" style="0" width="12"/>
  </cols>
  <sheetData>
    <row r="1" customFormat="false" ht="18.55" hidden="false" customHeight="false" outlineLevel="0" collapsed="false">
      <c r="A1" s="1" t="s">
        <v>5396</v>
      </c>
    </row>
    <row r="2" customFormat="false" ht="15" hidden="false" customHeight="false" outlineLevel="0" collapsed="false">
      <c r="A2" s="2" t="s">
        <v>5397</v>
      </c>
    </row>
    <row r="4" customFormat="false" ht="15" hidden="false" customHeight="false" outlineLevel="0" collapsed="false">
      <c r="A4" s="3" t="s">
        <v>81</v>
      </c>
      <c r="B4" s="3" t="s">
        <v>5398</v>
      </c>
      <c r="C4" s="3" t="s">
        <v>5399</v>
      </c>
      <c r="D4" s="3" t="s">
        <v>5400</v>
      </c>
      <c r="E4" s="3" t="s">
        <v>5401</v>
      </c>
      <c r="F4" s="3" t="s">
        <v>5402</v>
      </c>
    </row>
    <row r="5" customFormat="false" ht="15" hidden="false" customHeight="false" outlineLevel="0" collapsed="false">
      <c r="A5" s="4" t="s">
        <v>158</v>
      </c>
      <c r="B5" s="4" t="n">
        <f aca="false">COUNTIFS(DONNEES!$H$2:$H$1501,"NOTABLE",DONNEES!$S$2:$S$1501,"Oui",DONNEES!$R$2:$R$1501,"Correct",DONNEES!$E$2:$E$1501,$A5)+COUNTIFS(DONNEES!$H$2:$H$1501,"NOTABLE",DONNEES!$S$2:$S$1501,"Oui",DONNEES!$R$2:$R$1501,"Pas d’info à tort",DONNEES!$E$2:$E$1501,$A5)+COUNTIFS(DONNEES!$H$2:$H$1501,"NOTABLE",DONNEES!$S$2:$S$1501,"Oui",DONNEES!$R$2:$R$1501,"Incorrect",DONNEES!$E$2:$E$1501,$A5)+COUNTIFS(DONNEES!$H$2:$H$1501,"NOTABLE",DONNEES!$S$2:$S$1501,"Oui",DONNEES!$R$2:$R$1501,"Hors sujet",DONNEES!$E$2:$E$1501,$A5)</f>
        <v>37</v>
      </c>
      <c r="C5" s="25" t="n">
        <f aca="false">IF(B5=0,"",COUNTIFS(DONNEES!$H$2:$H$1501,"NOTABLE",DONNEES!$S$2:$S$1501,"Oui",DONNEES!$R$2:$R$1501,"Correct",DONNEES!$E$2:$E$1501,$A5)/B5)</f>
        <v>0.351351351351351</v>
      </c>
      <c r="D5" s="4" t="n">
        <f aca="false">COUNTIFS(DONNEES!$H$2:$H$1501,"NOTABLE",DONNEES!$L$2:$L$1501,"Correct",DONNEES!$S$2:$S$1501,"Oui",DONNEES!$E$2:$E$1501,$A5)+COUNTIFS(DONNEES!$H$2:$H$1501,"NOTABLE",DONNEES!$L$2:$L$1501,"Pas d’info à tort",DONNEES!$S$2:$S$1501,"Oui",DONNEES!$E$2:$E$1501,$A5)+COUNTIFS(DONNEES!$H$2:$H$1501,"NOTABLE",DONNEES!$L$2:$L$1501,"Incorrect",DONNEES!$S$2:$S$1501,"Oui",DONNEES!$E$2:$E$1501,$A5)+COUNTIFS(DONNEES!$H$2:$H$1501,"NOTABLE",DONNEES!$L$2:$L$1501,"Hors sujet",DONNEES!$S$2:$S$1501,"Oui",DONNEES!$E$2:$E$1501,$A5)</f>
        <v>38</v>
      </c>
      <c r="E5" s="25" t="n">
        <f aca="false">IF(D5=0,"",COUNTIFS(DONNEES!$H$2:$H$1501,"NOTABLE",DONNEES!$S$2:$S$1501,"Oui",DONNEES!$L$2:$L$1501,"Correct",DONNEES!$E$2:$E$1501,$A5)/D5)</f>
        <v>0.368421052631579</v>
      </c>
      <c r="F5" s="29" t="n">
        <f aca="false">IF(OR(C5="",E5=""),"",(E5-C5)*100)</f>
        <v>1.70697012802276</v>
      </c>
    </row>
    <row r="6" customFormat="false" ht="15" hidden="false" customHeight="false" outlineLevel="0" collapsed="false">
      <c r="A6" s="4" t="s">
        <v>122</v>
      </c>
      <c r="B6" s="4" t="n">
        <f aca="false">COUNTIFS(DONNEES!$H$2:$H$1501,"NOTABLE",DONNEES!$S$2:$S$1501,"Oui",DONNEES!$R$2:$R$1501,"Correct",DONNEES!$E$2:$E$1501,$A6)+COUNTIFS(DONNEES!$H$2:$H$1501,"NOTABLE",DONNEES!$S$2:$S$1501,"Oui",DONNEES!$R$2:$R$1501,"Pas d’info à tort",DONNEES!$E$2:$E$1501,$A6)+COUNTIFS(DONNEES!$H$2:$H$1501,"NOTABLE",DONNEES!$S$2:$S$1501,"Oui",DONNEES!$R$2:$R$1501,"Incorrect",DONNEES!$E$2:$E$1501,$A6)+COUNTIFS(DONNEES!$H$2:$H$1501,"NOTABLE",DONNEES!$S$2:$S$1501,"Oui",DONNEES!$R$2:$R$1501,"Hors sujet",DONNEES!$E$2:$E$1501,$A6)</f>
        <v>97</v>
      </c>
      <c r="C6" s="25" t="n">
        <f aca="false">IF(B6=0,"",COUNTIFS(DONNEES!$H$2:$H$1501,"NOTABLE",DONNEES!$S$2:$S$1501,"Oui",DONNEES!$R$2:$R$1501,"Correct",DONNEES!$E$2:$E$1501,$A6)/B6)</f>
        <v>0.783505154639175</v>
      </c>
      <c r="D6" s="4" t="n">
        <f aca="false">COUNTIFS(DONNEES!$H$2:$H$1501,"NOTABLE",DONNEES!$L$2:$L$1501,"Correct",DONNEES!$S$2:$S$1501,"Oui",DONNEES!$E$2:$E$1501,$A6)+COUNTIFS(DONNEES!$H$2:$H$1501,"NOTABLE",DONNEES!$L$2:$L$1501,"Pas d’info à tort",DONNEES!$S$2:$S$1501,"Oui",DONNEES!$E$2:$E$1501,$A6)+COUNTIFS(DONNEES!$H$2:$H$1501,"NOTABLE",DONNEES!$L$2:$L$1501,"Incorrect",DONNEES!$S$2:$S$1501,"Oui",DONNEES!$E$2:$E$1501,$A6)+COUNTIFS(DONNEES!$H$2:$H$1501,"NOTABLE",DONNEES!$L$2:$L$1501,"Hors sujet",DONNEES!$S$2:$S$1501,"Oui",DONNEES!$E$2:$E$1501,$A6)</f>
        <v>100</v>
      </c>
      <c r="E6" s="25" t="n">
        <f aca="false">IF(D6=0,"",COUNTIFS(DONNEES!$H$2:$H$1501,"NOTABLE",DONNEES!$S$2:$S$1501,"Oui",DONNEES!$L$2:$L$1501,"Correct",DONNEES!$E$2:$E$1501,$A6)/D6)</f>
        <v>0.78</v>
      </c>
      <c r="F6" s="29" t="n">
        <f aca="false">IF(OR(C6="",E6=""),"",(E6-C6)*100)</f>
        <v>-0.350515463917522</v>
      </c>
    </row>
    <row r="7" customFormat="false" ht="15" hidden="false" customHeight="false" outlineLevel="0" collapsed="false">
      <c r="A7" s="4" t="s">
        <v>171</v>
      </c>
      <c r="B7" s="4" t="n">
        <f aca="false">COUNTIFS(DONNEES!$H$2:$H$1501,"NOTABLE",DONNEES!$S$2:$S$1501,"Oui",DONNEES!$R$2:$R$1501,"Correct",DONNEES!$E$2:$E$1501,$A7)+COUNTIFS(DONNEES!$H$2:$H$1501,"NOTABLE",DONNEES!$S$2:$S$1501,"Oui",DONNEES!$R$2:$R$1501,"Pas d’info à tort",DONNEES!$E$2:$E$1501,$A7)+COUNTIFS(DONNEES!$H$2:$H$1501,"NOTABLE",DONNEES!$S$2:$S$1501,"Oui",DONNEES!$R$2:$R$1501,"Incorrect",DONNEES!$E$2:$E$1501,$A7)+COUNTIFS(DONNEES!$H$2:$H$1501,"NOTABLE",DONNEES!$S$2:$S$1501,"Oui",DONNEES!$R$2:$R$1501,"Hors sujet",DONNEES!$E$2:$E$1501,$A7)</f>
        <v>73</v>
      </c>
      <c r="C7" s="25" t="n">
        <f aca="false">IF(B7=0,"",COUNTIFS(DONNEES!$H$2:$H$1501,"NOTABLE",DONNEES!$S$2:$S$1501,"Oui",DONNEES!$R$2:$R$1501,"Correct",DONNEES!$E$2:$E$1501,$A7)/B7)</f>
        <v>0.767123287671233</v>
      </c>
      <c r="D7" s="4" t="n">
        <f aca="false">COUNTIFS(DONNEES!$H$2:$H$1501,"NOTABLE",DONNEES!$L$2:$L$1501,"Correct",DONNEES!$S$2:$S$1501,"Oui",DONNEES!$E$2:$E$1501,$A7)+COUNTIFS(DONNEES!$H$2:$H$1501,"NOTABLE",DONNEES!$L$2:$L$1501,"Pas d’info à tort",DONNEES!$S$2:$S$1501,"Oui",DONNEES!$E$2:$E$1501,$A7)+COUNTIFS(DONNEES!$H$2:$H$1501,"NOTABLE",DONNEES!$L$2:$L$1501,"Incorrect",DONNEES!$S$2:$S$1501,"Oui",DONNEES!$E$2:$E$1501,$A7)+COUNTIFS(DONNEES!$H$2:$H$1501,"NOTABLE",DONNEES!$L$2:$L$1501,"Hors sujet",DONNEES!$S$2:$S$1501,"Oui",DONNEES!$E$2:$E$1501,$A7)</f>
        <v>74</v>
      </c>
      <c r="E7" s="25" t="n">
        <f aca="false">IF(D7=0,"",COUNTIFS(DONNEES!$H$2:$H$1501,"NOTABLE",DONNEES!$S$2:$S$1501,"Oui",DONNEES!$L$2:$L$1501,"Correct",DONNEES!$E$2:$E$1501,$A7)/D7)</f>
        <v>0.864864864864865</v>
      </c>
      <c r="F7" s="29" t="n">
        <f aca="false">IF(OR(C7="",E7=""),"",(E7-C7)*100)</f>
        <v>9.77415771936321</v>
      </c>
    </row>
    <row r="8" customFormat="false" ht="15" hidden="false" customHeight="false" outlineLevel="0" collapsed="false">
      <c r="A8" s="4" t="s">
        <v>570</v>
      </c>
      <c r="B8" s="4" t="n">
        <f aca="false">COUNTIFS(DONNEES!$H$2:$H$1501,"NOTABLE",DONNEES!$S$2:$S$1501,"Oui",DONNEES!$R$2:$R$1501,"Correct",DONNEES!$E$2:$E$1501,$A8)+COUNTIFS(DONNEES!$H$2:$H$1501,"NOTABLE",DONNEES!$S$2:$S$1501,"Oui",DONNEES!$R$2:$R$1501,"Pas d’info à tort",DONNEES!$E$2:$E$1501,$A8)+COUNTIFS(DONNEES!$H$2:$H$1501,"NOTABLE",DONNEES!$S$2:$S$1501,"Oui",DONNEES!$R$2:$R$1501,"Incorrect",DONNEES!$E$2:$E$1501,$A8)+COUNTIFS(DONNEES!$H$2:$H$1501,"NOTABLE",DONNEES!$S$2:$S$1501,"Oui",DONNEES!$R$2:$R$1501,"Hors sujet",DONNEES!$E$2:$E$1501,$A8)</f>
        <v>38</v>
      </c>
      <c r="C8" s="25" t="n">
        <f aca="false">IF(B8=0,"",COUNTIFS(DONNEES!$H$2:$H$1501,"NOTABLE",DONNEES!$S$2:$S$1501,"Oui",DONNEES!$R$2:$R$1501,"Correct",DONNEES!$E$2:$E$1501,$A8)/B8)</f>
        <v>0.815789473684211</v>
      </c>
      <c r="D8" s="4" t="n">
        <f aca="false">COUNTIFS(DONNEES!$H$2:$H$1501,"NOTABLE",DONNEES!$L$2:$L$1501,"Correct",DONNEES!$S$2:$S$1501,"Oui",DONNEES!$E$2:$E$1501,$A8)+COUNTIFS(DONNEES!$H$2:$H$1501,"NOTABLE",DONNEES!$L$2:$L$1501,"Pas d’info à tort",DONNEES!$S$2:$S$1501,"Oui",DONNEES!$E$2:$E$1501,$A8)+COUNTIFS(DONNEES!$H$2:$H$1501,"NOTABLE",DONNEES!$L$2:$L$1501,"Incorrect",DONNEES!$S$2:$S$1501,"Oui",DONNEES!$E$2:$E$1501,$A8)+COUNTIFS(DONNEES!$H$2:$H$1501,"NOTABLE",DONNEES!$L$2:$L$1501,"Hors sujet",DONNEES!$S$2:$S$1501,"Oui",DONNEES!$E$2:$E$1501,$A8)</f>
        <v>37</v>
      </c>
      <c r="E8" s="25" t="n">
        <f aca="false">IF(D8=0,"",COUNTIFS(DONNEES!$H$2:$H$1501,"NOTABLE",DONNEES!$S$2:$S$1501,"Oui",DONNEES!$L$2:$L$1501,"Correct",DONNEES!$E$2:$E$1501,$A8)/D8)</f>
        <v>0.918918918918919</v>
      </c>
      <c r="F8" s="29" t="n">
        <f aca="false">IF(OR(C8="",E8=""),"",(E8-C8)*100)</f>
        <v>10.3129445234708</v>
      </c>
    </row>
    <row r="9" customFormat="false" ht="15" hidden="false" customHeight="false" outlineLevel="0" collapsed="false">
      <c r="A9" s="4" t="s">
        <v>1730</v>
      </c>
      <c r="B9" s="4" t="n">
        <f aca="false">COUNTIFS(DONNEES!$H$2:$H$1501,"NOTABLE",DONNEES!$S$2:$S$1501,"Oui",DONNEES!$R$2:$R$1501,"Correct",DONNEES!$E$2:$E$1501,$A9)+COUNTIFS(DONNEES!$H$2:$H$1501,"NOTABLE",DONNEES!$S$2:$S$1501,"Oui",DONNEES!$R$2:$R$1501,"Pas d’info à tort",DONNEES!$E$2:$E$1501,$A9)+COUNTIFS(DONNEES!$H$2:$H$1501,"NOTABLE",DONNEES!$S$2:$S$1501,"Oui",DONNEES!$R$2:$R$1501,"Incorrect",DONNEES!$E$2:$E$1501,$A9)+COUNTIFS(DONNEES!$H$2:$H$1501,"NOTABLE",DONNEES!$S$2:$S$1501,"Oui",DONNEES!$R$2:$R$1501,"Hors sujet",DONNEES!$E$2:$E$1501,$A9)</f>
        <v>8</v>
      </c>
      <c r="C9" s="25" t="n">
        <f aca="false">IF(B9=0,"",COUNTIFS(DONNEES!$H$2:$H$1501,"NOTABLE",DONNEES!$S$2:$S$1501,"Oui",DONNEES!$R$2:$R$1501,"Correct",DONNEES!$E$2:$E$1501,$A9)/B9)</f>
        <v>1</v>
      </c>
      <c r="D9" s="4" t="n">
        <f aca="false">COUNTIFS(DONNEES!$H$2:$H$1501,"NOTABLE",DONNEES!$L$2:$L$1501,"Correct",DONNEES!$S$2:$S$1501,"Oui",DONNEES!$E$2:$E$1501,$A9)+COUNTIFS(DONNEES!$H$2:$H$1501,"NOTABLE",DONNEES!$L$2:$L$1501,"Pas d’info à tort",DONNEES!$S$2:$S$1501,"Oui",DONNEES!$E$2:$E$1501,$A9)+COUNTIFS(DONNEES!$H$2:$H$1501,"NOTABLE",DONNEES!$L$2:$L$1501,"Incorrect",DONNEES!$S$2:$S$1501,"Oui",DONNEES!$E$2:$E$1501,$A9)+COUNTIFS(DONNEES!$H$2:$H$1501,"NOTABLE",DONNEES!$L$2:$L$1501,"Hors sujet",DONNEES!$S$2:$S$1501,"Oui",DONNEES!$E$2:$E$1501,$A9)</f>
        <v>10</v>
      </c>
      <c r="E9" s="25" t="n">
        <f aca="false">IF(D9=0,"",COUNTIFS(DONNEES!$H$2:$H$1501,"NOTABLE",DONNEES!$S$2:$S$1501,"Oui",DONNEES!$L$2:$L$1501,"Correct",DONNEES!$E$2:$E$1501,$A9)/D9)</f>
        <v>0.8</v>
      </c>
      <c r="F9" s="29" t="n">
        <f aca="false">IF(OR(C9="",E9=""),"",(E9-C9)*100)</f>
        <v>-20</v>
      </c>
    </row>
    <row r="10" customFormat="false" ht="15" hidden="false" customHeight="false" outlineLevel="0" collapsed="false">
      <c r="A10" s="4" t="s">
        <v>114</v>
      </c>
      <c r="B10" s="4" t="n">
        <f aca="false">COUNTIFS(DONNEES!$H$2:$H$1501,"NOTABLE",DONNEES!$S$2:$S$1501,"Oui",DONNEES!$R$2:$R$1501,"Correct",DONNEES!$E$2:$E$1501,$A10)+COUNTIFS(DONNEES!$H$2:$H$1501,"NOTABLE",DONNEES!$S$2:$S$1501,"Oui",DONNEES!$R$2:$R$1501,"Pas d’info à tort",DONNEES!$E$2:$E$1501,$A10)+COUNTIFS(DONNEES!$H$2:$H$1501,"NOTABLE",DONNEES!$S$2:$S$1501,"Oui",DONNEES!$R$2:$R$1501,"Incorrect",DONNEES!$E$2:$E$1501,$A10)+COUNTIFS(DONNEES!$H$2:$H$1501,"NOTABLE",DONNEES!$S$2:$S$1501,"Oui",DONNEES!$R$2:$R$1501,"Hors sujet",DONNEES!$E$2:$E$1501,$A10)</f>
        <v>81</v>
      </c>
      <c r="C10" s="25" t="n">
        <f aca="false">IF(B10=0,"",COUNTIFS(DONNEES!$H$2:$H$1501,"NOTABLE",DONNEES!$S$2:$S$1501,"Oui",DONNEES!$R$2:$R$1501,"Correct",DONNEES!$E$2:$E$1501,$A10)/B10)</f>
        <v>1</v>
      </c>
      <c r="D10" s="4" t="n">
        <f aca="false">COUNTIFS(DONNEES!$H$2:$H$1501,"NOTABLE",DONNEES!$L$2:$L$1501,"Correct",DONNEES!$S$2:$S$1501,"Oui",DONNEES!$E$2:$E$1501,$A10)+COUNTIFS(DONNEES!$H$2:$H$1501,"NOTABLE",DONNEES!$L$2:$L$1501,"Pas d’info à tort",DONNEES!$S$2:$S$1501,"Oui",DONNEES!$E$2:$E$1501,$A10)+COUNTIFS(DONNEES!$H$2:$H$1501,"NOTABLE",DONNEES!$L$2:$L$1501,"Incorrect",DONNEES!$S$2:$S$1501,"Oui",DONNEES!$E$2:$E$1501,$A10)+COUNTIFS(DONNEES!$H$2:$H$1501,"NOTABLE",DONNEES!$L$2:$L$1501,"Hors sujet",DONNEES!$S$2:$S$1501,"Oui",DONNEES!$E$2:$E$1501,$A10)</f>
        <v>80</v>
      </c>
      <c r="E10" s="25" t="n">
        <f aca="false">IF(D10=0,"",COUNTIFS(DONNEES!$H$2:$H$1501,"NOTABLE",DONNEES!$S$2:$S$1501,"Oui",DONNEES!$L$2:$L$1501,"Correct",DONNEES!$E$2:$E$1501,$A10)/D10)</f>
        <v>0.9</v>
      </c>
      <c r="F10" s="29" t="n">
        <f aca="false">IF(OR(C10="",E10=""),"",(E10-C10)*100)</f>
        <v>-10</v>
      </c>
    </row>
    <row r="11" customFormat="false" ht="15" hidden="false" customHeight="false" outlineLevel="0" collapsed="false">
      <c r="A11" s="4" t="s">
        <v>260</v>
      </c>
      <c r="B11" s="4" t="n">
        <f aca="false">COUNTIFS(DONNEES!$H$2:$H$1501,"NOTABLE",DONNEES!$S$2:$S$1501,"Oui",DONNEES!$R$2:$R$1501,"Correct",DONNEES!$E$2:$E$1501,$A11)+COUNTIFS(DONNEES!$H$2:$H$1501,"NOTABLE",DONNEES!$S$2:$S$1501,"Oui",DONNEES!$R$2:$R$1501,"Pas d’info à tort",DONNEES!$E$2:$E$1501,$A11)+COUNTIFS(DONNEES!$H$2:$H$1501,"NOTABLE",DONNEES!$S$2:$S$1501,"Oui",DONNEES!$R$2:$R$1501,"Incorrect",DONNEES!$E$2:$E$1501,$A11)+COUNTIFS(DONNEES!$H$2:$H$1501,"NOTABLE",DONNEES!$S$2:$S$1501,"Oui",DONNEES!$R$2:$R$1501,"Hors sujet",DONNEES!$E$2:$E$1501,$A11)</f>
        <v>17</v>
      </c>
      <c r="C11" s="25" t="n">
        <f aca="false">IF(B11=0,"",COUNTIFS(DONNEES!$H$2:$H$1501,"NOTABLE",DONNEES!$S$2:$S$1501,"Oui",DONNEES!$R$2:$R$1501,"Correct",DONNEES!$E$2:$E$1501,$A11)/B11)</f>
        <v>0.941176470588235</v>
      </c>
      <c r="D11" s="4" t="n">
        <f aca="false">COUNTIFS(DONNEES!$H$2:$H$1501,"NOTABLE",DONNEES!$L$2:$L$1501,"Correct",DONNEES!$S$2:$S$1501,"Oui",DONNEES!$E$2:$E$1501,$A11)+COUNTIFS(DONNEES!$H$2:$H$1501,"NOTABLE",DONNEES!$L$2:$L$1501,"Pas d’info à tort",DONNEES!$S$2:$S$1501,"Oui",DONNEES!$E$2:$E$1501,$A11)+COUNTIFS(DONNEES!$H$2:$H$1501,"NOTABLE",DONNEES!$L$2:$L$1501,"Incorrect",DONNEES!$S$2:$S$1501,"Oui",DONNEES!$E$2:$E$1501,$A11)+COUNTIFS(DONNEES!$H$2:$H$1501,"NOTABLE",DONNEES!$L$2:$L$1501,"Hors sujet",DONNEES!$S$2:$S$1501,"Oui",DONNEES!$E$2:$E$1501,$A11)</f>
        <v>17</v>
      </c>
      <c r="E11" s="25" t="n">
        <f aca="false">IF(D11=0,"",COUNTIFS(DONNEES!$H$2:$H$1501,"NOTABLE",DONNEES!$S$2:$S$1501,"Oui",DONNEES!$L$2:$L$1501,"Correct",DONNEES!$E$2:$E$1501,$A11)/D11)</f>
        <v>0.882352941176471</v>
      </c>
      <c r="F11" s="29" t="n">
        <f aca="false">IF(OR(C11="",E11=""),"",(E11-C11)*100)</f>
        <v>-5.88235294117647</v>
      </c>
    </row>
    <row r="12" customFormat="false" ht="15" hidden="false" customHeight="false" outlineLevel="0" collapsed="false">
      <c r="A12" s="4" t="s">
        <v>128</v>
      </c>
      <c r="B12" s="4" t="n">
        <f aca="false">COUNTIFS(DONNEES!$H$2:$H$1501,"NOTABLE",DONNEES!$S$2:$S$1501,"Oui",DONNEES!$R$2:$R$1501,"Correct",DONNEES!$E$2:$E$1501,$A12)+COUNTIFS(DONNEES!$H$2:$H$1501,"NOTABLE",DONNEES!$S$2:$S$1501,"Oui",DONNEES!$R$2:$R$1501,"Pas d’info à tort",DONNEES!$E$2:$E$1501,$A12)+COUNTIFS(DONNEES!$H$2:$H$1501,"NOTABLE",DONNEES!$S$2:$S$1501,"Oui",DONNEES!$R$2:$R$1501,"Incorrect",DONNEES!$E$2:$E$1501,$A12)+COUNTIFS(DONNEES!$H$2:$H$1501,"NOTABLE",DONNEES!$S$2:$S$1501,"Oui",DONNEES!$R$2:$R$1501,"Hors sujet",DONNEES!$E$2:$E$1501,$A12)</f>
        <v>96</v>
      </c>
      <c r="C12" s="25" t="n">
        <f aca="false">IF(B12=0,"",COUNTIFS(DONNEES!$H$2:$H$1501,"NOTABLE",DONNEES!$S$2:$S$1501,"Oui",DONNEES!$R$2:$R$1501,"Correct",DONNEES!$E$2:$E$1501,$A12)/B12)</f>
        <v>0.96875</v>
      </c>
      <c r="D12" s="4" t="n">
        <f aca="false">COUNTIFS(DONNEES!$H$2:$H$1501,"NOTABLE",DONNEES!$L$2:$L$1501,"Correct",DONNEES!$S$2:$S$1501,"Oui",DONNEES!$E$2:$E$1501,$A12)+COUNTIFS(DONNEES!$H$2:$H$1501,"NOTABLE",DONNEES!$L$2:$L$1501,"Pas d’info à tort",DONNEES!$S$2:$S$1501,"Oui",DONNEES!$E$2:$E$1501,$A12)+COUNTIFS(DONNEES!$H$2:$H$1501,"NOTABLE",DONNEES!$L$2:$L$1501,"Incorrect",DONNEES!$S$2:$S$1501,"Oui",DONNEES!$E$2:$E$1501,$A12)+COUNTIFS(DONNEES!$H$2:$H$1501,"NOTABLE",DONNEES!$L$2:$L$1501,"Hors sujet",DONNEES!$S$2:$S$1501,"Oui",DONNEES!$E$2:$E$1501,$A12)</f>
        <v>96</v>
      </c>
      <c r="E12" s="25" t="n">
        <f aca="false">IF(D12=0,"",COUNTIFS(DONNEES!$H$2:$H$1501,"NOTABLE",DONNEES!$S$2:$S$1501,"Oui",DONNEES!$L$2:$L$1501,"Correct",DONNEES!$E$2:$E$1501,$A12)/D12)</f>
        <v>0.885416666666667</v>
      </c>
      <c r="F12" s="29" t="n">
        <f aca="false">IF(OR(C12="",E12=""),"",(E12-C12)*100)</f>
        <v>-8.33333333333334</v>
      </c>
    </row>
    <row r="13" customFormat="false" ht="15" hidden="false" customHeight="false" outlineLevel="0" collapsed="false">
      <c r="A13" s="4" t="s">
        <v>185</v>
      </c>
      <c r="B13" s="4" t="n">
        <f aca="false">COUNTIFS(DONNEES!$H$2:$H$1501,"NOTABLE",DONNEES!$S$2:$S$1501,"Oui",DONNEES!$R$2:$R$1501,"Correct",DONNEES!$E$2:$E$1501,$A13)+COUNTIFS(DONNEES!$H$2:$H$1501,"NOTABLE",DONNEES!$S$2:$S$1501,"Oui",DONNEES!$R$2:$R$1501,"Pas d’info à tort",DONNEES!$E$2:$E$1501,$A13)+COUNTIFS(DONNEES!$H$2:$H$1501,"NOTABLE",DONNEES!$S$2:$S$1501,"Oui",DONNEES!$R$2:$R$1501,"Incorrect",DONNEES!$E$2:$E$1501,$A13)+COUNTIFS(DONNEES!$H$2:$H$1501,"NOTABLE",DONNEES!$S$2:$S$1501,"Oui",DONNEES!$R$2:$R$1501,"Hors sujet",DONNEES!$E$2:$E$1501,$A13)</f>
        <v>18</v>
      </c>
      <c r="C13" s="25" t="n">
        <f aca="false">IF(B13=0,"",COUNTIFS(DONNEES!$H$2:$H$1501,"NOTABLE",DONNEES!$S$2:$S$1501,"Oui",DONNEES!$R$2:$R$1501,"Correct",DONNEES!$E$2:$E$1501,$A13)/B13)</f>
        <v>1</v>
      </c>
      <c r="D13" s="4" t="n">
        <f aca="false">COUNTIFS(DONNEES!$H$2:$H$1501,"NOTABLE",DONNEES!$L$2:$L$1501,"Correct",DONNEES!$S$2:$S$1501,"Oui",DONNEES!$E$2:$E$1501,$A13)+COUNTIFS(DONNEES!$H$2:$H$1501,"NOTABLE",DONNEES!$L$2:$L$1501,"Pas d’info à tort",DONNEES!$S$2:$S$1501,"Oui",DONNEES!$E$2:$E$1501,$A13)+COUNTIFS(DONNEES!$H$2:$H$1501,"NOTABLE",DONNEES!$L$2:$L$1501,"Incorrect",DONNEES!$S$2:$S$1501,"Oui",DONNEES!$E$2:$E$1501,$A13)+COUNTIFS(DONNEES!$H$2:$H$1501,"NOTABLE",DONNEES!$L$2:$L$1501,"Hors sujet",DONNEES!$S$2:$S$1501,"Oui",DONNEES!$E$2:$E$1501,$A13)</f>
        <v>18</v>
      </c>
      <c r="E13" s="25" t="n">
        <f aca="false">IF(D13=0,"",COUNTIFS(DONNEES!$H$2:$H$1501,"NOTABLE",DONNEES!$S$2:$S$1501,"Oui",DONNEES!$L$2:$L$1501,"Correct",DONNEES!$E$2:$E$1501,$A13)/D13)</f>
        <v>0.888888888888889</v>
      </c>
      <c r="F13" s="29" t="n">
        <f aca="false">IF(OR(C13="",E13=""),"",(E13-C13)*100)</f>
        <v>-11.1111111111111</v>
      </c>
    </row>
    <row r="14" customFormat="false" ht="15" hidden="false" customHeight="false" outlineLevel="0" collapsed="false">
      <c r="A14" s="4" t="s">
        <v>401</v>
      </c>
      <c r="B14" s="4" t="n">
        <f aca="false">COUNTIFS(DONNEES!$H$2:$H$1501,"NOTABLE",DONNEES!$S$2:$S$1501,"Oui",DONNEES!$R$2:$R$1501,"Correct",DONNEES!$E$2:$E$1501,$A14)+COUNTIFS(DONNEES!$H$2:$H$1501,"NOTABLE",DONNEES!$S$2:$S$1501,"Oui",DONNEES!$R$2:$R$1501,"Pas d’info à tort",DONNEES!$E$2:$E$1501,$A14)+COUNTIFS(DONNEES!$H$2:$H$1501,"NOTABLE",DONNEES!$S$2:$S$1501,"Oui",DONNEES!$R$2:$R$1501,"Incorrect",DONNEES!$E$2:$E$1501,$A14)+COUNTIFS(DONNEES!$H$2:$H$1501,"NOTABLE",DONNEES!$S$2:$S$1501,"Oui",DONNEES!$R$2:$R$1501,"Hors sujet",DONNEES!$E$2:$E$1501,$A14)</f>
        <v>6</v>
      </c>
      <c r="C14" s="25" t="n">
        <f aca="false">IF(B14=0,"",COUNTIFS(DONNEES!$H$2:$H$1501,"NOTABLE",DONNEES!$S$2:$S$1501,"Oui",DONNEES!$R$2:$R$1501,"Correct",DONNEES!$E$2:$E$1501,$A14)/B14)</f>
        <v>1</v>
      </c>
      <c r="D14" s="4" t="n">
        <f aca="false">COUNTIFS(DONNEES!$H$2:$H$1501,"NOTABLE",DONNEES!$L$2:$L$1501,"Correct",DONNEES!$S$2:$S$1501,"Oui",DONNEES!$E$2:$E$1501,$A14)+COUNTIFS(DONNEES!$H$2:$H$1501,"NOTABLE",DONNEES!$L$2:$L$1501,"Pas d’info à tort",DONNEES!$S$2:$S$1501,"Oui",DONNEES!$E$2:$E$1501,$A14)+COUNTIFS(DONNEES!$H$2:$H$1501,"NOTABLE",DONNEES!$L$2:$L$1501,"Incorrect",DONNEES!$S$2:$S$1501,"Oui",DONNEES!$E$2:$E$1501,$A14)+COUNTIFS(DONNEES!$H$2:$H$1501,"NOTABLE",DONNEES!$L$2:$L$1501,"Hors sujet",DONNEES!$S$2:$S$1501,"Oui",DONNEES!$E$2:$E$1501,$A14)</f>
        <v>7</v>
      </c>
      <c r="E14" s="25" t="n">
        <f aca="false">IF(D14=0,"",COUNTIFS(DONNEES!$H$2:$H$1501,"NOTABLE",DONNEES!$S$2:$S$1501,"Oui",DONNEES!$L$2:$L$1501,"Correct",DONNEES!$E$2:$E$1501,$A14)/D14)</f>
        <v>0.857142857142857</v>
      </c>
      <c r="F14" s="29" t="n">
        <f aca="false">IF(OR(C14="",E14=""),"",(E14-C14)*100)</f>
        <v>-14.2857142857143</v>
      </c>
    </row>
    <row r="15" customFormat="false" ht="15" hidden="false" customHeight="false" outlineLevel="0" collapsed="false">
      <c r="A15" s="4" t="s">
        <v>98</v>
      </c>
      <c r="B15" s="4" t="n">
        <f aca="false">COUNTIFS(DONNEES!$H$2:$H$1501,"NOTABLE",DONNEES!$S$2:$S$1501,"Oui",DONNEES!$R$2:$R$1501,"Correct",DONNEES!$E$2:$E$1501,$A15)+COUNTIFS(DONNEES!$H$2:$H$1501,"NOTABLE",DONNEES!$S$2:$S$1501,"Oui",DONNEES!$R$2:$R$1501,"Pas d’info à tort",DONNEES!$E$2:$E$1501,$A15)+COUNTIFS(DONNEES!$H$2:$H$1501,"NOTABLE",DONNEES!$S$2:$S$1501,"Oui",DONNEES!$R$2:$R$1501,"Incorrect",DONNEES!$E$2:$E$1501,$A15)+COUNTIFS(DONNEES!$H$2:$H$1501,"NOTABLE",DONNEES!$S$2:$S$1501,"Oui",DONNEES!$R$2:$R$1501,"Hors sujet",DONNEES!$E$2:$E$1501,$A15)</f>
        <v>58</v>
      </c>
      <c r="C15" s="25" t="n">
        <f aca="false">IF(B15=0,"",COUNTIFS(DONNEES!$H$2:$H$1501,"NOTABLE",DONNEES!$S$2:$S$1501,"Oui",DONNEES!$R$2:$R$1501,"Correct",DONNEES!$E$2:$E$1501,$A15)/B15)</f>
        <v>0.982758620689655</v>
      </c>
      <c r="D15" s="4" t="n">
        <f aca="false">COUNTIFS(DONNEES!$H$2:$H$1501,"NOTABLE",DONNEES!$L$2:$L$1501,"Correct",DONNEES!$S$2:$S$1501,"Oui",DONNEES!$E$2:$E$1501,$A15)+COUNTIFS(DONNEES!$H$2:$H$1501,"NOTABLE",DONNEES!$L$2:$L$1501,"Pas d’info à tort",DONNEES!$S$2:$S$1501,"Oui",DONNEES!$E$2:$E$1501,$A15)+COUNTIFS(DONNEES!$H$2:$H$1501,"NOTABLE",DONNEES!$L$2:$L$1501,"Incorrect",DONNEES!$S$2:$S$1501,"Oui",DONNEES!$E$2:$E$1501,$A15)+COUNTIFS(DONNEES!$H$2:$H$1501,"NOTABLE",DONNEES!$L$2:$L$1501,"Hors sujet",DONNEES!$S$2:$S$1501,"Oui",DONNEES!$E$2:$E$1501,$A15)</f>
        <v>58</v>
      </c>
      <c r="E15" s="25" t="n">
        <f aca="false">IF(D15=0,"",COUNTIFS(DONNEES!$H$2:$H$1501,"NOTABLE",DONNEES!$S$2:$S$1501,"Oui",DONNEES!$L$2:$L$1501,"Correct",DONNEES!$E$2:$E$1501,$A15)/D15)</f>
        <v>0.913793103448276</v>
      </c>
      <c r="F15" s="29" t="n">
        <f aca="false">IF(OR(C15="",E15=""),"",(E15-C15)*100)</f>
        <v>-6.89655172413792</v>
      </c>
    </row>
    <row r="16" customFormat="false" ht="15" hidden="false" customHeight="false" outlineLevel="0" collapsed="false">
      <c r="A16" s="7" t="s">
        <v>5403</v>
      </c>
      <c r="B16" s="7" t="n">
        <f aca="false">COUNTIFS(DONNEES!$H$2:$H$1501,"NOTABLE",DONNEES!$S$2:$S$1501,"Oui",DONNEES!$R$2:$R$1501,"Correct")+COUNTIFS(DONNEES!$H$2:$H$1501,"NOTABLE",DONNEES!$S$2:$S$1501,"Oui",DONNEES!$R$2:$R$1501,"Pas d’info à tort")+COUNTIFS(DONNEES!$H$2:$H$1501,"NOTABLE",DONNEES!$S$2:$S$1501,"Oui",DONNEES!$R$2:$R$1501,"Incorrect")+COUNTIFS(DONNEES!$H$2:$H$1501,"NOTABLE",DONNEES!$S$2:$S$1501,"Oui",DONNEES!$R$2:$R$1501,"Hors sujet")</f>
        <v>529</v>
      </c>
      <c r="C16" s="8" t="n">
        <f aca="false">COUNTIFS(DONNEES!$H$2:$H$1501,"NOTABLE",DONNEES!$S$2:$S$1501,"Oui",DONNEES!$R$2:$R$1501,"Correct")/B16</f>
        <v>0.860113421550095</v>
      </c>
      <c r="D16" s="7" t="n">
        <f aca="false">COUNTIFS(DONNEES!$H$2:$H$1501,"NOTABLE",DONNEES!$L$2:$L$1501,"Correct",DONNEES!$S$2:$S$1501,"Oui")+COUNTIFS(DONNEES!$H$2:$H$1501,"NOTABLE",DONNEES!$L$2:$L$1501,"Pas d’info à tort",DONNEES!$S$2:$S$1501,"Oui")+COUNTIFS(DONNEES!$H$2:$H$1501,"NOTABLE",DONNEES!$L$2:$L$1501,"Incorrect",DONNEES!$S$2:$S$1501,"Oui")+COUNTIFS(DONNEES!$H$2:$H$1501,"NOTABLE",DONNEES!$L$2:$L$1501,"Hors sujet",DONNEES!$S$2:$S$1501,"Oui")</f>
        <v>535</v>
      </c>
      <c r="E16" s="8" t="n">
        <f aca="false">COUNTIFS(DONNEES!$H$2:$H$1501,"NOTABLE",DONNEES!$S$2:$S$1501,"Oui",DONNEES!$L$2:$L$1501,"Correct")/D16</f>
        <v>0.831775700934579</v>
      </c>
      <c r="F16" s="30" t="n">
        <f aca="false">(E16-C16)*100</f>
        <v>-2.83377206155151</v>
      </c>
    </row>
    <row r="18" customFormat="false" ht="15" hidden="false" customHeight="false" outlineLevel="0" collapsed="false">
      <c r="A18" s="10" t="s">
        <v>5404</v>
      </c>
    </row>
    <row r="19" customFormat="false" ht="23.85" hidden="false" customHeight="false" outlineLevel="0" collapsed="false">
      <c r="A19" s="3" t="s">
        <v>5405</v>
      </c>
      <c r="B19" s="3" t="s">
        <v>36</v>
      </c>
      <c r="C19" s="3" t="s">
        <v>37</v>
      </c>
      <c r="D19" s="3" t="s">
        <v>38</v>
      </c>
      <c r="E19" s="3" t="s">
        <v>39</v>
      </c>
    </row>
    <row r="20" customFormat="false" ht="15" hidden="false" customHeight="false" outlineLevel="0" collapsed="false">
      <c r="A20" s="4" t="s">
        <v>36</v>
      </c>
      <c r="B20" s="4" t="n">
        <f aca="false">COUNTIFS(DONNEES!$H$2:$H$1501,"NOTABLE",DONNEES!$S$2:$S$1501,"Oui",DONNEES!$R$2:$R$1501,"Correct",DONNEES!$L$2:$L$1501,"Correct")</f>
        <v>402</v>
      </c>
      <c r="C20" s="4" t="n">
        <f aca="false">COUNTIFS(DONNEES!$H$2:$H$1501,"NOTABLE",DONNEES!$S$2:$S$1501,"Oui",DONNEES!$R$2:$R$1501,"Correct",DONNEES!$L$2:$L$1501,"Pas d’info à tort")</f>
        <v>34</v>
      </c>
      <c r="D20" s="4" t="n">
        <f aca="false">COUNTIFS(DONNEES!$H$2:$H$1501,"NOTABLE",DONNEES!$S$2:$S$1501,"Oui",DONNEES!$R$2:$R$1501,"Correct",DONNEES!$L$2:$L$1501,"Incorrect")</f>
        <v>13</v>
      </c>
      <c r="E20" s="4" t="n">
        <f aca="false">COUNTIFS(DONNEES!$H$2:$H$1501,"NOTABLE",DONNEES!$S$2:$S$1501,"Oui",DONNEES!$R$2:$R$1501,"Correct",DONNEES!$L$2:$L$1501,"Hors sujet")</f>
        <v>5</v>
      </c>
    </row>
    <row r="21" customFormat="false" ht="15" hidden="false" customHeight="false" outlineLevel="0" collapsed="false">
      <c r="A21" s="4" t="s">
        <v>37</v>
      </c>
      <c r="B21" s="4" t="n">
        <f aca="false">COUNTIFS(DONNEES!$H$2:$H$1501,"NOTABLE",DONNEES!$S$2:$S$1501,"Oui",DONNEES!$R$2:$R$1501,"Pas d’info à tort",DONNEES!$L$2:$L$1501,"Correct")</f>
        <v>26</v>
      </c>
      <c r="C21" s="4" t="n">
        <f aca="false">COUNTIFS(DONNEES!$H$2:$H$1501,"NOTABLE",DONNEES!$S$2:$S$1501,"Oui",DONNEES!$R$2:$R$1501,"Pas d’info à tort",DONNEES!$L$2:$L$1501,"Pas d’info à tort")</f>
        <v>34</v>
      </c>
      <c r="D21" s="4" t="n">
        <f aca="false">COUNTIFS(DONNEES!$H$2:$H$1501,"NOTABLE",DONNEES!$S$2:$S$1501,"Oui",DONNEES!$R$2:$R$1501,"Pas d’info à tort",DONNEES!$L$2:$L$1501,"Incorrect")</f>
        <v>0</v>
      </c>
      <c r="E21" s="4" t="n">
        <f aca="false">COUNTIFS(DONNEES!$H$2:$H$1501,"NOTABLE",DONNEES!$S$2:$S$1501,"Oui",DONNEES!$R$2:$R$1501,"Pas d’info à tort",DONNEES!$L$2:$L$1501,"Hors sujet")</f>
        <v>0</v>
      </c>
    </row>
    <row r="22" customFormat="false" ht="15" hidden="false" customHeight="false" outlineLevel="0" collapsed="false">
      <c r="A22" s="4" t="s">
        <v>38</v>
      </c>
      <c r="B22" s="4" t="n">
        <f aca="false">COUNTIFS(DONNEES!$H$2:$H$1501,"NOTABLE",DONNEES!$S$2:$S$1501,"Oui",DONNEES!$R$2:$R$1501,"Incorrect",DONNEES!$L$2:$L$1501,"Correct")</f>
        <v>10</v>
      </c>
      <c r="C22" s="4" t="n">
        <f aca="false">COUNTIFS(DONNEES!$H$2:$H$1501,"NOTABLE",DONNEES!$S$2:$S$1501,"Oui",DONNEES!$R$2:$R$1501,"Incorrect",DONNEES!$L$2:$L$1501,"Pas d’info à tort")</f>
        <v>1</v>
      </c>
      <c r="D22" s="4" t="n">
        <f aca="false">COUNTIFS(DONNEES!$H$2:$H$1501,"NOTABLE",DONNEES!$S$2:$S$1501,"Oui",DONNEES!$R$2:$R$1501,"Incorrect",DONNEES!$L$2:$L$1501,"Incorrect")</f>
        <v>2</v>
      </c>
      <c r="E22" s="4" t="n">
        <f aca="false">COUNTIFS(DONNEES!$H$2:$H$1501,"NOTABLE",DONNEES!$S$2:$S$1501,"Oui",DONNEES!$R$2:$R$1501,"Incorrect",DONNEES!$L$2:$L$1501,"Hors sujet")</f>
        <v>0</v>
      </c>
    </row>
    <row r="23" customFormat="false" ht="15" hidden="false" customHeight="false" outlineLevel="0" collapsed="false">
      <c r="A23" s="4" t="s">
        <v>39</v>
      </c>
      <c r="B23" s="4" t="n">
        <f aca="false">COUNTIFS(DONNEES!$H$2:$H$1501,"NOTABLE",DONNEES!$S$2:$S$1501,"Oui",DONNEES!$R$2:$R$1501,"Hors sujet",DONNEES!$L$2:$L$1501,"Correct")</f>
        <v>0</v>
      </c>
      <c r="C23" s="4" t="n">
        <f aca="false">COUNTIFS(DONNEES!$H$2:$H$1501,"NOTABLE",DONNEES!$S$2:$S$1501,"Oui",DONNEES!$R$2:$R$1501,"Hors sujet",DONNEES!$L$2:$L$1501,"Pas d’info à tort")</f>
        <v>0</v>
      </c>
      <c r="D23" s="4" t="n">
        <f aca="false">COUNTIFS(DONNEES!$H$2:$H$1501,"NOTABLE",DONNEES!$S$2:$S$1501,"Oui",DONNEES!$R$2:$R$1501,"Hors sujet",DONNEES!$L$2:$L$1501,"Incorrect")</f>
        <v>0</v>
      </c>
      <c r="E23" s="4" t="n">
        <f aca="false">COUNTIFS(DONNEES!$H$2:$H$1501,"NOTABLE",DONNEES!$S$2:$S$1501,"Oui",DONNEES!$R$2:$R$1501,"Hors sujet",DONNEES!$L$2:$L$1501,"Hors sujet")</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1"/>
    <col collapsed="false" customWidth="true" hidden="false" outlineLevel="0" max="3" min="3" style="0" width="6"/>
    <col collapsed="false" customWidth="true" hidden="false" outlineLevel="0" max="4" min="4" style="0" width="30"/>
    <col collapsed="false" customWidth="true" hidden="false" outlineLevel="0" max="5" min="5" style="0" width="32"/>
    <col collapsed="false" customWidth="true" hidden="false" outlineLevel="0" max="6" min="6" style="0" width="13"/>
    <col collapsed="false" customWidth="true" hidden="false" outlineLevel="0" max="7" min="7" style="0" width="34"/>
    <col collapsed="false" customWidth="true" hidden="false" outlineLevel="0" max="8" min="8" style="0" width="30"/>
    <col collapsed="false" customWidth="true" hidden="false" outlineLevel="0" max="9" min="9" style="0" width="80"/>
    <col collapsed="false" customWidth="true" hidden="false" outlineLevel="0" max="10" min="10" style="0" width="40"/>
    <col collapsed="false" customWidth="true" hidden="false" outlineLevel="0" max="12" min="12" style="0" width="40"/>
    <col collapsed="false" customWidth="true" hidden="false" outlineLevel="0" max="13" min="13" style="0" width="10"/>
  </cols>
  <sheetData>
    <row r="1" customFormat="false" ht="18.55" hidden="false" customHeight="false" outlineLevel="0" collapsed="false">
      <c r="A1" s="1" t="s">
        <v>5406</v>
      </c>
    </row>
    <row r="2" customFormat="false" ht="15" hidden="false" customHeight="false" outlineLevel="0" collapsed="false">
      <c r="A2" s="2" t="s">
        <v>5407</v>
      </c>
    </row>
    <row r="4" customFormat="false" ht="35.05" hidden="false" customHeight="false" outlineLevel="0" collapsed="false">
      <c r="A4" s="3" t="s">
        <v>77</v>
      </c>
      <c r="B4" s="3" t="s">
        <v>78</v>
      </c>
      <c r="C4" s="3" t="s">
        <v>79</v>
      </c>
      <c r="D4" s="3" t="s">
        <v>5383</v>
      </c>
      <c r="E4" s="3" t="s">
        <v>83</v>
      </c>
      <c r="F4" s="3" t="s">
        <v>34</v>
      </c>
      <c r="G4" s="3" t="s">
        <v>5408</v>
      </c>
      <c r="H4" s="3" t="s">
        <v>5409</v>
      </c>
      <c r="I4" s="3" t="s">
        <v>87</v>
      </c>
      <c r="J4" s="3" t="s">
        <v>88</v>
      </c>
      <c r="L4" s="11" t="s">
        <v>5410</v>
      </c>
      <c r="M4" s="11" t="s">
        <v>35</v>
      </c>
    </row>
    <row r="5" customFormat="false" ht="23.85" hidden="false" customHeight="false" outlineLevel="0" collapsed="false">
      <c r="A5" s="21" t="s">
        <v>563</v>
      </c>
      <c r="B5" s="21" t="s">
        <v>558</v>
      </c>
      <c r="C5" s="21" t="n">
        <v>2</v>
      </c>
      <c r="D5" s="21" t="s">
        <v>559</v>
      </c>
      <c r="E5" s="21" t="s">
        <v>519</v>
      </c>
      <c r="F5" s="31" t="s">
        <v>39</v>
      </c>
      <c r="G5" s="21" t="s">
        <v>39</v>
      </c>
      <c r="H5" s="21" t="s">
        <v>284</v>
      </c>
      <c r="I5" s="21" t="s">
        <v>564</v>
      </c>
      <c r="J5" s="21" t="s">
        <v>565</v>
      </c>
      <c r="L5" s="13" t="s">
        <v>5411</v>
      </c>
      <c r="M5" s="13" t="n">
        <f aca="false">COUNTIFS($G$5:$G$79,L5)</f>
        <v>15</v>
      </c>
    </row>
    <row r="6" customFormat="false" ht="23.85" hidden="false" customHeight="false" outlineLevel="0" collapsed="false">
      <c r="A6" s="21" t="s">
        <v>678</v>
      </c>
      <c r="B6" s="21" t="s">
        <v>679</v>
      </c>
      <c r="C6" s="21" t="n">
        <v>1</v>
      </c>
      <c r="D6" s="21" t="s">
        <v>680</v>
      </c>
      <c r="E6" s="21" t="s">
        <v>146</v>
      </c>
      <c r="F6" s="31" t="s">
        <v>39</v>
      </c>
      <c r="G6" s="21" t="s">
        <v>39</v>
      </c>
      <c r="H6" s="21" t="s">
        <v>148</v>
      </c>
      <c r="I6" s="21"/>
      <c r="J6" s="21" t="s">
        <v>565</v>
      </c>
      <c r="L6" s="13" t="s">
        <v>5412</v>
      </c>
      <c r="M6" s="13" t="n">
        <f aca="false">COUNTIFS($G$5:$G$79,L6)</f>
        <v>11</v>
      </c>
    </row>
    <row r="7" customFormat="false" ht="23.85" hidden="false" customHeight="false" outlineLevel="0" collapsed="false">
      <c r="A7" s="21" t="s">
        <v>1457</v>
      </c>
      <c r="B7" s="21" t="s">
        <v>1458</v>
      </c>
      <c r="C7" s="21" t="n">
        <v>1</v>
      </c>
      <c r="D7" s="21" t="s">
        <v>1459</v>
      </c>
      <c r="E7" s="21" t="s">
        <v>193</v>
      </c>
      <c r="F7" s="31" t="s">
        <v>39</v>
      </c>
      <c r="G7" s="21" t="s">
        <v>39</v>
      </c>
      <c r="H7" s="21" t="s">
        <v>195</v>
      </c>
      <c r="I7" s="21" t="s">
        <v>1461</v>
      </c>
      <c r="J7" s="21" t="s">
        <v>565</v>
      </c>
      <c r="L7" s="13" t="s">
        <v>5413</v>
      </c>
      <c r="M7" s="13" t="n">
        <f aca="false">COUNTIFS($G$5:$G$79,L7)</f>
        <v>6</v>
      </c>
    </row>
    <row r="8" customFormat="false" ht="23.85" hidden="false" customHeight="false" outlineLevel="0" collapsed="false">
      <c r="A8" s="21" t="s">
        <v>1462</v>
      </c>
      <c r="B8" s="21" t="s">
        <v>1458</v>
      </c>
      <c r="C8" s="21" t="n">
        <v>2</v>
      </c>
      <c r="D8" s="21" t="s">
        <v>1459</v>
      </c>
      <c r="E8" s="21" t="s">
        <v>129</v>
      </c>
      <c r="F8" s="31" t="s">
        <v>39</v>
      </c>
      <c r="G8" s="21" t="s">
        <v>39</v>
      </c>
      <c r="H8" s="21" t="s">
        <v>199</v>
      </c>
      <c r="I8" s="21" t="s">
        <v>1463</v>
      </c>
      <c r="J8" s="21" t="s">
        <v>565</v>
      </c>
      <c r="L8" s="13" t="s">
        <v>5414</v>
      </c>
      <c r="M8" s="13" t="n">
        <f aca="false">COUNTIFS($G$5:$G$79,L8)</f>
        <v>6</v>
      </c>
    </row>
    <row r="9" customFormat="false" ht="23.85" hidden="false" customHeight="false" outlineLevel="0" collapsed="false">
      <c r="A9" s="21" t="s">
        <v>1464</v>
      </c>
      <c r="B9" s="21" t="s">
        <v>1458</v>
      </c>
      <c r="C9" s="21" t="n">
        <v>3</v>
      </c>
      <c r="D9" s="21" t="s">
        <v>1459</v>
      </c>
      <c r="E9" s="21" t="s">
        <v>109</v>
      </c>
      <c r="F9" s="31" t="s">
        <v>39</v>
      </c>
      <c r="G9" s="21" t="s">
        <v>39</v>
      </c>
      <c r="H9" s="21" t="s">
        <v>996</v>
      </c>
      <c r="I9" s="21" t="s">
        <v>1465</v>
      </c>
      <c r="J9" s="21" t="s">
        <v>565</v>
      </c>
      <c r="L9" s="13" t="s">
        <v>5415</v>
      </c>
      <c r="M9" s="13" t="n">
        <f aca="false">COUNTIFS($G$5:$G$79,L9)</f>
        <v>5</v>
      </c>
    </row>
    <row r="10" customFormat="false" ht="35.05" hidden="false" customHeight="false" outlineLevel="0" collapsed="false">
      <c r="A10" s="21" t="s">
        <v>1466</v>
      </c>
      <c r="B10" s="21" t="s">
        <v>1458</v>
      </c>
      <c r="C10" s="21" t="n">
        <v>4</v>
      </c>
      <c r="D10" s="21" t="s">
        <v>1459</v>
      </c>
      <c r="E10" s="21" t="s">
        <v>380</v>
      </c>
      <c r="F10" s="31" t="s">
        <v>39</v>
      </c>
      <c r="G10" s="21" t="s">
        <v>39</v>
      </c>
      <c r="H10" s="21" t="s">
        <v>154</v>
      </c>
      <c r="I10" s="21" t="s">
        <v>1467</v>
      </c>
      <c r="J10" s="21" t="s">
        <v>565</v>
      </c>
      <c r="L10" s="13" t="s">
        <v>5416</v>
      </c>
      <c r="M10" s="13" t="n">
        <f aca="false">COUNTIFS($G$5:$G$79,L10)</f>
        <v>3</v>
      </c>
    </row>
    <row r="11" customFormat="false" ht="23.85" hidden="false" customHeight="false" outlineLevel="0" collapsed="false">
      <c r="A11" s="21" t="s">
        <v>1879</v>
      </c>
      <c r="B11" s="21" t="s">
        <v>1873</v>
      </c>
      <c r="C11" s="21" t="n">
        <v>2</v>
      </c>
      <c r="D11" s="21" t="s">
        <v>1094</v>
      </c>
      <c r="E11" s="21" t="s">
        <v>1811</v>
      </c>
      <c r="F11" s="31" t="s">
        <v>39</v>
      </c>
      <c r="G11" s="21" t="s">
        <v>39</v>
      </c>
      <c r="H11" s="21" t="s">
        <v>1741</v>
      </c>
      <c r="I11" s="21" t="s">
        <v>1881</v>
      </c>
      <c r="J11" s="21" t="s">
        <v>565</v>
      </c>
      <c r="L11" s="13" t="s">
        <v>5417</v>
      </c>
      <c r="M11" s="13" t="n">
        <f aca="false">COUNTIFS($G$5:$G$79,L11)</f>
        <v>3</v>
      </c>
    </row>
    <row r="12" customFormat="false" ht="23.85" hidden="false" customHeight="false" outlineLevel="0" collapsed="false">
      <c r="A12" s="21" t="s">
        <v>1886</v>
      </c>
      <c r="B12" s="21" t="s">
        <v>1873</v>
      </c>
      <c r="C12" s="21" t="n">
        <v>4</v>
      </c>
      <c r="D12" s="21" t="s">
        <v>409</v>
      </c>
      <c r="E12" s="21" t="s">
        <v>1887</v>
      </c>
      <c r="F12" s="31" t="s">
        <v>39</v>
      </c>
      <c r="G12" s="21" t="s">
        <v>39</v>
      </c>
      <c r="H12" s="21" t="s">
        <v>512</v>
      </c>
      <c r="I12" s="21" t="s">
        <v>1889</v>
      </c>
      <c r="J12" s="21" t="s">
        <v>565</v>
      </c>
      <c r="L12" s="13" t="s">
        <v>39</v>
      </c>
      <c r="M12" s="13" t="n">
        <f aca="false">COUNTIFS($G$5:$G$79,L12)</f>
        <v>26</v>
      </c>
    </row>
    <row r="13" customFormat="false" ht="35.05" hidden="false" customHeight="false" outlineLevel="0" collapsed="false">
      <c r="A13" s="21" t="s">
        <v>1890</v>
      </c>
      <c r="B13" s="21" t="s">
        <v>1873</v>
      </c>
      <c r="C13" s="21" t="n">
        <v>5</v>
      </c>
      <c r="D13" s="21" t="s">
        <v>1094</v>
      </c>
      <c r="E13" s="21" t="s">
        <v>1891</v>
      </c>
      <c r="F13" s="31" t="s">
        <v>39</v>
      </c>
      <c r="G13" s="21" t="s">
        <v>39</v>
      </c>
      <c r="H13" s="21" t="s">
        <v>1741</v>
      </c>
      <c r="I13" s="21" t="s">
        <v>1893</v>
      </c>
      <c r="J13" s="21" t="s">
        <v>565</v>
      </c>
    </row>
    <row r="14" customFormat="false" ht="23.85" hidden="false" customHeight="false" outlineLevel="0" collapsed="false">
      <c r="A14" s="21" t="s">
        <v>3113</v>
      </c>
      <c r="B14" s="21" t="s">
        <v>3109</v>
      </c>
      <c r="C14" s="21" t="n">
        <v>2</v>
      </c>
      <c r="D14" s="21" t="s">
        <v>3110</v>
      </c>
      <c r="E14" s="21" t="s">
        <v>2024</v>
      </c>
      <c r="F14" s="31" t="s">
        <v>39</v>
      </c>
      <c r="G14" s="21" t="s">
        <v>39</v>
      </c>
      <c r="H14" s="21" t="s">
        <v>131</v>
      </c>
      <c r="I14" s="21" t="s">
        <v>1881</v>
      </c>
      <c r="J14" s="21" t="s">
        <v>565</v>
      </c>
    </row>
    <row r="15" customFormat="false" ht="35.05" hidden="false" customHeight="false" outlineLevel="0" collapsed="false">
      <c r="A15" s="21" t="s">
        <v>3115</v>
      </c>
      <c r="B15" s="21" t="s">
        <v>3109</v>
      </c>
      <c r="C15" s="21" t="n">
        <v>3</v>
      </c>
      <c r="D15" s="21" t="s">
        <v>3116</v>
      </c>
      <c r="E15" s="21" t="s">
        <v>1824</v>
      </c>
      <c r="F15" s="31" t="s">
        <v>39</v>
      </c>
      <c r="G15" s="21" t="s">
        <v>39</v>
      </c>
      <c r="H15" s="21" t="s">
        <v>154</v>
      </c>
      <c r="I15" s="21" t="s">
        <v>3118</v>
      </c>
      <c r="J15" s="21" t="s">
        <v>565</v>
      </c>
    </row>
    <row r="16" customFormat="false" ht="23.85" hidden="false" customHeight="false" outlineLevel="0" collapsed="false">
      <c r="A16" s="21" t="s">
        <v>3119</v>
      </c>
      <c r="B16" s="21" t="s">
        <v>3109</v>
      </c>
      <c r="C16" s="21" t="n">
        <v>4</v>
      </c>
      <c r="D16" s="21" t="s">
        <v>3116</v>
      </c>
      <c r="E16" s="21" t="s">
        <v>2173</v>
      </c>
      <c r="F16" s="31" t="s">
        <v>39</v>
      </c>
      <c r="G16" s="21" t="s">
        <v>39</v>
      </c>
      <c r="H16" s="21" t="s">
        <v>3121</v>
      </c>
      <c r="I16" s="21" t="s">
        <v>3122</v>
      </c>
      <c r="J16" s="21" t="s">
        <v>565</v>
      </c>
    </row>
    <row r="17" customFormat="false" ht="35.05" hidden="false" customHeight="false" outlineLevel="0" collapsed="false">
      <c r="A17" s="21" t="s">
        <v>3123</v>
      </c>
      <c r="B17" s="21" t="s">
        <v>3109</v>
      </c>
      <c r="C17" s="21" t="n">
        <v>5</v>
      </c>
      <c r="D17" s="21" t="s">
        <v>3110</v>
      </c>
      <c r="E17" s="21" t="s">
        <v>2085</v>
      </c>
      <c r="F17" s="31" t="s">
        <v>39</v>
      </c>
      <c r="G17" s="21" t="s">
        <v>39</v>
      </c>
      <c r="H17" s="21" t="s">
        <v>512</v>
      </c>
      <c r="I17" s="21" t="s">
        <v>1467</v>
      </c>
      <c r="J17" s="21" t="s">
        <v>565</v>
      </c>
    </row>
    <row r="18" customFormat="false" ht="23.85" hidden="false" customHeight="false" outlineLevel="0" collapsed="false">
      <c r="A18" s="21" t="s">
        <v>3365</v>
      </c>
      <c r="B18" s="21" t="s">
        <v>3366</v>
      </c>
      <c r="C18" s="21" t="n">
        <v>1</v>
      </c>
      <c r="D18" s="21" t="s">
        <v>1979</v>
      </c>
      <c r="E18" s="21" t="s">
        <v>186</v>
      </c>
      <c r="F18" s="31" t="s">
        <v>39</v>
      </c>
      <c r="G18" s="21" t="s">
        <v>39</v>
      </c>
      <c r="H18" s="21" t="s">
        <v>188</v>
      </c>
      <c r="I18" s="21"/>
      <c r="J18" s="21" t="s">
        <v>565</v>
      </c>
    </row>
    <row r="19" customFormat="false" ht="23.85" hidden="false" customHeight="false" outlineLevel="0" collapsed="false">
      <c r="A19" s="21" t="s">
        <v>4384</v>
      </c>
      <c r="B19" s="21" t="s">
        <v>4385</v>
      </c>
      <c r="C19" s="21" t="n">
        <v>1</v>
      </c>
      <c r="D19" s="21" t="s">
        <v>3081</v>
      </c>
      <c r="E19" s="21" t="s">
        <v>1833</v>
      </c>
      <c r="F19" s="31" t="s">
        <v>39</v>
      </c>
      <c r="G19" s="21" t="s">
        <v>39</v>
      </c>
      <c r="H19" s="21" t="s">
        <v>1741</v>
      </c>
      <c r="I19" s="21" t="s">
        <v>4387</v>
      </c>
      <c r="J19" s="21" t="s">
        <v>565</v>
      </c>
    </row>
    <row r="20" customFormat="false" ht="124.6" hidden="false" customHeight="false" outlineLevel="0" collapsed="false">
      <c r="A20" s="21" t="s">
        <v>4388</v>
      </c>
      <c r="B20" s="21" t="s">
        <v>4385</v>
      </c>
      <c r="C20" s="21" t="n">
        <v>2</v>
      </c>
      <c r="D20" s="21" t="s">
        <v>3081</v>
      </c>
      <c r="E20" s="21" t="s">
        <v>1819</v>
      </c>
      <c r="F20" s="31" t="s">
        <v>39</v>
      </c>
      <c r="G20" s="21" t="s">
        <v>39</v>
      </c>
      <c r="H20" s="21" t="s">
        <v>1741</v>
      </c>
      <c r="I20" s="21" t="s">
        <v>4390</v>
      </c>
      <c r="J20" s="21" t="s">
        <v>4391</v>
      </c>
    </row>
    <row r="21" customFormat="false" ht="23.85" hidden="false" customHeight="false" outlineLevel="0" collapsed="false">
      <c r="A21" s="21" t="s">
        <v>4614</v>
      </c>
      <c r="B21" s="21" t="s">
        <v>4615</v>
      </c>
      <c r="C21" s="21" t="n">
        <v>1</v>
      </c>
      <c r="D21" s="21" t="s">
        <v>256</v>
      </c>
      <c r="E21" s="21" t="s">
        <v>1744</v>
      </c>
      <c r="F21" s="31" t="s">
        <v>39</v>
      </c>
      <c r="G21" s="21" t="s">
        <v>39</v>
      </c>
      <c r="H21" s="21" t="s">
        <v>1746</v>
      </c>
      <c r="I21" s="21" t="s">
        <v>4617</v>
      </c>
      <c r="J21" s="21" t="s">
        <v>565</v>
      </c>
    </row>
    <row r="22" customFormat="false" ht="91" hidden="false" customHeight="false" outlineLevel="0" collapsed="false">
      <c r="A22" s="21" t="s">
        <v>4618</v>
      </c>
      <c r="B22" s="21" t="s">
        <v>4615</v>
      </c>
      <c r="C22" s="21" t="n">
        <v>2</v>
      </c>
      <c r="D22" s="21" t="s">
        <v>256</v>
      </c>
      <c r="E22" s="21" t="s">
        <v>2098</v>
      </c>
      <c r="F22" s="31" t="s">
        <v>39</v>
      </c>
      <c r="G22" s="21" t="s">
        <v>39</v>
      </c>
      <c r="H22" s="21" t="s">
        <v>4620</v>
      </c>
      <c r="I22" s="21" t="s">
        <v>4621</v>
      </c>
      <c r="J22" s="21" t="s">
        <v>565</v>
      </c>
    </row>
    <row r="23" customFormat="false" ht="35.05" hidden="false" customHeight="false" outlineLevel="0" collapsed="false">
      <c r="A23" s="21" t="s">
        <v>4647</v>
      </c>
      <c r="B23" s="21" t="s">
        <v>4648</v>
      </c>
      <c r="C23" s="21" t="n">
        <v>1</v>
      </c>
      <c r="D23" s="21" t="s">
        <v>488</v>
      </c>
      <c r="E23" s="21" t="s">
        <v>1909</v>
      </c>
      <c r="F23" s="31" t="s">
        <v>39</v>
      </c>
      <c r="G23" s="21" t="s">
        <v>39</v>
      </c>
      <c r="H23" s="21" t="s">
        <v>512</v>
      </c>
      <c r="I23" s="21" t="s">
        <v>4650</v>
      </c>
      <c r="J23" s="21" t="s">
        <v>565</v>
      </c>
    </row>
    <row r="24" customFormat="false" ht="23.85" hidden="false" customHeight="false" outlineLevel="0" collapsed="false">
      <c r="A24" s="21" t="s">
        <v>4651</v>
      </c>
      <c r="B24" s="21" t="s">
        <v>4648</v>
      </c>
      <c r="C24" s="21" t="n">
        <v>2</v>
      </c>
      <c r="D24" s="21" t="s">
        <v>488</v>
      </c>
      <c r="E24" s="21" t="s">
        <v>1887</v>
      </c>
      <c r="F24" s="31" t="s">
        <v>39</v>
      </c>
      <c r="G24" s="21" t="s">
        <v>39</v>
      </c>
      <c r="H24" s="21" t="s">
        <v>512</v>
      </c>
      <c r="I24" s="21" t="s">
        <v>4653</v>
      </c>
      <c r="J24" s="21" t="s">
        <v>565</v>
      </c>
    </row>
    <row r="25" customFormat="false" ht="35.05" hidden="false" customHeight="false" outlineLevel="0" collapsed="false">
      <c r="A25" s="21" t="s">
        <v>4913</v>
      </c>
      <c r="B25" s="21" t="s">
        <v>4906</v>
      </c>
      <c r="C25" s="21" t="n">
        <v>4</v>
      </c>
      <c r="D25" s="21" t="s">
        <v>2681</v>
      </c>
      <c r="E25" s="21" t="s">
        <v>639</v>
      </c>
      <c r="F25" s="31" t="s">
        <v>39</v>
      </c>
      <c r="G25" s="21" t="s">
        <v>39</v>
      </c>
      <c r="H25" s="21" t="s">
        <v>154</v>
      </c>
      <c r="I25" s="21" t="s">
        <v>4915</v>
      </c>
      <c r="J25" s="21" t="s">
        <v>565</v>
      </c>
    </row>
    <row r="26" customFormat="false" ht="23.85" hidden="false" customHeight="false" outlineLevel="0" collapsed="false">
      <c r="A26" s="21" t="s">
        <v>5038</v>
      </c>
      <c r="B26" s="21" t="s">
        <v>5039</v>
      </c>
      <c r="C26" s="21" t="n">
        <v>1</v>
      </c>
      <c r="D26" s="21" t="s">
        <v>5040</v>
      </c>
      <c r="E26" s="21" t="s">
        <v>2057</v>
      </c>
      <c r="F26" s="31" t="s">
        <v>39</v>
      </c>
      <c r="G26" s="21" t="s">
        <v>39</v>
      </c>
      <c r="H26" s="21" t="s">
        <v>512</v>
      </c>
      <c r="I26" s="21" t="s">
        <v>5042</v>
      </c>
      <c r="J26" s="21" t="s">
        <v>565</v>
      </c>
    </row>
    <row r="27" customFormat="false" ht="23.85" hidden="false" customHeight="false" outlineLevel="0" collapsed="false">
      <c r="A27" s="21" t="s">
        <v>5299</v>
      </c>
      <c r="B27" s="21" t="s">
        <v>5300</v>
      </c>
      <c r="C27" s="21" t="n">
        <v>1</v>
      </c>
      <c r="D27" s="21" t="s">
        <v>1473</v>
      </c>
      <c r="E27" s="21" t="s">
        <v>2258</v>
      </c>
      <c r="F27" s="31" t="s">
        <v>39</v>
      </c>
      <c r="G27" s="21" t="s">
        <v>39</v>
      </c>
      <c r="H27" s="21" t="s">
        <v>2260</v>
      </c>
      <c r="I27" s="21" t="s">
        <v>5302</v>
      </c>
      <c r="J27" s="21" t="s">
        <v>565</v>
      </c>
    </row>
    <row r="28" customFormat="false" ht="35.05" hidden="false" customHeight="false" outlineLevel="0" collapsed="false">
      <c r="A28" s="21" t="s">
        <v>5303</v>
      </c>
      <c r="B28" s="21" t="s">
        <v>5300</v>
      </c>
      <c r="C28" s="21" t="n">
        <v>2</v>
      </c>
      <c r="D28" s="21" t="s">
        <v>1473</v>
      </c>
      <c r="E28" s="21" t="s">
        <v>2071</v>
      </c>
      <c r="F28" s="31" t="s">
        <v>39</v>
      </c>
      <c r="G28" s="21" t="s">
        <v>39</v>
      </c>
      <c r="H28" s="21" t="s">
        <v>195</v>
      </c>
      <c r="I28" s="21" t="s">
        <v>5305</v>
      </c>
      <c r="J28" s="21" t="s">
        <v>565</v>
      </c>
    </row>
    <row r="29" customFormat="false" ht="23.85" hidden="false" customHeight="false" outlineLevel="0" collapsed="false">
      <c r="A29" s="21" t="s">
        <v>5350</v>
      </c>
      <c r="B29" s="21" t="s">
        <v>5351</v>
      </c>
      <c r="C29" s="21" t="n">
        <v>1</v>
      </c>
      <c r="D29" s="21" t="s">
        <v>5352</v>
      </c>
      <c r="E29" s="21" t="s">
        <v>1780</v>
      </c>
      <c r="F29" s="31" t="s">
        <v>39</v>
      </c>
      <c r="G29" s="21" t="s">
        <v>39</v>
      </c>
      <c r="H29" s="21" t="s">
        <v>512</v>
      </c>
      <c r="I29" s="21" t="s">
        <v>5354</v>
      </c>
      <c r="J29" s="21" t="s">
        <v>565</v>
      </c>
    </row>
    <row r="30" customFormat="false" ht="124.6" hidden="false" customHeight="false" outlineLevel="0" collapsed="false">
      <c r="A30" s="21" t="s">
        <v>5355</v>
      </c>
      <c r="B30" s="21" t="s">
        <v>5351</v>
      </c>
      <c r="C30" s="21" t="n">
        <v>2</v>
      </c>
      <c r="D30" s="21" t="s">
        <v>5352</v>
      </c>
      <c r="E30" s="21" t="s">
        <v>1785</v>
      </c>
      <c r="F30" s="31" t="s">
        <v>39</v>
      </c>
      <c r="G30" s="21" t="s">
        <v>39</v>
      </c>
      <c r="H30" s="21" t="s">
        <v>1741</v>
      </c>
      <c r="I30" s="21" t="s">
        <v>5357</v>
      </c>
      <c r="J30" s="21" t="s">
        <v>4391</v>
      </c>
    </row>
    <row r="31" customFormat="false" ht="23.85" hidden="false" customHeight="false" outlineLevel="0" collapsed="false">
      <c r="A31" s="21" t="s">
        <v>1125</v>
      </c>
      <c r="B31" s="21" t="s">
        <v>1122</v>
      </c>
      <c r="C31" s="21" t="n">
        <v>2</v>
      </c>
      <c r="D31" s="21" t="s">
        <v>816</v>
      </c>
      <c r="E31" s="21" t="s">
        <v>261</v>
      </c>
      <c r="F31" s="32" t="s">
        <v>38</v>
      </c>
      <c r="G31" s="21" t="s">
        <v>5411</v>
      </c>
      <c r="H31" s="21" t="s">
        <v>263</v>
      </c>
      <c r="I31" s="21" t="s">
        <v>1126</v>
      </c>
      <c r="J31" s="21" t="s">
        <v>1127</v>
      </c>
    </row>
    <row r="32" customFormat="false" ht="35.05" hidden="false" customHeight="false" outlineLevel="0" collapsed="false">
      <c r="A32" s="21" t="s">
        <v>1128</v>
      </c>
      <c r="B32" s="21" t="s">
        <v>1122</v>
      </c>
      <c r="C32" s="21" t="n">
        <v>3</v>
      </c>
      <c r="D32" s="21" t="s">
        <v>816</v>
      </c>
      <c r="E32" s="21" t="s">
        <v>123</v>
      </c>
      <c r="F32" s="32" t="s">
        <v>38</v>
      </c>
      <c r="G32" s="21" t="s">
        <v>5411</v>
      </c>
      <c r="H32" s="21" t="s">
        <v>125</v>
      </c>
      <c r="I32" s="21" t="s">
        <v>1129</v>
      </c>
      <c r="J32" s="21" t="s">
        <v>1127</v>
      </c>
    </row>
    <row r="33" customFormat="false" ht="35.05" hidden="false" customHeight="false" outlineLevel="0" collapsed="false">
      <c r="A33" s="21" t="s">
        <v>1133</v>
      </c>
      <c r="B33" s="21" t="s">
        <v>1122</v>
      </c>
      <c r="C33" s="21" t="n">
        <v>5</v>
      </c>
      <c r="D33" s="21" t="s">
        <v>816</v>
      </c>
      <c r="E33" s="21" t="s">
        <v>186</v>
      </c>
      <c r="F33" s="32" t="s">
        <v>38</v>
      </c>
      <c r="G33" s="21" t="s">
        <v>5411</v>
      </c>
      <c r="H33" s="21" t="s">
        <v>188</v>
      </c>
      <c r="I33" s="21" t="s">
        <v>1134</v>
      </c>
      <c r="J33" s="21" t="s">
        <v>1127</v>
      </c>
    </row>
    <row r="34" customFormat="false" ht="35.05" hidden="false" customHeight="false" outlineLevel="0" collapsed="false">
      <c r="A34" s="21" t="s">
        <v>1618</v>
      </c>
      <c r="B34" s="21" t="s">
        <v>1614</v>
      </c>
      <c r="C34" s="21" t="n">
        <v>2</v>
      </c>
      <c r="D34" s="21" t="s">
        <v>1615</v>
      </c>
      <c r="E34" s="21" t="s">
        <v>109</v>
      </c>
      <c r="F34" s="32" t="s">
        <v>38</v>
      </c>
      <c r="G34" s="21" t="s">
        <v>5411</v>
      </c>
      <c r="H34" s="21" t="s">
        <v>111</v>
      </c>
      <c r="I34" s="21" t="s">
        <v>1619</v>
      </c>
      <c r="J34" s="21" t="s">
        <v>1620</v>
      </c>
    </row>
    <row r="35" customFormat="false" ht="46.25" hidden="false" customHeight="false" outlineLevel="0" collapsed="false">
      <c r="A35" s="21" t="s">
        <v>1621</v>
      </c>
      <c r="B35" s="21" t="s">
        <v>1614</v>
      </c>
      <c r="C35" s="21" t="n">
        <v>3</v>
      </c>
      <c r="D35" s="21" t="s">
        <v>1615</v>
      </c>
      <c r="E35" s="21" t="s">
        <v>222</v>
      </c>
      <c r="F35" s="32" t="s">
        <v>38</v>
      </c>
      <c r="G35" s="21" t="s">
        <v>5411</v>
      </c>
      <c r="H35" s="21" t="s">
        <v>334</v>
      </c>
      <c r="I35" s="21" t="s">
        <v>1622</v>
      </c>
      <c r="J35" s="21" t="s">
        <v>1620</v>
      </c>
    </row>
    <row r="36" customFormat="false" ht="46.25" hidden="false" customHeight="false" outlineLevel="0" collapsed="false">
      <c r="A36" s="21" t="s">
        <v>1627</v>
      </c>
      <c r="B36" s="21" t="s">
        <v>1614</v>
      </c>
      <c r="C36" s="21" t="n">
        <v>5</v>
      </c>
      <c r="D36" s="21" t="s">
        <v>1615</v>
      </c>
      <c r="E36" s="21" t="s">
        <v>231</v>
      </c>
      <c r="F36" s="32" t="s">
        <v>38</v>
      </c>
      <c r="G36" s="21" t="s">
        <v>5411</v>
      </c>
      <c r="H36" s="21" t="s">
        <v>233</v>
      </c>
      <c r="I36" s="21" t="s">
        <v>1629</v>
      </c>
      <c r="J36" s="21" t="s">
        <v>1620</v>
      </c>
    </row>
    <row r="37" customFormat="false" ht="46.25" hidden="false" customHeight="false" outlineLevel="0" collapsed="false">
      <c r="A37" s="21" t="s">
        <v>1817</v>
      </c>
      <c r="B37" s="21" t="s">
        <v>1809</v>
      </c>
      <c r="C37" s="21" t="n">
        <v>3</v>
      </c>
      <c r="D37" s="21" t="s">
        <v>1818</v>
      </c>
      <c r="E37" s="21" t="s">
        <v>1819</v>
      </c>
      <c r="F37" s="32" t="s">
        <v>38</v>
      </c>
      <c r="G37" s="21" t="s">
        <v>5413</v>
      </c>
      <c r="H37" s="21" t="s">
        <v>1741</v>
      </c>
      <c r="I37" s="21" t="s">
        <v>1821</v>
      </c>
      <c r="J37" s="21" t="s">
        <v>1822</v>
      </c>
    </row>
    <row r="38" customFormat="false" ht="35.05" hidden="false" customHeight="false" outlineLevel="0" collapsed="false">
      <c r="A38" s="21" t="s">
        <v>1827</v>
      </c>
      <c r="B38" s="21" t="s">
        <v>1809</v>
      </c>
      <c r="C38" s="21" t="n">
        <v>5</v>
      </c>
      <c r="D38" s="21" t="s">
        <v>1810</v>
      </c>
      <c r="E38" s="21" t="s">
        <v>1794</v>
      </c>
      <c r="F38" s="32" t="s">
        <v>38</v>
      </c>
      <c r="G38" s="21" t="s">
        <v>5412</v>
      </c>
      <c r="H38" s="21" t="s">
        <v>1829</v>
      </c>
      <c r="I38" s="21" t="s">
        <v>1830</v>
      </c>
      <c r="J38" s="21" t="s">
        <v>1822</v>
      </c>
    </row>
    <row r="39" customFormat="false" ht="68.65" hidden="false" customHeight="false" outlineLevel="0" collapsed="false">
      <c r="A39" s="21" t="s">
        <v>1839</v>
      </c>
      <c r="B39" s="21" t="s">
        <v>1832</v>
      </c>
      <c r="C39" s="21" t="n">
        <v>3</v>
      </c>
      <c r="D39" s="21" t="s">
        <v>664</v>
      </c>
      <c r="E39" s="21" t="s">
        <v>1840</v>
      </c>
      <c r="F39" s="32" t="s">
        <v>38</v>
      </c>
      <c r="G39" s="21" t="s">
        <v>5415</v>
      </c>
      <c r="H39" s="21" t="s">
        <v>284</v>
      </c>
      <c r="I39" s="21" t="s">
        <v>1842</v>
      </c>
      <c r="J39" s="21" t="s">
        <v>1843</v>
      </c>
    </row>
    <row r="40" customFormat="false" ht="46.25" hidden="false" customHeight="false" outlineLevel="0" collapsed="false">
      <c r="A40" s="21" t="s">
        <v>1852</v>
      </c>
      <c r="B40" s="21" t="s">
        <v>1853</v>
      </c>
      <c r="C40" s="21" t="n">
        <v>1</v>
      </c>
      <c r="D40" s="21" t="s">
        <v>1854</v>
      </c>
      <c r="E40" s="21" t="s">
        <v>1785</v>
      </c>
      <c r="F40" s="32" t="s">
        <v>38</v>
      </c>
      <c r="G40" s="21" t="s">
        <v>5412</v>
      </c>
      <c r="H40" s="21" t="s">
        <v>1856</v>
      </c>
      <c r="I40" s="21" t="s">
        <v>1857</v>
      </c>
      <c r="J40" s="21" t="s">
        <v>1822</v>
      </c>
    </row>
    <row r="41" customFormat="false" ht="46.25" hidden="false" customHeight="false" outlineLevel="0" collapsed="false">
      <c r="A41" s="21" t="s">
        <v>1858</v>
      </c>
      <c r="B41" s="21" t="s">
        <v>1853</v>
      </c>
      <c r="C41" s="21" t="n">
        <v>2</v>
      </c>
      <c r="D41" s="21" t="s">
        <v>1854</v>
      </c>
      <c r="E41" s="21" t="s">
        <v>1859</v>
      </c>
      <c r="F41" s="32" t="s">
        <v>38</v>
      </c>
      <c r="G41" s="21" t="s">
        <v>5412</v>
      </c>
      <c r="H41" s="21" t="s">
        <v>1649</v>
      </c>
      <c r="I41" s="21" t="s">
        <v>1861</v>
      </c>
      <c r="J41" s="21" t="s">
        <v>1822</v>
      </c>
    </row>
    <row r="42" customFormat="false" ht="46.25" hidden="false" customHeight="false" outlineLevel="0" collapsed="false">
      <c r="A42" s="21" t="s">
        <v>2146</v>
      </c>
      <c r="B42" s="21" t="s">
        <v>2137</v>
      </c>
      <c r="C42" s="21" t="n">
        <v>3</v>
      </c>
      <c r="D42" s="21" t="s">
        <v>2147</v>
      </c>
      <c r="E42" s="21" t="s">
        <v>2123</v>
      </c>
      <c r="F42" s="32" t="s">
        <v>38</v>
      </c>
      <c r="G42" s="21" t="s">
        <v>5414</v>
      </c>
      <c r="H42" s="21" t="s">
        <v>2149</v>
      </c>
      <c r="I42" s="21" t="s">
        <v>2150</v>
      </c>
      <c r="J42" s="21" t="s">
        <v>2151</v>
      </c>
    </row>
    <row r="43" customFormat="false" ht="23.85" hidden="false" customHeight="false" outlineLevel="0" collapsed="false">
      <c r="A43" s="21" t="s">
        <v>2180</v>
      </c>
      <c r="B43" s="21" t="s">
        <v>2181</v>
      </c>
      <c r="C43" s="21" t="n">
        <v>1</v>
      </c>
      <c r="D43" s="21" t="s">
        <v>2182</v>
      </c>
      <c r="E43" s="21" t="s">
        <v>968</v>
      </c>
      <c r="F43" s="32" t="s">
        <v>38</v>
      </c>
      <c r="G43" s="21" t="s">
        <v>5416</v>
      </c>
      <c r="H43" s="21" t="s">
        <v>355</v>
      </c>
      <c r="I43" s="21" t="s">
        <v>2184</v>
      </c>
      <c r="J43" s="21" t="s">
        <v>2185</v>
      </c>
    </row>
    <row r="44" customFormat="false" ht="35.05" hidden="false" customHeight="false" outlineLevel="0" collapsed="false">
      <c r="A44" s="21" t="s">
        <v>2244</v>
      </c>
      <c r="B44" s="21" t="s">
        <v>2245</v>
      </c>
      <c r="C44" s="21" t="n">
        <v>1</v>
      </c>
      <c r="D44" s="21" t="s">
        <v>409</v>
      </c>
      <c r="E44" s="21" t="s">
        <v>968</v>
      </c>
      <c r="F44" s="32" t="s">
        <v>38</v>
      </c>
      <c r="G44" s="21" t="s">
        <v>5416</v>
      </c>
      <c r="H44" s="21" t="s">
        <v>355</v>
      </c>
      <c r="I44" s="21" t="s">
        <v>2247</v>
      </c>
      <c r="J44" s="21" t="s">
        <v>2248</v>
      </c>
    </row>
    <row r="45" customFormat="false" ht="35.05" hidden="false" customHeight="false" outlineLevel="0" collapsed="false">
      <c r="A45" s="21" t="s">
        <v>2372</v>
      </c>
      <c r="B45" s="21" t="s">
        <v>2359</v>
      </c>
      <c r="C45" s="21" t="n">
        <v>5</v>
      </c>
      <c r="D45" s="21" t="s">
        <v>1298</v>
      </c>
      <c r="E45" s="21" t="s">
        <v>464</v>
      </c>
      <c r="F45" s="32" t="s">
        <v>38</v>
      </c>
      <c r="G45" s="21" t="s">
        <v>5417</v>
      </c>
      <c r="H45" s="21" t="s">
        <v>496</v>
      </c>
      <c r="I45" s="21" t="s">
        <v>2374</v>
      </c>
      <c r="J45" s="21" t="s">
        <v>2375</v>
      </c>
    </row>
    <row r="46" customFormat="false" ht="35.05" hidden="false" customHeight="false" outlineLevel="0" collapsed="false">
      <c r="A46" s="21" t="s">
        <v>2390</v>
      </c>
      <c r="B46" s="21" t="s">
        <v>2377</v>
      </c>
      <c r="C46" s="21" t="n">
        <v>4</v>
      </c>
      <c r="D46" s="21" t="s">
        <v>2387</v>
      </c>
      <c r="E46" s="21" t="s">
        <v>402</v>
      </c>
      <c r="F46" s="32" t="s">
        <v>38</v>
      </c>
      <c r="G46" s="21" t="s">
        <v>5414</v>
      </c>
      <c r="H46" s="21" t="s">
        <v>2392</v>
      </c>
      <c r="I46" s="21" t="s">
        <v>2393</v>
      </c>
      <c r="J46" s="21" t="s">
        <v>2394</v>
      </c>
    </row>
    <row r="47" customFormat="false" ht="23.85" hidden="false" customHeight="false" outlineLevel="0" collapsed="false">
      <c r="A47" s="21" t="s">
        <v>2565</v>
      </c>
      <c r="B47" s="21" t="s">
        <v>2553</v>
      </c>
      <c r="C47" s="21" t="n">
        <v>4</v>
      </c>
      <c r="D47" s="21" t="s">
        <v>215</v>
      </c>
      <c r="E47" s="21" t="s">
        <v>1794</v>
      </c>
      <c r="F47" s="32" t="s">
        <v>38</v>
      </c>
      <c r="G47" s="21" t="s">
        <v>5412</v>
      </c>
      <c r="H47" s="21" t="s">
        <v>2567</v>
      </c>
      <c r="I47" s="21" t="s">
        <v>2568</v>
      </c>
      <c r="J47" s="21" t="s">
        <v>1822</v>
      </c>
    </row>
    <row r="48" customFormat="false" ht="68.65" hidden="false" customHeight="false" outlineLevel="0" collapsed="false">
      <c r="A48" s="21" t="s">
        <v>2630</v>
      </c>
      <c r="B48" s="21" t="s">
        <v>2627</v>
      </c>
      <c r="C48" s="21" t="n">
        <v>2</v>
      </c>
      <c r="D48" s="21" t="s">
        <v>256</v>
      </c>
      <c r="E48" s="21" t="s">
        <v>1905</v>
      </c>
      <c r="F48" s="32" t="s">
        <v>38</v>
      </c>
      <c r="G48" s="21" t="s">
        <v>5413</v>
      </c>
      <c r="H48" s="21" t="s">
        <v>284</v>
      </c>
      <c r="I48" s="21" t="s">
        <v>2632</v>
      </c>
      <c r="J48" s="21" t="s">
        <v>2633</v>
      </c>
    </row>
    <row r="49" customFormat="false" ht="35.05" hidden="false" customHeight="false" outlineLevel="0" collapsed="false">
      <c r="A49" s="21" t="s">
        <v>2644</v>
      </c>
      <c r="B49" s="21" t="s">
        <v>2645</v>
      </c>
      <c r="C49" s="21" t="n">
        <v>1</v>
      </c>
      <c r="D49" s="21" t="s">
        <v>2646</v>
      </c>
      <c r="E49" s="21" t="s">
        <v>1840</v>
      </c>
      <c r="F49" s="32" t="s">
        <v>38</v>
      </c>
      <c r="G49" s="21" t="s">
        <v>5415</v>
      </c>
      <c r="H49" s="21" t="s">
        <v>284</v>
      </c>
      <c r="I49" s="21" t="s">
        <v>2648</v>
      </c>
      <c r="J49" s="21" t="s">
        <v>1843</v>
      </c>
    </row>
    <row r="50" customFormat="false" ht="46.25" hidden="false" customHeight="false" outlineLevel="0" collapsed="false">
      <c r="A50" s="21" t="s">
        <v>2665</v>
      </c>
      <c r="B50" s="21" t="s">
        <v>2662</v>
      </c>
      <c r="C50" s="21" t="n">
        <v>2</v>
      </c>
      <c r="D50" s="21" t="s">
        <v>816</v>
      </c>
      <c r="E50" s="21" t="s">
        <v>1891</v>
      </c>
      <c r="F50" s="32" t="s">
        <v>38</v>
      </c>
      <c r="G50" s="21" t="s">
        <v>5411</v>
      </c>
      <c r="H50" s="21" t="s">
        <v>1741</v>
      </c>
      <c r="I50" s="21" t="s">
        <v>2667</v>
      </c>
      <c r="J50" s="21" t="s">
        <v>1127</v>
      </c>
    </row>
    <row r="51" customFormat="false" ht="68.65" hidden="false" customHeight="false" outlineLevel="0" collapsed="false">
      <c r="A51" s="21" t="s">
        <v>2676</v>
      </c>
      <c r="B51" s="21" t="s">
        <v>2662</v>
      </c>
      <c r="C51" s="21" t="n">
        <v>5</v>
      </c>
      <c r="D51" s="21" t="s">
        <v>816</v>
      </c>
      <c r="E51" s="21" t="s">
        <v>1819</v>
      </c>
      <c r="F51" s="32" t="s">
        <v>38</v>
      </c>
      <c r="G51" s="21" t="s">
        <v>5411</v>
      </c>
      <c r="H51" s="21" t="s">
        <v>1741</v>
      </c>
      <c r="I51" s="21" t="s">
        <v>2678</v>
      </c>
      <c r="J51" s="21" t="s">
        <v>1127</v>
      </c>
    </row>
    <row r="52" customFormat="false" ht="35.05" hidden="false" customHeight="false" outlineLevel="0" collapsed="false">
      <c r="A52" s="21" t="s">
        <v>2810</v>
      </c>
      <c r="B52" s="21" t="s">
        <v>2807</v>
      </c>
      <c r="C52" s="21" t="n">
        <v>2</v>
      </c>
      <c r="D52" s="21" t="s">
        <v>524</v>
      </c>
      <c r="E52" s="21" t="s">
        <v>1819</v>
      </c>
      <c r="F52" s="32" t="s">
        <v>38</v>
      </c>
      <c r="G52" s="21" t="s">
        <v>5413</v>
      </c>
      <c r="H52" s="21" t="s">
        <v>1741</v>
      </c>
      <c r="I52" s="21" t="s">
        <v>2812</v>
      </c>
      <c r="J52" s="21" t="s">
        <v>1822</v>
      </c>
    </row>
    <row r="53" customFormat="false" ht="57.45" hidden="false" customHeight="false" outlineLevel="0" collapsed="false">
      <c r="A53" s="21" t="s">
        <v>3005</v>
      </c>
      <c r="B53" s="21" t="s">
        <v>3001</v>
      </c>
      <c r="C53" s="21" t="n">
        <v>2</v>
      </c>
      <c r="D53" s="21" t="s">
        <v>3002</v>
      </c>
      <c r="E53" s="21" t="s">
        <v>282</v>
      </c>
      <c r="F53" s="32" t="s">
        <v>38</v>
      </c>
      <c r="G53" s="21" t="s">
        <v>5415</v>
      </c>
      <c r="H53" s="21" t="s">
        <v>512</v>
      </c>
      <c r="I53" s="21" t="s">
        <v>3007</v>
      </c>
      <c r="J53" s="21" t="s">
        <v>3008</v>
      </c>
    </row>
    <row r="54" customFormat="false" ht="46.25" hidden="false" customHeight="false" outlineLevel="0" collapsed="false">
      <c r="A54" s="21" t="s">
        <v>3037</v>
      </c>
      <c r="B54" s="21" t="s">
        <v>3038</v>
      </c>
      <c r="C54" s="21" t="n">
        <v>1</v>
      </c>
      <c r="D54" s="21" t="s">
        <v>3039</v>
      </c>
      <c r="E54" s="21" t="s">
        <v>2123</v>
      </c>
      <c r="F54" s="32" t="s">
        <v>38</v>
      </c>
      <c r="G54" s="21" t="s">
        <v>5414</v>
      </c>
      <c r="H54" s="21" t="s">
        <v>2149</v>
      </c>
      <c r="I54" s="21" t="s">
        <v>3041</v>
      </c>
      <c r="J54" s="21" t="s">
        <v>3042</v>
      </c>
    </row>
    <row r="55" customFormat="false" ht="57.45" hidden="false" customHeight="false" outlineLevel="0" collapsed="false">
      <c r="A55" s="21" t="s">
        <v>3307</v>
      </c>
      <c r="B55" s="21" t="s">
        <v>3308</v>
      </c>
      <c r="C55" s="21" t="n">
        <v>1</v>
      </c>
      <c r="D55" s="21" t="s">
        <v>1298</v>
      </c>
      <c r="E55" s="21" t="s">
        <v>2200</v>
      </c>
      <c r="F55" s="32" t="s">
        <v>38</v>
      </c>
      <c r="G55" s="21" t="s">
        <v>5414</v>
      </c>
      <c r="H55" s="21" t="s">
        <v>3310</v>
      </c>
      <c r="I55" s="21" t="s">
        <v>3311</v>
      </c>
      <c r="J55" s="21" t="s">
        <v>3312</v>
      </c>
    </row>
    <row r="56" customFormat="false" ht="35.05" hidden="false" customHeight="false" outlineLevel="0" collapsed="false">
      <c r="A56" s="21" t="s">
        <v>3398</v>
      </c>
      <c r="B56" s="21" t="s">
        <v>3384</v>
      </c>
      <c r="C56" s="21" t="n">
        <v>5</v>
      </c>
      <c r="D56" s="21" t="s">
        <v>409</v>
      </c>
      <c r="E56" s="21" t="s">
        <v>464</v>
      </c>
      <c r="F56" s="32" t="s">
        <v>38</v>
      </c>
      <c r="G56" s="21" t="s">
        <v>5417</v>
      </c>
      <c r="H56" s="21" t="s">
        <v>496</v>
      </c>
      <c r="I56" s="21" t="s">
        <v>3400</v>
      </c>
      <c r="J56" s="21" t="s">
        <v>3401</v>
      </c>
    </row>
    <row r="57" customFormat="false" ht="35.05" hidden="false" customHeight="false" outlineLevel="0" collapsed="false">
      <c r="A57" s="21" t="s">
        <v>3427</v>
      </c>
      <c r="B57" s="21" t="s">
        <v>3420</v>
      </c>
      <c r="C57" s="21" t="n">
        <v>3</v>
      </c>
      <c r="D57" s="21" t="s">
        <v>115</v>
      </c>
      <c r="E57" s="21" t="s">
        <v>968</v>
      </c>
      <c r="F57" s="32" t="s">
        <v>38</v>
      </c>
      <c r="G57" s="21" t="s">
        <v>5416</v>
      </c>
      <c r="H57" s="21" t="s">
        <v>355</v>
      </c>
      <c r="I57" s="21" t="s">
        <v>3429</v>
      </c>
      <c r="J57" s="21" t="s">
        <v>2185</v>
      </c>
    </row>
    <row r="58" customFormat="false" ht="46.25" hidden="false" customHeight="false" outlineLevel="0" collapsed="false">
      <c r="A58" s="21" t="s">
        <v>3624</v>
      </c>
      <c r="B58" s="21" t="s">
        <v>3616</v>
      </c>
      <c r="C58" s="21" t="n">
        <v>3</v>
      </c>
      <c r="D58" s="21" t="s">
        <v>3625</v>
      </c>
      <c r="E58" s="21" t="s">
        <v>1794</v>
      </c>
      <c r="F58" s="32" t="s">
        <v>38</v>
      </c>
      <c r="G58" s="21" t="s">
        <v>5412</v>
      </c>
      <c r="H58" s="21" t="s">
        <v>3627</v>
      </c>
      <c r="I58" s="21" t="s">
        <v>3628</v>
      </c>
      <c r="J58" s="21" t="s">
        <v>1822</v>
      </c>
    </row>
    <row r="59" customFormat="false" ht="46.25" hidden="false" customHeight="false" outlineLevel="0" collapsed="false">
      <c r="A59" s="21" t="s">
        <v>3639</v>
      </c>
      <c r="B59" s="21" t="s">
        <v>3636</v>
      </c>
      <c r="C59" s="21" t="n">
        <v>2</v>
      </c>
      <c r="D59" s="21" t="s">
        <v>816</v>
      </c>
      <c r="E59" s="21" t="s">
        <v>2415</v>
      </c>
      <c r="F59" s="32" t="s">
        <v>38</v>
      </c>
      <c r="G59" s="21" t="s">
        <v>5411</v>
      </c>
      <c r="H59" s="21" t="s">
        <v>2406</v>
      </c>
      <c r="I59" s="21" t="s">
        <v>3641</v>
      </c>
      <c r="J59" s="21" t="s">
        <v>1127</v>
      </c>
    </row>
    <row r="60" customFormat="false" ht="46.25" hidden="false" customHeight="false" outlineLevel="0" collapsed="false">
      <c r="A60" s="21" t="s">
        <v>3642</v>
      </c>
      <c r="B60" s="21" t="s">
        <v>3636</v>
      </c>
      <c r="C60" s="21" t="n">
        <v>3</v>
      </c>
      <c r="D60" s="21" t="s">
        <v>816</v>
      </c>
      <c r="E60" s="21" t="s">
        <v>1905</v>
      </c>
      <c r="F60" s="32" t="s">
        <v>38</v>
      </c>
      <c r="G60" s="21" t="s">
        <v>5411</v>
      </c>
      <c r="H60" s="21" t="s">
        <v>284</v>
      </c>
      <c r="I60" s="21" t="s">
        <v>3644</v>
      </c>
      <c r="J60" s="21" t="s">
        <v>1127</v>
      </c>
    </row>
    <row r="61" customFormat="false" ht="35.05" hidden="false" customHeight="false" outlineLevel="0" collapsed="false">
      <c r="A61" s="21" t="s">
        <v>3645</v>
      </c>
      <c r="B61" s="21" t="s">
        <v>3636</v>
      </c>
      <c r="C61" s="21" t="n">
        <v>4</v>
      </c>
      <c r="D61" s="21" t="s">
        <v>816</v>
      </c>
      <c r="E61" s="21" t="s">
        <v>1874</v>
      </c>
      <c r="F61" s="32" t="s">
        <v>38</v>
      </c>
      <c r="G61" s="21" t="s">
        <v>5411</v>
      </c>
      <c r="H61" s="21" t="s">
        <v>1876</v>
      </c>
      <c r="I61" s="21" t="s">
        <v>3647</v>
      </c>
      <c r="J61" s="21" t="s">
        <v>1127</v>
      </c>
    </row>
    <row r="62" customFormat="false" ht="46.25" hidden="false" customHeight="false" outlineLevel="0" collapsed="false">
      <c r="A62" s="21" t="s">
        <v>3648</v>
      </c>
      <c r="B62" s="21" t="s">
        <v>3636</v>
      </c>
      <c r="C62" s="21" t="n">
        <v>5</v>
      </c>
      <c r="D62" s="21" t="s">
        <v>816</v>
      </c>
      <c r="E62" s="21" t="s">
        <v>1794</v>
      </c>
      <c r="F62" s="32" t="s">
        <v>38</v>
      </c>
      <c r="G62" s="21" t="s">
        <v>5411</v>
      </c>
      <c r="H62" s="21" t="s">
        <v>3650</v>
      </c>
      <c r="I62" s="21" t="s">
        <v>3651</v>
      </c>
      <c r="J62" s="21" t="s">
        <v>1127</v>
      </c>
    </row>
    <row r="63" customFormat="false" ht="23.85" hidden="false" customHeight="false" outlineLevel="0" collapsed="false">
      <c r="A63" s="21" t="s">
        <v>3799</v>
      </c>
      <c r="B63" s="21" t="s">
        <v>3787</v>
      </c>
      <c r="C63" s="21" t="n">
        <v>4</v>
      </c>
      <c r="D63" s="21" t="s">
        <v>3796</v>
      </c>
      <c r="E63" s="21" t="s">
        <v>1794</v>
      </c>
      <c r="F63" s="32" t="s">
        <v>38</v>
      </c>
      <c r="G63" s="21" t="s">
        <v>5412</v>
      </c>
      <c r="H63" s="21" t="s">
        <v>1741</v>
      </c>
      <c r="I63" s="21" t="s">
        <v>3801</v>
      </c>
      <c r="J63" s="21" t="s">
        <v>1822</v>
      </c>
    </row>
    <row r="64" customFormat="false" ht="35.05" hidden="false" customHeight="false" outlineLevel="0" collapsed="false">
      <c r="A64" s="21" t="s">
        <v>3920</v>
      </c>
      <c r="B64" s="21" t="s">
        <v>3911</v>
      </c>
      <c r="C64" s="21" t="n">
        <v>4</v>
      </c>
      <c r="D64" s="21" t="s">
        <v>1151</v>
      </c>
      <c r="E64" s="21" t="s">
        <v>1794</v>
      </c>
      <c r="F64" s="32" t="s">
        <v>38</v>
      </c>
      <c r="G64" s="21" t="s">
        <v>5412</v>
      </c>
      <c r="H64" s="21" t="s">
        <v>1741</v>
      </c>
      <c r="I64" s="21" t="s">
        <v>3922</v>
      </c>
      <c r="J64" s="21" t="s">
        <v>1822</v>
      </c>
    </row>
    <row r="65" customFormat="false" ht="46.25" hidden="false" customHeight="false" outlineLevel="0" collapsed="false">
      <c r="A65" s="21" t="s">
        <v>4124</v>
      </c>
      <c r="B65" s="21" t="s">
        <v>4125</v>
      </c>
      <c r="C65" s="21" t="n">
        <v>1</v>
      </c>
      <c r="D65" s="21" t="s">
        <v>1473</v>
      </c>
      <c r="E65" s="21" t="s">
        <v>1819</v>
      </c>
      <c r="F65" s="32" t="s">
        <v>38</v>
      </c>
      <c r="G65" s="21" t="s">
        <v>5413</v>
      </c>
      <c r="H65" s="21" t="s">
        <v>1741</v>
      </c>
      <c r="I65" s="21" t="s">
        <v>4127</v>
      </c>
      <c r="J65" s="21" t="s">
        <v>1822</v>
      </c>
    </row>
    <row r="66" customFormat="false" ht="46.25" hidden="false" customHeight="false" outlineLevel="0" collapsed="false">
      <c r="A66" s="21" t="s">
        <v>4191</v>
      </c>
      <c r="B66" s="21" t="s">
        <v>4178</v>
      </c>
      <c r="C66" s="21" t="n">
        <v>5</v>
      </c>
      <c r="D66" s="21" t="s">
        <v>4179</v>
      </c>
      <c r="E66" s="21" t="s">
        <v>282</v>
      </c>
      <c r="F66" s="32" t="s">
        <v>38</v>
      </c>
      <c r="G66" s="21" t="s">
        <v>5415</v>
      </c>
      <c r="H66" s="21" t="s">
        <v>512</v>
      </c>
      <c r="I66" s="21" t="s">
        <v>4193</v>
      </c>
      <c r="J66" s="21" t="s">
        <v>3008</v>
      </c>
    </row>
    <row r="67" customFormat="false" ht="35.05" hidden="false" customHeight="false" outlineLevel="0" collapsed="false">
      <c r="A67" s="21" t="s">
        <v>4363</v>
      </c>
      <c r="B67" s="21" t="s">
        <v>4351</v>
      </c>
      <c r="C67" s="21" t="n">
        <v>5</v>
      </c>
      <c r="D67" s="21" t="s">
        <v>4352</v>
      </c>
      <c r="E67" s="21" t="s">
        <v>2123</v>
      </c>
      <c r="F67" s="32" t="s">
        <v>38</v>
      </c>
      <c r="G67" s="21" t="s">
        <v>5414</v>
      </c>
      <c r="H67" s="21" t="s">
        <v>2149</v>
      </c>
      <c r="I67" s="21" t="s">
        <v>4365</v>
      </c>
      <c r="J67" s="21" t="s">
        <v>2151</v>
      </c>
    </row>
    <row r="68" customFormat="false" ht="46.25" hidden="false" customHeight="false" outlineLevel="0" collapsed="false">
      <c r="A68" s="21" t="s">
        <v>4366</v>
      </c>
      <c r="B68" s="21" t="s">
        <v>4367</v>
      </c>
      <c r="C68" s="21" t="n">
        <v>1</v>
      </c>
      <c r="D68" s="21" t="s">
        <v>167</v>
      </c>
      <c r="E68" s="21" t="s">
        <v>1905</v>
      </c>
      <c r="F68" s="32" t="s">
        <v>38</v>
      </c>
      <c r="G68" s="21" t="s">
        <v>5413</v>
      </c>
      <c r="H68" s="21" t="s">
        <v>284</v>
      </c>
      <c r="I68" s="21" t="s">
        <v>4369</v>
      </c>
      <c r="J68" s="21" t="s">
        <v>2633</v>
      </c>
    </row>
    <row r="69" customFormat="false" ht="35.05" hidden="false" customHeight="false" outlineLevel="0" collapsed="false">
      <c r="A69" s="21" t="s">
        <v>4547</v>
      </c>
      <c r="B69" s="21" t="s">
        <v>4544</v>
      </c>
      <c r="C69" s="21" t="n">
        <v>2</v>
      </c>
      <c r="D69" s="21" t="s">
        <v>816</v>
      </c>
      <c r="E69" s="21" t="s">
        <v>1758</v>
      </c>
      <c r="F69" s="32" t="s">
        <v>38</v>
      </c>
      <c r="G69" s="21" t="s">
        <v>5411</v>
      </c>
      <c r="H69" s="21" t="s">
        <v>4549</v>
      </c>
      <c r="I69" s="21" t="s">
        <v>4550</v>
      </c>
      <c r="J69" s="21" t="s">
        <v>4551</v>
      </c>
    </row>
    <row r="70" customFormat="false" ht="23.85" hidden="false" customHeight="false" outlineLevel="0" collapsed="false">
      <c r="A70" s="21" t="s">
        <v>4555</v>
      </c>
      <c r="B70" s="21" t="s">
        <v>4544</v>
      </c>
      <c r="C70" s="21" t="n">
        <v>4</v>
      </c>
      <c r="D70" s="21" t="s">
        <v>816</v>
      </c>
      <c r="E70" s="21" t="s">
        <v>2085</v>
      </c>
      <c r="F70" s="32" t="s">
        <v>38</v>
      </c>
      <c r="G70" s="21" t="s">
        <v>5411</v>
      </c>
      <c r="H70" s="21" t="s">
        <v>512</v>
      </c>
      <c r="I70" s="21" t="s">
        <v>4557</v>
      </c>
      <c r="J70" s="21" t="s">
        <v>4551</v>
      </c>
    </row>
    <row r="71" customFormat="false" ht="68.65" hidden="false" customHeight="false" outlineLevel="0" collapsed="false">
      <c r="A71" s="21" t="s">
        <v>4558</v>
      </c>
      <c r="B71" s="21" t="s">
        <v>4544</v>
      </c>
      <c r="C71" s="21" t="n">
        <v>5</v>
      </c>
      <c r="D71" s="21" t="s">
        <v>816</v>
      </c>
      <c r="E71" s="21" t="s">
        <v>1732</v>
      </c>
      <c r="F71" s="32" t="s">
        <v>38</v>
      </c>
      <c r="G71" s="21" t="s">
        <v>5411</v>
      </c>
      <c r="H71" s="21" t="s">
        <v>4560</v>
      </c>
      <c r="I71" s="21" t="s">
        <v>4561</v>
      </c>
      <c r="J71" s="21" t="s">
        <v>4551</v>
      </c>
    </row>
    <row r="72" customFormat="false" ht="35.05" hidden="false" customHeight="false" outlineLevel="0" collapsed="false">
      <c r="A72" s="21" t="s">
        <v>4628</v>
      </c>
      <c r="B72" s="21" t="s">
        <v>4615</v>
      </c>
      <c r="C72" s="21" t="n">
        <v>5</v>
      </c>
      <c r="D72" s="21" t="s">
        <v>256</v>
      </c>
      <c r="E72" s="21" t="s">
        <v>1819</v>
      </c>
      <c r="F72" s="32" t="s">
        <v>38</v>
      </c>
      <c r="G72" s="21" t="s">
        <v>5413</v>
      </c>
      <c r="H72" s="21" t="s">
        <v>1741</v>
      </c>
      <c r="I72" s="21" t="s">
        <v>4630</v>
      </c>
      <c r="J72" s="21" t="s">
        <v>1822</v>
      </c>
    </row>
    <row r="73" customFormat="false" ht="35.05" hidden="false" customHeight="false" outlineLevel="0" collapsed="false">
      <c r="A73" s="21" t="s">
        <v>4693</v>
      </c>
      <c r="B73" s="21" t="s">
        <v>4680</v>
      </c>
      <c r="C73" s="21" t="n">
        <v>5</v>
      </c>
      <c r="D73" s="21" t="s">
        <v>1615</v>
      </c>
      <c r="E73" s="21" t="s">
        <v>1794</v>
      </c>
      <c r="F73" s="32" t="s">
        <v>38</v>
      </c>
      <c r="G73" s="21" t="s">
        <v>5412</v>
      </c>
      <c r="H73" s="21" t="s">
        <v>4695</v>
      </c>
      <c r="I73" s="21" t="s">
        <v>4696</v>
      </c>
      <c r="J73" s="21" t="s">
        <v>1822</v>
      </c>
    </row>
    <row r="74" customFormat="false" ht="35.05" hidden="false" customHeight="false" outlineLevel="0" collapsed="false">
      <c r="A74" s="21" t="s">
        <v>4957</v>
      </c>
      <c r="B74" s="21" t="s">
        <v>4954</v>
      </c>
      <c r="C74" s="21" t="n">
        <v>2</v>
      </c>
      <c r="D74" s="21" t="s">
        <v>559</v>
      </c>
      <c r="E74" s="21" t="s">
        <v>1794</v>
      </c>
      <c r="F74" s="32" t="s">
        <v>38</v>
      </c>
      <c r="G74" s="21" t="s">
        <v>5412</v>
      </c>
      <c r="H74" s="21" t="s">
        <v>1741</v>
      </c>
      <c r="I74" s="21" t="s">
        <v>4959</v>
      </c>
      <c r="J74" s="21" t="s">
        <v>1822</v>
      </c>
    </row>
    <row r="75" customFormat="false" ht="46.25" hidden="false" customHeight="false" outlineLevel="0" collapsed="false">
      <c r="A75" s="21" t="s">
        <v>5072</v>
      </c>
      <c r="B75" s="21" t="s">
        <v>5073</v>
      </c>
      <c r="C75" s="21" t="n">
        <v>1</v>
      </c>
      <c r="D75" s="21" t="s">
        <v>3796</v>
      </c>
      <c r="E75" s="21" t="s">
        <v>1859</v>
      </c>
      <c r="F75" s="32" t="s">
        <v>38</v>
      </c>
      <c r="G75" s="21" t="s">
        <v>5412</v>
      </c>
      <c r="H75" s="21" t="s">
        <v>1649</v>
      </c>
      <c r="I75" s="21" t="s">
        <v>5075</v>
      </c>
      <c r="J75" s="21" t="s">
        <v>1822</v>
      </c>
    </row>
    <row r="76" customFormat="false" ht="46.25" hidden="false" customHeight="false" outlineLevel="0" collapsed="false">
      <c r="A76" s="21" t="s">
        <v>5128</v>
      </c>
      <c r="B76" s="21" t="s">
        <v>5125</v>
      </c>
      <c r="C76" s="21" t="n">
        <v>2</v>
      </c>
      <c r="D76" s="21" t="s">
        <v>1298</v>
      </c>
      <c r="E76" s="21" t="s">
        <v>1905</v>
      </c>
      <c r="F76" s="32" t="s">
        <v>38</v>
      </c>
      <c r="G76" s="21" t="s">
        <v>5415</v>
      </c>
      <c r="H76" s="21" t="s">
        <v>512</v>
      </c>
      <c r="I76" s="21" t="s">
        <v>5130</v>
      </c>
      <c r="J76" s="21" t="s">
        <v>3008</v>
      </c>
    </row>
    <row r="77" customFormat="false" ht="46.25" hidden="false" customHeight="false" outlineLevel="0" collapsed="false">
      <c r="A77" s="21" t="s">
        <v>5207</v>
      </c>
      <c r="B77" s="21" t="s">
        <v>5195</v>
      </c>
      <c r="C77" s="21" t="n">
        <v>5</v>
      </c>
      <c r="D77" s="21" t="s">
        <v>627</v>
      </c>
      <c r="E77" s="21" t="s">
        <v>2085</v>
      </c>
      <c r="F77" s="32" t="s">
        <v>38</v>
      </c>
      <c r="G77" s="21" t="s">
        <v>5414</v>
      </c>
      <c r="H77" s="21" t="s">
        <v>512</v>
      </c>
      <c r="I77" s="21" t="s">
        <v>5209</v>
      </c>
      <c r="J77" s="21" t="s">
        <v>5210</v>
      </c>
    </row>
    <row r="78" customFormat="false" ht="46.25" hidden="false" customHeight="false" outlineLevel="0" collapsed="false">
      <c r="A78" s="21" t="s">
        <v>5225</v>
      </c>
      <c r="B78" s="21" t="s">
        <v>5212</v>
      </c>
      <c r="C78" s="21" t="n">
        <v>5</v>
      </c>
      <c r="D78" s="21" t="s">
        <v>5213</v>
      </c>
      <c r="E78" s="21" t="s">
        <v>1794</v>
      </c>
      <c r="F78" s="32" t="s">
        <v>38</v>
      </c>
      <c r="G78" s="21" t="s">
        <v>5412</v>
      </c>
      <c r="H78" s="21" t="s">
        <v>5227</v>
      </c>
      <c r="I78" s="21" t="s">
        <v>5228</v>
      </c>
      <c r="J78" s="21" t="s">
        <v>1822</v>
      </c>
    </row>
    <row r="79" customFormat="false" ht="35.05" hidden="false" customHeight="false" outlineLevel="0" collapsed="false">
      <c r="A79" s="21" t="s">
        <v>5313</v>
      </c>
      <c r="B79" s="21" t="s">
        <v>5300</v>
      </c>
      <c r="C79" s="21" t="n">
        <v>5</v>
      </c>
      <c r="D79" s="21" t="s">
        <v>1473</v>
      </c>
      <c r="E79" s="21" t="s">
        <v>464</v>
      </c>
      <c r="F79" s="32" t="s">
        <v>38</v>
      </c>
      <c r="G79" s="21" t="s">
        <v>5417</v>
      </c>
      <c r="H79" s="21" t="s">
        <v>496</v>
      </c>
      <c r="I79" s="21" t="s">
        <v>5315</v>
      </c>
      <c r="J79" s="21" t="s">
        <v>3401</v>
      </c>
    </row>
  </sheetData>
  <autoFilter ref="A4:J7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10"/>
    <col collapsed="false" customWidth="true" hidden="false" outlineLevel="0" max="4" min="4" style="0" width="11"/>
    <col collapsed="false" customWidth="true" hidden="false" outlineLevel="0" max="6" min="5" style="0" width="18"/>
    <col collapsed="false" customWidth="true" hidden="false" outlineLevel="0" max="7" min="7" style="0" width="70"/>
  </cols>
  <sheetData>
    <row r="1" customFormat="false" ht="23.85" hidden="false" customHeight="false" outlineLevel="0" collapsed="false">
      <c r="A1" s="3" t="s">
        <v>5418</v>
      </c>
      <c r="B1" s="3" t="s">
        <v>78</v>
      </c>
      <c r="C1" s="3" t="s">
        <v>90</v>
      </c>
      <c r="D1" s="3" t="s">
        <v>5419</v>
      </c>
      <c r="E1" s="3" t="s">
        <v>5420</v>
      </c>
      <c r="F1" s="3" t="s">
        <v>5421</v>
      </c>
      <c r="G1" s="3" t="s">
        <v>5422</v>
      </c>
    </row>
    <row r="2" customFormat="false" ht="15" hidden="false" customHeight="false" outlineLevel="0" collapsed="false">
      <c r="A2" s="13" t="n">
        <v>1</v>
      </c>
      <c r="B2" s="13" t="s">
        <v>96</v>
      </c>
      <c r="C2" s="13" t="n">
        <v>1</v>
      </c>
      <c r="D2" s="13" t="s">
        <v>5423</v>
      </c>
      <c r="E2" s="24" t="n">
        <v>46309.7829050926</v>
      </c>
      <c r="F2" s="33" t="n">
        <f aca="false">FLOOR(E2,1/24)</f>
        <v>46309.75</v>
      </c>
      <c r="G2" s="13"/>
    </row>
    <row r="3" customFormat="false" ht="15" hidden="false" customHeight="false" outlineLevel="0" collapsed="false">
      <c r="A3" s="13" t="n">
        <v>2</v>
      </c>
      <c r="B3" s="13" t="s">
        <v>134</v>
      </c>
      <c r="C3" s="13" t="n">
        <v>1</v>
      </c>
      <c r="D3" s="13" t="s">
        <v>5424</v>
      </c>
      <c r="E3" s="24" t="n">
        <v>46309.7846990741</v>
      </c>
      <c r="F3" s="33" t="n">
        <f aca="false">FLOOR(E3,1/24)</f>
        <v>46309.75</v>
      </c>
      <c r="G3" s="13" t="s">
        <v>5425</v>
      </c>
    </row>
    <row r="4" customFormat="false" ht="15" hidden="false" customHeight="false" outlineLevel="0" collapsed="false">
      <c r="A4" s="13" t="n">
        <v>3</v>
      </c>
      <c r="B4" s="13" t="s">
        <v>134</v>
      </c>
      <c r="C4" s="13" t="n">
        <v>2</v>
      </c>
      <c r="D4" s="13" t="s">
        <v>5424</v>
      </c>
      <c r="E4" s="24" t="n">
        <v>46309.7892708333</v>
      </c>
      <c r="F4" s="33" t="n">
        <f aca="false">FLOOR(E4,1/24)</f>
        <v>46309.75</v>
      </c>
      <c r="G4" s="13" t="s">
        <v>5425</v>
      </c>
    </row>
    <row r="5" customFormat="false" ht="15" hidden="false" customHeight="false" outlineLevel="0" collapsed="false">
      <c r="A5" s="13" t="n">
        <v>4</v>
      </c>
      <c r="B5" s="13" t="s">
        <v>134</v>
      </c>
      <c r="C5" s="13" t="n">
        <v>3</v>
      </c>
      <c r="D5" s="13" t="s">
        <v>5423</v>
      </c>
      <c r="E5" s="24" t="n">
        <v>46309.7941898148</v>
      </c>
      <c r="F5" s="33" t="n">
        <f aca="false">FLOOR(E5,1/24)</f>
        <v>46309.7916666667</v>
      </c>
      <c r="G5" s="13"/>
    </row>
    <row r="6" customFormat="false" ht="15" hidden="false" customHeight="false" outlineLevel="0" collapsed="false">
      <c r="A6" s="13" t="n">
        <v>5</v>
      </c>
      <c r="B6" s="13" t="s">
        <v>166</v>
      </c>
      <c r="C6" s="13" t="n">
        <v>1</v>
      </c>
      <c r="D6" s="13" t="s">
        <v>5423</v>
      </c>
      <c r="E6" s="24" t="n">
        <v>46309.7957175926</v>
      </c>
      <c r="F6" s="33" t="n">
        <f aca="false">FLOOR(E6,1/24)</f>
        <v>46309.7916666667</v>
      </c>
      <c r="G6" s="13"/>
    </row>
    <row r="7" customFormat="false" ht="15" hidden="false" customHeight="false" outlineLevel="0" collapsed="false">
      <c r="A7" s="13" t="n">
        <v>6</v>
      </c>
      <c r="B7" s="13" t="s">
        <v>191</v>
      </c>
      <c r="C7" s="13" t="n">
        <v>1</v>
      </c>
      <c r="D7" s="13" t="s">
        <v>5423</v>
      </c>
      <c r="E7" s="24" t="n">
        <v>46309.7971296296</v>
      </c>
      <c r="F7" s="33" t="n">
        <f aca="false">FLOOR(E7,1/24)</f>
        <v>46309.7916666667</v>
      </c>
      <c r="G7" s="13"/>
    </row>
    <row r="8" customFormat="false" ht="15" hidden="false" customHeight="false" outlineLevel="0" collapsed="false">
      <c r="A8" s="13" t="n">
        <v>7</v>
      </c>
      <c r="B8" s="13" t="s">
        <v>214</v>
      </c>
      <c r="C8" s="13" t="n">
        <v>1</v>
      </c>
      <c r="D8" s="13" t="s">
        <v>5423</v>
      </c>
      <c r="E8" s="24" t="n">
        <v>46309.79875</v>
      </c>
      <c r="F8" s="33" t="n">
        <f aca="false">FLOOR(E8,1/24)</f>
        <v>46309.7916666667</v>
      </c>
      <c r="G8" s="13"/>
    </row>
    <row r="9" customFormat="false" ht="15" hidden="false" customHeight="false" outlineLevel="0" collapsed="false">
      <c r="A9" s="13" t="n">
        <v>8</v>
      </c>
      <c r="B9" s="13" t="s">
        <v>237</v>
      </c>
      <c r="C9" s="13" t="n">
        <v>1</v>
      </c>
      <c r="D9" s="13" t="s">
        <v>5424</v>
      </c>
      <c r="E9" s="24" t="n">
        <v>46309.8001041667</v>
      </c>
      <c r="F9" s="33" t="n">
        <f aca="false">FLOOR(E9,1/24)</f>
        <v>46309.7916666667</v>
      </c>
      <c r="G9" s="13" t="s">
        <v>5425</v>
      </c>
    </row>
    <row r="10" customFormat="false" ht="15" hidden="false" customHeight="false" outlineLevel="0" collapsed="false">
      <c r="A10" s="13" t="n">
        <v>9</v>
      </c>
      <c r="B10" s="13" t="s">
        <v>237</v>
      </c>
      <c r="C10" s="13" t="n">
        <v>2</v>
      </c>
      <c r="D10" s="13" t="s">
        <v>5423</v>
      </c>
      <c r="E10" s="24" t="n">
        <v>46309.8046643519</v>
      </c>
      <c r="F10" s="33" t="n">
        <f aca="false">FLOOR(E10,1/24)</f>
        <v>46309.7916666667</v>
      </c>
      <c r="G10" s="13"/>
    </row>
    <row r="11" customFormat="false" ht="15" hidden="false" customHeight="false" outlineLevel="0" collapsed="false">
      <c r="A11" s="13" t="n">
        <v>10</v>
      </c>
      <c r="B11" s="13" t="s">
        <v>255</v>
      </c>
      <c r="C11" s="13" t="n">
        <v>1</v>
      </c>
      <c r="D11" s="13" t="s">
        <v>5424</v>
      </c>
      <c r="E11" s="24" t="n">
        <v>46309.8062152778</v>
      </c>
      <c r="F11" s="33" t="n">
        <f aca="false">FLOOR(E11,1/24)</f>
        <v>46309.7916666667</v>
      </c>
      <c r="G11" s="13" t="s">
        <v>5425</v>
      </c>
    </row>
    <row r="12" customFormat="false" ht="15" hidden="false" customHeight="false" outlineLevel="0" collapsed="false">
      <c r="A12" s="13" t="n">
        <v>11</v>
      </c>
      <c r="B12" s="13" t="s">
        <v>255</v>
      </c>
      <c r="C12" s="13" t="n">
        <v>2</v>
      </c>
      <c r="D12" s="13" t="s">
        <v>5424</v>
      </c>
      <c r="E12" s="24" t="n">
        <v>46309.810787037</v>
      </c>
      <c r="F12" s="33" t="n">
        <f aca="false">FLOOR(E12,1/24)</f>
        <v>46309.7916666667</v>
      </c>
      <c r="G12" s="13" t="s">
        <v>5425</v>
      </c>
    </row>
    <row r="13" customFormat="false" ht="15" hidden="false" customHeight="false" outlineLevel="0" collapsed="false">
      <c r="A13" s="13" t="n">
        <v>12</v>
      </c>
      <c r="B13" s="13" t="s">
        <v>255</v>
      </c>
      <c r="C13" s="13" t="n">
        <v>3</v>
      </c>
      <c r="D13" s="13" t="s">
        <v>5424</v>
      </c>
      <c r="E13" s="24" t="n">
        <v>46309.8156944444</v>
      </c>
      <c r="F13" s="33" t="n">
        <f aca="false">FLOOR(E13,1/24)</f>
        <v>46309.7916666667</v>
      </c>
      <c r="G13" s="13" t="s">
        <v>5425</v>
      </c>
    </row>
    <row r="14" customFormat="false" ht="15" hidden="false" customHeight="false" outlineLevel="0" collapsed="false">
      <c r="A14" s="13" t="n">
        <v>13</v>
      </c>
      <c r="B14" s="13" t="s">
        <v>274</v>
      </c>
      <c r="C14" s="13" t="n">
        <v>1</v>
      </c>
      <c r="D14" s="13" t="s">
        <v>5423</v>
      </c>
      <c r="E14" s="24" t="n">
        <v>46309.8199189815</v>
      </c>
      <c r="F14" s="33" t="n">
        <f aca="false">FLOOR(E14,1/24)</f>
        <v>46309.7916666667</v>
      </c>
      <c r="G14" s="13"/>
    </row>
    <row r="15" customFormat="false" ht="15" hidden="false" customHeight="false" outlineLevel="0" collapsed="false">
      <c r="A15" s="13" t="n">
        <v>14</v>
      </c>
      <c r="B15" s="13" t="s">
        <v>295</v>
      </c>
      <c r="C15" s="13" t="n">
        <v>1</v>
      </c>
      <c r="D15" s="13" t="s">
        <v>5424</v>
      </c>
      <c r="E15" s="24" t="n">
        <v>46309.8218865741</v>
      </c>
      <c r="F15" s="33" t="n">
        <f aca="false">FLOOR(E15,1/24)</f>
        <v>46309.7916666667</v>
      </c>
      <c r="G15" s="13" t="s">
        <v>5425</v>
      </c>
    </row>
    <row r="16" customFormat="false" ht="15" hidden="false" customHeight="false" outlineLevel="0" collapsed="false">
      <c r="A16" s="13" t="n">
        <v>15</v>
      </c>
      <c r="B16" s="13" t="s">
        <v>295</v>
      </c>
      <c r="C16" s="13" t="n">
        <v>2</v>
      </c>
      <c r="D16" s="13" t="s">
        <v>5424</v>
      </c>
      <c r="E16" s="24" t="n">
        <v>46309.8264467593</v>
      </c>
      <c r="F16" s="33" t="n">
        <f aca="false">FLOOR(E16,1/24)</f>
        <v>46309.7916666667</v>
      </c>
      <c r="G16" s="13" t="s">
        <v>5425</v>
      </c>
    </row>
    <row r="17" customFormat="false" ht="15" hidden="false" customHeight="false" outlineLevel="0" collapsed="false">
      <c r="A17" s="13" t="n">
        <v>16</v>
      </c>
      <c r="B17" s="13" t="s">
        <v>295</v>
      </c>
      <c r="C17" s="13" t="n">
        <v>3</v>
      </c>
      <c r="D17" s="13" t="s">
        <v>5423</v>
      </c>
      <c r="E17" s="24" t="n">
        <v>46309.8314351852</v>
      </c>
      <c r="F17" s="33" t="n">
        <f aca="false">FLOOR(E17,1/24)</f>
        <v>46309.7916666667</v>
      </c>
      <c r="G17" s="13"/>
    </row>
    <row r="18" customFormat="false" ht="15" hidden="false" customHeight="false" outlineLevel="0" collapsed="false">
      <c r="A18" s="13" t="n">
        <v>17</v>
      </c>
      <c r="B18" s="13" t="s">
        <v>314</v>
      </c>
      <c r="C18" s="13" t="n">
        <v>1</v>
      </c>
      <c r="D18" s="13" t="s">
        <v>5424</v>
      </c>
      <c r="E18" s="24" t="n">
        <v>46309.8328356482</v>
      </c>
      <c r="F18" s="33" t="n">
        <f aca="false">FLOOR(E18,1/24)</f>
        <v>46309.7916666667</v>
      </c>
      <c r="G18" s="13" t="s">
        <v>5425</v>
      </c>
    </row>
    <row r="19" customFormat="false" ht="15" hidden="false" customHeight="false" outlineLevel="0" collapsed="false">
      <c r="A19" s="13" t="n">
        <v>18</v>
      </c>
      <c r="B19" s="13" t="s">
        <v>314</v>
      </c>
      <c r="C19" s="13" t="n">
        <v>2</v>
      </c>
      <c r="D19" s="13" t="s">
        <v>5424</v>
      </c>
      <c r="E19" s="24" t="n">
        <v>46309.8374074074</v>
      </c>
      <c r="F19" s="33" t="n">
        <f aca="false">FLOOR(E19,1/24)</f>
        <v>46309.8333333333</v>
      </c>
      <c r="G19" s="13" t="s">
        <v>5425</v>
      </c>
    </row>
    <row r="20" customFormat="false" ht="15" hidden="false" customHeight="false" outlineLevel="0" collapsed="false">
      <c r="A20" s="13" t="n">
        <v>19</v>
      </c>
      <c r="B20" s="13" t="s">
        <v>314</v>
      </c>
      <c r="C20" s="13" t="n">
        <v>3</v>
      </c>
      <c r="D20" s="13" t="s">
        <v>5424</v>
      </c>
      <c r="E20" s="24" t="n">
        <v>46309.8423148148</v>
      </c>
      <c r="F20" s="33" t="n">
        <f aca="false">FLOOR(E20,1/24)</f>
        <v>46309.8333333333</v>
      </c>
      <c r="G20" s="13" t="s">
        <v>5425</v>
      </c>
    </row>
    <row r="21" customFormat="false" ht="15" hidden="false" customHeight="false" outlineLevel="0" collapsed="false">
      <c r="A21" s="13" t="n">
        <v>20</v>
      </c>
      <c r="B21" s="13" t="s">
        <v>331</v>
      </c>
      <c r="C21" s="13" t="n">
        <v>1</v>
      </c>
      <c r="D21" s="13" t="s">
        <v>5423</v>
      </c>
      <c r="E21" s="24" t="n">
        <v>46309.8465625</v>
      </c>
      <c r="F21" s="33" t="n">
        <f aca="false">FLOOR(E21,1/24)</f>
        <v>46309.8333333333</v>
      </c>
      <c r="G21" s="13"/>
    </row>
    <row r="22" customFormat="false" ht="15" hidden="false" customHeight="false" outlineLevel="0" collapsed="false">
      <c r="A22" s="13" t="n">
        <v>21</v>
      </c>
      <c r="B22" s="13" t="s">
        <v>352</v>
      </c>
      <c r="C22" s="13" t="n">
        <v>1</v>
      </c>
      <c r="D22" s="13" t="s">
        <v>5424</v>
      </c>
      <c r="E22" s="24" t="n">
        <v>46309.847974537</v>
      </c>
      <c r="F22" s="33" t="n">
        <f aca="false">FLOOR(E22,1/24)</f>
        <v>46309.8333333333</v>
      </c>
      <c r="G22" s="13" t="s">
        <v>5425</v>
      </c>
    </row>
    <row r="23" customFormat="false" ht="15" hidden="false" customHeight="false" outlineLevel="0" collapsed="false">
      <c r="A23" s="13" t="n">
        <v>22</v>
      </c>
      <c r="B23" s="13" t="s">
        <v>352</v>
      </c>
      <c r="C23" s="13" t="n">
        <v>2</v>
      </c>
      <c r="D23" s="13" t="s">
        <v>5424</v>
      </c>
      <c r="E23" s="24" t="n">
        <v>46309.8525347222</v>
      </c>
      <c r="F23" s="33" t="n">
        <f aca="false">FLOOR(E23,1/24)</f>
        <v>46309.8333333333</v>
      </c>
      <c r="G23" s="13" t="s">
        <v>5425</v>
      </c>
    </row>
    <row r="24" customFormat="false" ht="15" hidden="false" customHeight="false" outlineLevel="0" collapsed="false">
      <c r="A24" s="13" t="n">
        <v>23</v>
      </c>
      <c r="B24" s="13" t="s">
        <v>352</v>
      </c>
      <c r="C24" s="13" t="n">
        <v>3</v>
      </c>
      <c r="D24" s="13" t="s">
        <v>5424</v>
      </c>
      <c r="E24" s="24" t="n">
        <v>46309.8574537037</v>
      </c>
      <c r="F24" s="33" t="n">
        <f aca="false">FLOOR(E24,1/24)</f>
        <v>46309.8333333333</v>
      </c>
      <c r="G24" s="13" t="s">
        <v>5425</v>
      </c>
    </row>
    <row r="25" customFormat="false" ht="15" hidden="false" customHeight="false" outlineLevel="0" collapsed="false">
      <c r="A25" s="13" t="n">
        <v>24</v>
      </c>
      <c r="B25" s="13" t="s">
        <v>370</v>
      </c>
      <c r="C25" s="13" t="n">
        <v>1</v>
      </c>
      <c r="D25" s="13" t="s">
        <v>5423</v>
      </c>
      <c r="E25" s="24" t="n">
        <v>46309.8616898148</v>
      </c>
      <c r="F25" s="33" t="n">
        <f aca="false">FLOOR(E25,1/24)</f>
        <v>46309.8333333333</v>
      </c>
      <c r="G25" s="13"/>
    </row>
    <row r="26" customFormat="false" ht="15" hidden="false" customHeight="false" outlineLevel="0" collapsed="false">
      <c r="A26" s="13" t="n">
        <v>25</v>
      </c>
      <c r="B26" s="13" t="s">
        <v>387</v>
      </c>
      <c r="C26" s="13" t="n">
        <v>1</v>
      </c>
      <c r="D26" s="13" t="s">
        <v>5424</v>
      </c>
      <c r="E26" s="24" t="n">
        <v>46309.8632175926</v>
      </c>
      <c r="F26" s="33" t="n">
        <f aca="false">FLOOR(E26,1/24)</f>
        <v>46309.8333333333</v>
      </c>
      <c r="G26" s="13" t="s">
        <v>5425</v>
      </c>
    </row>
    <row r="27" customFormat="false" ht="15" hidden="false" customHeight="false" outlineLevel="0" collapsed="false">
      <c r="A27" s="13" t="n">
        <v>26</v>
      </c>
      <c r="B27" s="13" t="s">
        <v>387</v>
      </c>
      <c r="C27" s="13" t="n">
        <v>2</v>
      </c>
      <c r="D27" s="13" t="s">
        <v>5423</v>
      </c>
      <c r="E27" s="24" t="n">
        <v>46309.8677777778</v>
      </c>
      <c r="F27" s="33" t="n">
        <f aca="false">FLOOR(E27,1/24)</f>
        <v>46309.8333333333</v>
      </c>
      <c r="G27" s="13"/>
    </row>
    <row r="28" customFormat="false" ht="15" hidden="false" customHeight="false" outlineLevel="0" collapsed="false">
      <c r="A28" s="13" t="n">
        <v>27</v>
      </c>
      <c r="B28" s="13" t="s">
        <v>408</v>
      </c>
      <c r="C28" s="13" t="n">
        <v>1</v>
      </c>
      <c r="D28" s="13" t="s">
        <v>5424</v>
      </c>
      <c r="E28" s="24" t="n">
        <v>46309.8690162037</v>
      </c>
      <c r="F28" s="33" t="n">
        <f aca="false">FLOOR(E28,1/24)</f>
        <v>46309.8333333333</v>
      </c>
      <c r="G28" s="13" t="s">
        <v>5425</v>
      </c>
    </row>
    <row r="29" customFormat="false" ht="15" hidden="false" customHeight="false" outlineLevel="0" collapsed="false">
      <c r="A29" s="13" t="n">
        <v>28</v>
      </c>
      <c r="B29" s="13" t="s">
        <v>408</v>
      </c>
      <c r="C29" s="13" t="n">
        <v>2</v>
      </c>
      <c r="D29" s="13" t="s">
        <v>5424</v>
      </c>
      <c r="E29" s="24" t="n">
        <v>46309.8735763889</v>
      </c>
      <c r="F29" s="33" t="n">
        <f aca="false">FLOOR(E29,1/24)</f>
        <v>46309.8333333333</v>
      </c>
      <c r="G29" s="13" t="s">
        <v>5425</v>
      </c>
    </row>
    <row r="30" customFormat="false" ht="15" hidden="false" customHeight="false" outlineLevel="0" collapsed="false">
      <c r="A30" s="13" t="n">
        <v>29</v>
      </c>
      <c r="B30" s="13" t="s">
        <v>408</v>
      </c>
      <c r="C30" s="13" t="n">
        <v>3</v>
      </c>
      <c r="D30" s="13" t="s">
        <v>5424</v>
      </c>
      <c r="E30" s="24" t="n">
        <v>46309.8784837963</v>
      </c>
      <c r="F30" s="33" t="n">
        <f aca="false">FLOOR(E30,1/24)</f>
        <v>46309.875</v>
      </c>
      <c r="G30" s="13" t="s">
        <v>5425</v>
      </c>
    </row>
    <row r="31" customFormat="false" ht="15" hidden="false" customHeight="false" outlineLevel="0" collapsed="false">
      <c r="A31" s="13" t="n">
        <v>30</v>
      </c>
      <c r="B31" s="13" t="s">
        <v>429</v>
      </c>
      <c r="C31" s="13" t="n">
        <v>1</v>
      </c>
      <c r="D31" s="13" t="s">
        <v>5424</v>
      </c>
      <c r="E31" s="24" t="n">
        <v>46309.8827199074</v>
      </c>
      <c r="F31" s="33" t="n">
        <f aca="false">FLOOR(E31,1/24)</f>
        <v>46309.875</v>
      </c>
      <c r="G31" s="13" t="s">
        <v>5425</v>
      </c>
    </row>
    <row r="32" customFormat="false" ht="15" hidden="false" customHeight="false" outlineLevel="0" collapsed="false">
      <c r="A32" s="13" t="n">
        <v>31</v>
      </c>
      <c r="B32" s="13" t="s">
        <v>429</v>
      </c>
      <c r="C32" s="13" t="n">
        <v>2</v>
      </c>
      <c r="D32" s="13" t="s">
        <v>5424</v>
      </c>
      <c r="E32" s="24" t="n">
        <v>46309.8872916667</v>
      </c>
      <c r="F32" s="33" t="n">
        <f aca="false">FLOOR(E32,1/24)</f>
        <v>46309.875</v>
      </c>
      <c r="G32" s="13" t="s">
        <v>5425</v>
      </c>
    </row>
    <row r="33" customFormat="false" ht="15" hidden="false" customHeight="false" outlineLevel="0" collapsed="false">
      <c r="A33" s="13" t="n">
        <v>32</v>
      </c>
      <c r="B33" s="13" t="s">
        <v>429</v>
      </c>
      <c r="C33" s="13" t="n">
        <v>3</v>
      </c>
      <c r="D33" s="13" t="s">
        <v>5423</v>
      </c>
      <c r="E33" s="24" t="n">
        <v>46309.8922106482</v>
      </c>
      <c r="F33" s="33" t="n">
        <f aca="false">FLOOR(E33,1/24)</f>
        <v>46309.875</v>
      </c>
      <c r="G33" s="13"/>
    </row>
    <row r="34" customFormat="false" ht="15" hidden="false" customHeight="false" outlineLevel="0" collapsed="false">
      <c r="A34" s="13" t="n">
        <v>33</v>
      </c>
      <c r="B34" s="13" t="s">
        <v>450</v>
      </c>
      <c r="C34" s="13" t="n">
        <v>1</v>
      </c>
      <c r="D34" s="13" t="s">
        <v>5424</v>
      </c>
      <c r="E34" s="24" t="n">
        <v>46309.8937847222</v>
      </c>
      <c r="F34" s="33" t="n">
        <f aca="false">FLOOR(E34,1/24)</f>
        <v>46309.875</v>
      </c>
      <c r="G34" s="13" t="s">
        <v>5426</v>
      </c>
    </row>
    <row r="35" customFormat="false" ht="15" hidden="false" customHeight="false" outlineLevel="0" collapsed="false">
      <c r="A35" s="13" t="n">
        <v>34</v>
      </c>
      <c r="B35" s="13" t="s">
        <v>450</v>
      </c>
      <c r="C35" s="13" t="n">
        <v>2</v>
      </c>
      <c r="D35" s="13" t="s">
        <v>5424</v>
      </c>
      <c r="E35" s="24" t="n">
        <v>46309.894224537</v>
      </c>
      <c r="F35" s="33" t="n">
        <f aca="false">FLOOR(E35,1/24)</f>
        <v>46309.875</v>
      </c>
      <c r="G35" s="13" t="s">
        <v>5425</v>
      </c>
    </row>
    <row r="36" customFormat="false" ht="15" hidden="false" customHeight="false" outlineLevel="0" collapsed="false">
      <c r="A36" s="13" t="n">
        <v>35</v>
      </c>
      <c r="B36" s="13" t="s">
        <v>450</v>
      </c>
      <c r="C36" s="13" t="n">
        <v>3</v>
      </c>
      <c r="D36" s="13" t="s">
        <v>5423</v>
      </c>
      <c r="E36" s="24" t="n">
        <v>46309.8991435185</v>
      </c>
      <c r="F36" s="33" t="n">
        <f aca="false">FLOOR(E36,1/24)</f>
        <v>46309.875</v>
      </c>
      <c r="G36" s="13"/>
    </row>
    <row r="37" customFormat="false" ht="15" hidden="false" customHeight="false" outlineLevel="0" collapsed="false">
      <c r="A37" s="13" t="n">
        <v>36</v>
      </c>
      <c r="B37" s="13" t="s">
        <v>469</v>
      </c>
      <c r="C37" s="13" t="n">
        <v>1</v>
      </c>
      <c r="D37" s="13" t="s">
        <v>5424</v>
      </c>
      <c r="E37" s="24" t="n">
        <v>46309.9006597222</v>
      </c>
      <c r="F37" s="33" t="n">
        <f aca="false">FLOOR(E37,1/24)</f>
        <v>46309.875</v>
      </c>
      <c r="G37" s="13" t="s">
        <v>5425</v>
      </c>
    </row>
    <row r="38" customFormat="false" ht="15" hidden="false" customHeight="false" outlineLevel="0" collapsed="false">
      <c r="A38" s="13" t="n">
        <v>37</v>
      </c>
      <c r="B38" s="13" t="s">
        <v>469</v>
      </c>
      <c r="C38" s="13" t="n">
        <v>2</v>
      </c>
      <c r="D38" s="13" t="s">
        <v>5424</v>
      </c>
      <c r="E38" s="24" t="n">
        <v>46309.9052314815</v>
      </c>
      <c r="F38" s="33" t="n">
        <f aca="false">FLOOR(E38,1/24)</f>
        <v>46309.875</v>
      </c>
      <c r="G38" s="13" t="s">
        <v>5425</v>
      </c>
    </row>
    <row r="39" customFormat="false" ht="15" hidden="false" customHeight="false" outlineLevel="0" collapsed="false">
      <c r="A39" s="13" t="n">
        <v>38</v>
      </c>
      <c r="B39" s="13" t="s">
        <v>469</v>
      </c>
      <c r="C39" s="13" t="n">
        <v>3</v>
      </c>
      <c r="D39" s="13" t="s">
        <v>5424</v>
      </c>
      <c r="E39" s="24" t="n">
        <v>46309.9101388889</v>
      </c>
      <c r="F39" s="33" t="n">
        <f aca="false">FLOOR(E39,1/24)</f>
        <v>46309.875</v>
      </c>
      <c r="G39" s="13" t="s">
        <v>5425</v>
      </c>
    </row>
    <row r="40" customFormat="false" ht="15" hidden="false" customHeight="false" outlineLevel="0" collapsed="false">
      <c r="A40" s="13" t="n">
        <v>39</v>
      </c>
      <c r="B40" s="13" t="s">
        <v>487</v>
      </c>
      <c r="C40" s="13" t="n">
        <v>1</v>
      </c>
      <c r="D40" s="13" t="s">
        <v>5424</v>
      </c>
      <c r="E40" s="24" t="n">
        <v>46309.9143865741</v>
      </c>
      <c r="F40" s="33" t="n">
        <f aca="false">FLOOR(E40,1/24)</f>
        <v>46309.875</v>
      </c>
      <c r="G40" s="13" t="s">
        <v>5425</v>
      </c>
    </row>
    <row r="41" customFormat="false" ht="15" hidden="false" customHeight="false" outlineLevel="0" collapsed="false">
      <c r="A41" s="13" t="n">
        <v>40</v>
      </c>
      <c r="B41" s="13" t="s">
        <v>487</v>
      </c>
      <c r="C41" s="13" t="n">
        <v>2</v>
      </c>
      <c r="D41" s="13" t="s">
        <v>5424</v>
      </c>
      <c r="E41" s="24" t="n">
        <v>46309.9189583333</v>
      </c>
      <c r="F41" s="33" t="n">
        <f aca="false">FLOOR(E41,1/24)</f>
        <v>46309.9166666667</v>
      </c>
      <c r="G41" s="13" t="s">
        <v>5425</v>
      </c>
    </row>
    <row r="42" customFormat="false" ht="15" hidden="false" customHeight="false" outlineLevel="0" collapsed="false">
      <c r="A42" s="13" t="n">
        <v>41</v>
      </c>
      <c r="B42" s="13" t="s">
        <v>487</v>
      </c>
      <c r="C42" s="13" t="n">
        <v>3</v>
      </c>
      <c r="D42" s="13" t="s">
        <v>5424</v>
      </c>
      <c r="E42" s="24" t="n">
        <v>46309.9238773148</v>
      </c>
      <c r="F42" s="33" t="n">
        <f aca="false">FLOOR(E42,1/24)</f>
        <v>46309.9166666667</v>
      </c>
      <c r="G42" s="13" t="s">
        <v>5425</v>
      </c>
    </row>
    <row r="43" customFormat="false" ht="15" hidden="false" customHeight="false" outlineLevel="0" collapsed="false">
      <c r="A43" s="13" t="n">
        <v>42</v>
      </c>
      <c r="B43" s="13" t="s">
        <v>504</v>
      </c>
      <c r="C43" s="13" t="n">
        <v>1</v>
      </c>
      <c r="D43" s="13" t="s">
        <v>5424</v>
      </c>
      <c r="E43" s="24" t="n">
        <v>46309.928125</v>
      </c>
      <c r="F43" s="33" t="n">
        <f aca="false">FLOOR(E43,1/24)</f>
        <v>46309.9166666667</v>
      </c>
      <c r="G43" s="13" t="s">
        <v>5425</v>
      </c>
    </row>
    <row r="44" customFormat="false" ht="15" hidden="false" customHeight="false" outlineLevel="0" collapsed="false">
      <c r="A44" s="13" t="n">
        <v>43</v>
      </c>
      <c r="B44" s="13" t="s">
        <v>504</v>
      </c>
      <c r="C44" s="13" t="n">
        <v>2</v>
      </c>
      <c r="D44" s="13" t="s">
        <v>5424</v>
      </c>
      <c r="E44" s="24" t="n">
        <v>46309.9326851852</v>
      </c>
      <c r="F44" s="33" t="n">
        <f aca="false">FLOOR(E44,1/24)</f>
        <v>46309.9166666667</v>
      </c>
      <c r="G44" s="13" t="s">
        <v>5425</v>
      </c>
    </row>
    <row r="45" customFormat="false" ht="15" hidden="false" customHeight="false" outlineLevel="0" collapsed="false">
      <c r="A45" s="13" t="n">
        <v>44</v>
      </c>
      <c r="B45" s="13" t="s">
        <v>504</v>
      </c>
      <c r="C45" s="13" t="n">
        <v>3</v>
      </c>
      <c r="D45" s="13" t="s">
        <v>5424</v>
      </c>
      <c r="E45" s="24" t="n">
        <v>46309.9375925926</v>
      </c>
      <c r="F45" s="33" t="n">
        <f aca="false">FLOOR(E45,1/24)</f>
        <v>46309.9166666667</v>
      </c>
      <c r="G45" s="13" t="s">
        <v>5425</v>
      </c>
    </row>
    <row r="46" customFormat="false" ht="15" hidden="false" customHeight="false" outlineLevel="0" collapsed="false">
      <c r="A46" s="13" t="n">
        <v>45</v>
      </c>
      <c r="B46" s="13" t="s">
        <v>523</v>
      </c>
      <c r="C46" s="13" t="n">
        <v>1</v>
      </c>
      <c r="D46" s="13" t="s">
        <v>5424</v>
      </c>
      <c r="E46" s="24" t="n">
        <v>46309.9522569445</v>
      </c>
      <c r="F46" s="33" t="n">
        <f aca="false">FLOOR(E46,1/24)</f>
        <v>46309.9166666667</v>
      </c>
      <c r="G46" s="13" t="s">
        <v>5425</v>
      </c>
    </row>
    <row r="47" customFormat="false" ht="15" hidden="false" customHeight="false" outlineLevel="0" collapsed="false">
      <c r="A47" s="13" t="n">
        <v>46</v>
      </c>
      <c r="B47" s="13" t="s">
        <v>523</v>
      </c>
      <c r="C47" s="13" t="n">
        <v>2</v>
      </c>
      <c r="D47" s="13" t="s">
        <v>5424</v>
      </c>
      <c r="E47" s="24" t="n">
        <v>46309.9568402778</v>
      </c>
      <c r="F47" s="33" t="n">
        <f aca="false">FLOOR(E47,1/24)</f>
        <v>46309.9166666667</v>
      </c>
      <c r="G47" s="13" t="s">
        <v>5425</v>
      </c>
    </row>
    <row r="48" customFormat="false" ht="15" hidden="false" customHeight="false" outlineLevel="0" collapsed="false">
      <c r="A48" s="13" t="n">
        <v>47</v>
      </c>
      <c r="B48" s="13" t="s">
        <v>523</v>
      </c>
      <c r="C48" s="13" t="n">
        <v>3</v>
      </c>
      <c r="D48" s="13" t="s">
        <v>5423</v>
      </c>
      <c r="E48" s="24" t="n">
        <v>46309.9617476852</v>
      </c>
      <c r="F48" s="33" t="n">
        <f aca="false">FLOOR(E48,1/24)</f>
        <v>46309.9583333333</v>
      </c>
      <c r="G48" s="13"/>
    </row>
    <row r="49" customFormat="false" ht="15" hidden="false" customHeight="false" outlineLevel="0" collapsed="false">
      <c r="A49" s="13" t="n">
        <v>48</v>
      </c>
      <c r="B49" s="13" t="s">
        <v>542</v>
      </c>
      <c r="C49" s="13" t="n">
        <v>1</v>
      </c>
      <c r="D49" s="13" t="s">
        <v>5424</v>
      </c>
      <c r="E49" s="24" t="n">
        <v>46309.9632986111</v>
      </c>
      <c r="F49" s="33" t="n">
        <f aca="false">FLOOR(E49,1/24)</f>
        <v>46309.9583333333</v>
      </c>
      <c r="G49" s="13" t="s">
        <v>5425</v>
      </c>
    </row>
    <row r="50" customFormat="false" ht="15" hidden="false" customHeight="false" outlineLevel="0" collapsed="false">
      <c r="A50" s="13" t="n">
        <v>49</v>
      </c>
      <c r="B50" s="13" t="s">
        <v>542</v>
      </c>
      <c r="C50" s="13" t="n">
        <v>2</v>
      </c>
      <c r="D50" s="13" t="s">
        <v>5424</v>
      </c>
      <c r="E50" s="24" t="n">
        <v>46309.9678587963</v>
      </c>
      <c r="F50" s="33" t="n">
        <f aca="false">FLOOR(E50,1/24)</f>
        <v>46309.9583333333</v>
      </c>
      <c r="G50" s="13" t="s">
        <v>5425</v>
      </c>
    </row>
    <row r="51" customFormat="false" ht="15" hidden="false" customHeight="false" outlineLevel="0" collapsed="false">
      <c r="A51" s="13" t="n">
        <v>50</v>
      </c>
      <c r="B51" s="13" t="s">
        <v>542</v>
      </c>
      <c r="C51" s="13" t="n">
        <v>3</v>
      </c>
      <c r="D51" s="13" t="s">
        <v>5424</v>
      </c>
      <c r="E51" s="24" t="n">
        <v>46309.9727662037</v>
      </c>
      <c r="F51" s="33" t="n">
        <f aca="false">FLOOR(E51,1/24)</f>
        <v>46309.9583333333</v>
      </c>
      <c r="G51" s="13" t="s">
        <v>5425</v>
      </c>
    </row>
    <row r="52" customFormat="false" ht="15" hidden="false" customHeight="false" outlineLevel="0" collapsed="false">
      <c r="A52" s="13" t="n">
        <v>51</v>
      </c>
      <c r="B52" s="13" t="s">
        <v>558</v>
      </c>
      <c r="C52" s="13" t="n">
        <v>1</v>
      </c>
      <c r="D52" s="13" t="s">
        <v>5424</v>
      </c>
      <c r="E52" s="24" t="n">
        <v>46309.9770023148</v>
      </c>
      <c r="F52" s="33" t="n">
        <f aca="false">FLOOR(E52,1/24)</f>
        <v>46309.9583333333</v>
      </c>
      <c r="G52" s="13" t="s">
        <v>5425</v>
      </c>
    </row>
    <row r="53" customFormat="false" ht="15" hidden="false" customHeight="false" outlineLevel="0" collapsed="false">
      <c r="A53" s="13" t="n">
        <v>52</v>
      </c>
      <c r="B53" s="13" t="s">
        <v>558</v>
      </c>
      <c r="C53" s="13" t="n">
        <v>2</v>
      </c>
      <c r="D53" s="13" t="s">
        <v>5423</v>
      </c>
      <c r="E53" s="24" t="n">
        <v>46309.9815740741</v>
      </c>
      <c r="F53" s="33" t="n">
        <f aca="false">FLOOR(E53,1/24)</f>
        <v>46309.9583333333</v>
      </c>
      <c r="G53" s="13"/>
    </row>
    <row r="54" customFormat="false" ht="15" hidden="false" customHeight="false" outlineLevel="0" collapsed="false">
      <c r="A54" s="13" t="n">
        <v>53</v>
      </c>
      <c r="B54" s="13" t="s">
        <v>578</v>
      </c>
      <c r="C54" s="13" t="n">
        <v>1</v>
      </c>
      <c r="D54" s="13" t="s">
        <v>5424</v>
      </c>
      <c r="E54" s="24" t="n">
        <v>46309.983125</v>
      </c>
      <c r="F54" s="33" t="n">
        <f aca="false">FLOOR(E54,1/24)</f>
        <v>46309.9583333333</v>
      </c>
      <c r="G54" s="13" t="s">
        <v>5425</v>
      </c>
    </row>
    <row r="55" customFormat="false" ht="15" hidden="false" customHeight="false" outlineLevel="0" collapsed="false">
      <c r="A55" s="13" t="n">
        <v>54</v>
      </c>
      <c r="B55" s="13" t="s">
        <v>578</v>
      </c>
      <c r="C55" s="13" t="n">
        <v>2</v>
      </c>
      <c r="D55" s="13" t="s">
        <v>5424</v>
      </c>
      <c r="E55" s="24" t="n">
        <v>46309.9876736111</v>
      </c>
      <c r="F55" s="33" t="n">
        <f aca="false">FLOOR(E55,1/24)</f>
        <v>46309.9583333333</v>
      </c>
      <c r="G55" s="13" t="s">
        <v>5425</v>
      </c>
    </row>
    <row r="56" customFormat="false" ht="15" hidden="false" customHeight="false" outlineLevel="0" collapsed="false">
      <c r="A56" s="13" t="n">
        <v>55</v>
      </c>
      <c r="B56" s="13" t="s">
        <v>578</v>
      </c>
      <c r="C56" s="13" t="n">
        <v>3</v>
      </c>
      <c r="D56" s="13" t="s">
        <v>5424</v>
      </c>
      <c r="E56" s="24" t="n">
        <v>46309.9925810185</v>
      </c>
      <c r="F56" s="33" t="n">
        <f aca="false">FLOOR(E56,1/24)</f>
        <v>46309.9583333333</v>
      </c>
      <c r="G56" s="13" t="s">
        <v>5425</v>
      </c>
    </row>
    <row r="57" customFormat="false" ht="15" hidden="false" customHeight="false" outlineLevel="0" collapsed="false">
      <c r="A57" s="13" t="n">
        <v>56</v>
      </c>
      <c r="B57" s="13" t="s">
        <v>593</v>
      </c>
      <c r="C57" s="13" t="n">
        <v>1</v>
      </c>
      <c r="D57" s="13" t="s">
        <v>5424</v>
      </c>
      <c r="E57" s="24" t="n">
        <v>46309.9968287037</v>
      </c>
      <c r="F57" s="33" t="n">
        <f aca="false">FLOOR(E57,1/24)</f>
        <v>46309.9583333333</v>
      </c>
      <c r="G57" s="13" t="s">
        <v>5425</v>
      </c>
    </row>
    <row r="58" customFormat="false" ht="15" hidden="false" customHeight="false" outlineLevel="0" collapsed="false">
      <c r="A58" s="13" t="n">
        <v>57</v>
      </c>
      <c r="B58" s="13" t="s">
        <v>593</v>
      </c>
      <c r="C58" s="13" t="n">
        <v>2</v>
      </c>
      <c r="D58" s="13" t="s">
        <v>5424</v>
      </c>
      <c r="E58" s="24" t="n">
        <v>46310.001400463</v>
      </c>
      <c r="F58" s="33" t="n">
        <f aca="false">FLOOR(E58,1/24)</f>
        <v>46310</v>
      </c>
      <c r="G58" s="13" t="s">
        <v>5425</v>
      </c>
    </row>
    <row r="59" customFormat="false" ht="15" hidden="false" customHeight="false" outlineLevel="0" collapsed="false">
      <c r="A59" s="13" t="n">
        <v>58</v>
      </c>
      <c r="B59" s="13" t="s">
        <v>593</v>
      </c>
      <c r="C59" s="13" t="n">
        <v>3</v>
      </c>
      <c r="D59" s="13" t="s">
        <v>5424</v>
      </c>
      <c r="E59" s="24" t="n">
        <v>46310.0063078704</v>
      </c>
      <c r="F59" s="33" t="n">
        <f aca="false">FLOOR(E59,1/24)</f>
        <v>46310</v>
      </c>
      <c r="G59" s="13" t="s">
        <v>5425</v>
      </c>
    </row>
    <row r="60" customFormat="false" ht="15" hidden="false" customHeight="false" outlineLevel="0" collapsed="false">
      <c r="A60" s="13" t="n">
        <v>59</v>
      </c>
      <c r="B60" s="13" t="s">
        <v>610</v>
      </c>
      <c r="C60" s="13" t="n">
        <v>1</v>
      </c>
      <c r="D60" s="13" t="s">
        <v>5424</v>
      </c>
      <c r="E60" s="24" t="n">
        <v>46310.0105439815</v>
      </c>
      <c r="F60" s="33" t="n">
        <f aca="false">FLOOR(E60,1/24)</f>
        <v>46310</v>
      </c>
      <c r="G60" s="13" t="s">
        <v>5425</v>
      </c>
    </row>
    <row r="61" customFormat="false" ht="15" hidden="false" customHeight="false" outlineLevel="0" collapsed="false">
      <c r="A61" s="13" t="n">
        <v>60</v>
      </c>
      <c r="B61" s="13" t="s">
        <v>610</v>
      </c>
      <c r="C61" s="13" t="n">
        <v>2</v>
      </c>
      <c r="D61" s="13" t="s">
        <v>5424</v>
      </c>
      <c r="E61" s="24" t="n">
        <v>46310.0151157407</v>
      </c>
      <c r="F61" s="33" t="n">
        <f aca="false">FLOOR(E61,1/24)</f>
        <v>46310</v>
      </c>
      <c r="G61" s="13" t="s">
        <v>5425</v>
      </c>
    </row>
    <row r="62" customFormat="false" ht="15" hidden="false" customHeight="false" outlineLevel="0" collapsed="false">
      <c r="A62" s="13" t="n">
        <v>61</v>
      </c>
      <c r="B62" s="13" t="s">
        <v>610</v>
      </c>
      <c r="C62" s="13" t="n">
        <v>3</v>
      </c>
      <c r="D62" s="13" t="s">
        <v>5424</v>
      </c>
      <c r="E62" s="24" t="n">
        <v>46310.0200347222</v>
      </c>
      <c r="F62" s="33" t="n">
        <f aca="false">FLOOR(E62,1/24)</f>
        <v>46310</v>
      </c>
      <c r="G62" s="13" t="s">
        <v>5425</v>
      </c>
    </row>
    <row r="63" customFormat="false" ht="15" hidden="false" customHeight="false" outlineLevel="0" collapsed="false">
      <c r="A63" s="13" t="n">
        <v>62</v>
      </c>
      <c r="B63" s="13" t="s">
        <v>626</v>
      </c>
      <c r="C63" s="13" t="n">
        <v>1</v>
      </c>
      <c r="D63" s="13" t="s">
        <v>5424</v>
      </c>
      <c r="E63" s="24" t="n">
        <v>46310.0347106482</v>
      </c>
      <c r="F63" s="33" t="n">
        <f aca="false">FLOOR(E63,1/24)</f>
        <v>46310</v>
      </c>
      <c r="G63" s="13" t="s">
        <v>5425</v>
      </c>
    </row>
    <row r="64" customFormat="false" ht="15" hidden="false" customHeight="false" outlineLevel="0" collapsed="false">
      <c r="A64" s="13" t="n">
        <v>63</v>
      </c>
      <c r="B64" s="13" t="s">
        <v>626</v>
      </c>
      <c r="C64" s="13" t="n">
        <v>2</v>
      </c>
      <c r="D64" s="13" t="s">
        <v>5423</v>
      </c>
      <c r="E64" s="24" t="n">
        <v>46310.0392824074</v>
      </c>
      <c r="F64" s="33" t="n">
        <f aca="false">FLOOR(E64,1/24)</f>
        <v>46310</v>
      </c>
      <c r="G64" s="13"/>
    </row>
    <row r="65" customFormat="false" ht="15" hidden="false" customHeight="false" outlineLevel="0" collapsed="false">
      <c r="A65" s="13" t="n">
        <v>64</v>
      </c>
      <c r="B65" s="13" t="s">
        <v>645</v>
      </c>
      <c r="C65" s="13" t="n">
        <v>1</v>
      </c>
      <c r="D65" s="13" t="s">
        <v>5424</v>
      </c>
      <c r="E65" s="24" t="n">
        <v>46310.0408796296</v>
      </c>
      <c r="F65" s="33" t="n">
        <f aca="false">FLOOR(E65,1/24)</f>
        <v>46310</v>
      </c>
      <c r="G65" s="13" t="s">
        <v>5425</v>
      </c>
    </row>
    <row r="66" customFormat="false" ht="15" hidden="false" customHeight="false" outlineLevel="0" collapsed="false">
      <c r="A66" s="13" t="n">
        <v>65</v>
      </c>
      <c r="B66" s="13" t="s">
        <v>645</v>
      </c>
      <c r="C66" s="13" t="n">
        <v>2</v>
      </c>
      <c r="D66" s="13" t="s">
        <v>5424</v>
      </c>
      <c r="E66" s="24" t="n">
        <v>46310.0454513889</v>
      </c>
      <c r="F66" s="33" t="n">
        <f aca="false">FLOOR(E66,1/24)</f>
        <v>46310.0416666667</v>
      </c>
      <c r="G66" s="13" t="s">
        <v>5425</v>
      </c>
    </row>
    <row r="67" customFormat="false" ht="15" hidden="false" customHeight="false" outlineLevel="0" collapsed="false">
      <c r="A67" s="13" t="n">
        <v>66</v>
      </c>
      <c r="B67" s="13" t="s">
        <v>645</v>
      </c>
      <c r="C67" s="13" t="n">
        <v>3</v>
      </c>
      <c r="D67" s="13" t="s">
        <v>5424</v>
      </c>
      <c r="E67" s="24" t="n">
        <v>46310.0503587963</v>
      </c>
      <c r="F67" s="33" t="n">
        <f aca="false">FLOOR(E67,1/24)</f>
        <v>46310.0416666667</v>
      </c>
      <c r="G67" s="13" t="s">
        <v>5425</v>
      </c>
    </row>
    <row r="68" customFormat="false" ht="15" hidden="false" customHeight="false" outlineLevel="0" collapsed="false">
      <c r="A68" s="13" t="n">
        <v>67</v>
      </c>
      <c r="B68" s="13" t="s">
        <v>663</v>
      </c>
      <c r="C68" s="13" t="n">
        <v>1</v>
      </c>
      <c r="D68" s="13" t="s">
        <v>5424</v>
      </c>
      <c r="E68" s="24" t="n">
        <v>46310.0546064815</v>
      </c>
      <c r="F68" s="33" t="n">
        <f aca="false">FLOOR(E68,1/24)</f>
        <v>46310.0416666667</v>
      </c>
      <c r="G68" s="13" t="s">
        <v>5425</v>
      </c>
    </row>
    <row r="69" customFormat="false" ht="15" hidden="false" customHeight="false" outlineLevel="0" collapsed="false">
      <c r="A69" s="13" t="n">
        <v>68</v>
      </c>
      <c r="B69" s="13" t="s">
        <v>663</v>
      </c>
      <c r="C69" s="13" t="n">
        <v>2</v>
      </c>
      <c r="D69" s="13" t="s">
        <v>5424</v>
      </c>
      <c r="E69" s="24" t="n">
        <v>46310.0591782407</v>
      </c>
      <c r="F69" s="33" t="n">
        <f aca="false">FLOOR(E69,1/24)</f>
        <v>46310.0416666667</v>
      </c>
      <c r="G69" s="13" t="s">
        <v>5425</v>
      </c>
    </row>
    <row r="70" customFormat="false" ht="15" hidden="false" customHeight="false" outlineLevel="0" collapsed="false">
      <c r="A70" s="13" t="n">
        <v>69</v>
      </c>
      <c r="B70" s="13" t="s">
        <v>663</v>
      </c>
      <c r="C70" s="13" t="n">
        <v>3</v>
      </c>
      <c r="D70" s="13" t="s">
        <v>5424</v>
      </c>
      <c r="E70" s="24" t="n">
        <v>46310.0640856482</v>
      </c>
      <c r="F70" s="33" t="n">
        <f aca="false">FLOOR(E70,1/24)</f>
        <v>46310.0416666667</v>
      </c>
      <c r="G70" s="13" t="s">
        <v>5425</v>
      </c>
    </row>
    <row r="71" customFormat="false" ht="15" hidden="false" customHeight="false" outlineLevel="0" collapsed="false">
      <c r="A71" s="13" t="n">
        <v>70</v>
      </c>
      <c r="B71" s="13" t="s">
        <v>679</v>
      </c>
      <c r="C71" s="13" t="n">
        <v>1</v>
      </c>
      <c r="D71" s="13" t="s">
        <v>5424</v>
      </c>
      <c r="E71" s="24" t="n">
        <v>46310.0683333333</v>
      </c>
      <c r="F71" s="33" t="n">
        <f aca="false">FLOOR(E71,1/24)</f>
        <v>46310.0416666667</v>
      </c>
      <c r="G71" s="13" t="s">
        <v>5425</v>
      </c>
    </row>
    <row r="72" customFormat="false" ht="15" hidden="false" customHeight="false" outlineLevel="0" collapsed="false">
      <c r="A72" s="13" t="n">
        <v>71</v>
      </c>
      <c r="B72" s="13" t="s">
        <v>679</v>
      </c>
      <c r="C72" s="13" t="n">
        <v>2</v>
      </c>
      <c r="D72" s="13" t="s">
        <v>5424</v>
      </c>
      <c r="E72" s="24" t="n">
        <v>46310.0728935185</v>
      </c>
      <c r="F72" s="33" t="n">
        <f aca="false">FLOOR(E72,1/24)</f>
        <v>46310.0416666667</v>
      </c>
      <c r="G72" s="13" t="s">
        <v>5425</v>
      </c>
    </row>
    <row r="73" customFormat="false" ht="15" hidden="false" customHeight="false" outlineLevel="0" collapsed="false">
      <c r="A73" s="13" t="n">
        <v>72</v>
      </c>
      <c r="B73" s="13" t="s">
        <v>679</v>
      </c>
      <c r="C73" s="13" t="n">
        <v>3</v>
      </c>
      <c r="D73" s="13" t="s">
        <v>5424</v>
      </c>
      <c r="E73" s="24" t="n">
        <v>46310.0778125</v>
      </c>
      <c r="F73" s="33" t="n">
        <f aca="false">FLOOR(E73,1/24)</f>
        <v>46310.0416666667</v>
      </c>
      <c r="G73" s="13" t="s">
        <v>5425</v>
      </c>
    </row>
    <row r="74" customFormat="false" ht="15" hidden="false" customHeight="false" outlineLevel="0" collapsed="false">
      <c r="A74" s="13" t="n">
        <v>73</v>
      </c>
      <c r="B74" s="13" t="s">
        <v>255</v>
      </c>
      <c r="C74" s="13" t="n">
        <v>4</v>
      </c>
      <c r="D74" s="13" t="s">
        <v>5427</v>
      </c>
      <c r="E74" s="24" t="n">
        <v>46310.4046412037</v>
      </c>
      <c r="F74" s="33" t="n">
        <f aca="false">FLOOR(E74,1/24)</f>
        <v>46310.375</v>
      </c>
      <c r="G74" s="13" t="s">
        <v>5428</v>
      </c>
    </row>
    <row r="75" customFormat="false" ht="15" hidden="false" customHeight="false" outlineLevel="0" collapsed="false">
      <c r="A75" s="13" t="n">
        <v>74</v>
      </c>
      <c r="B75" s="13" t="s">
        <v>255</v>
      </c>
      <c r="C75" s="13" t="n">
        <v>5</v>
      </c>
      <c r="D75" s="13" t="s">
        <v>5427</v>
      </c>
      <c r="E75" s="24" t="n">
        <v>46310.4058449074</v>
      </c>
      <c r="F75" s="33" t="n">
        <f aca="false">FLOOR(E75,1/24)</f>
        <v>46310.375</v>
      </c>
      <c r="G75" s="13" t="s">
        <v>5428</v>
      </c>
    </row>
    <row r="76" customFormat="false" ht="15" hidden="false" customHeight="false" outlineLevel="0" collapsed="false">
      <c r="A76" s="13" t="n">
        <v>75</v>
      </c>
      <c r="B76" s="13" t="s">
        <v>255</v>
      </c>
      <c r="C76" s="13" t="n">
        <v>6</v>
      </c>
      <c r="D76" s="13" t="s">
        <v>5423</v>
      </c>
      <c r="E76" s="24" t="n">
        <v>46310.4070023148</v>
      </c>
      <c r="F76" s="33" t="n">
        <f aca="false">FLOOR(E76,1/24)</f>
        <v>46310.375</v>
      </c>
      <c r="G76" s="13"/>
    </row>
    <row r="77" customFormat="false" ht="15" hidden="false" customHeight="false" outlineLevel="0" collapsed="false">
      <c r="A77" s="13" t="n">
        <v>76</v>
      </c>
      <c r="B77" s="13" t="s">
        <v>314</v>
      </c>
      <c r="C77" s="13" t="n">
        <v>4</v>
      </c>
      <c r="D77" s="13" t="s">
        <v>5423</v>
      </c>
      <c r="E77" s="24" t="n">
        <v>46310.4088888889</v>
      </c>
      <c r="F77" s="33" t="n">
        <f aca="false">FLOOR(E77,1/24)</f>
        <v>46310.375</v>
      </c>
      <c r="G77" s="13"/>
    </row>
    <row r="78" customFormat="false" ht="15" hidden="false" customHeight="false" outlineLevel="0" collapsed="false">
      <c r="A78" s="13" t="n">
        <v>77</v>
      </c>
      <c r="B78" s="13" t="s">
        <v>352</v>
      </c>
      <c r="C78" s="13" t="n">
        <v>4</v>
      </c>
      <c r="D78" s="13" t="s">
        <v>5423</v>
      </c>
      <c r="E78" s="24" t="n">
        <v>46310.4108217593</v>
      </c>
      <c r="F78" s="33" t="n">
        <f aca="false">FLOOR(E78,1/24)</f>
        <v>46310.375</v>
      </c>
      <c r="G78" s="13"/>
    </row>
    <row r="79" customFormat="false" ht="15" hidden="false" customHeight="false" outlineLevel="0" collapsed="false">
      <c r="A79" s="13" t="n">
        <v>78</v>
      </c>
      <c r="B79" s="13" t="s">
        <v>408</v>
      </c>
      <c r="C79" s="13" t="n">
        <v>4</v>
      </c>
      <c r="D79" s="13" t="s">
        <v>5423</v>
      </c>
      <c r="E79" s="24" t="n">
        <v>46310.4127430556</v>
      </c>
      <c r="F79" s="33" t="n">
        <f aca="false">FLOOR(E79,1/24)</f>
        <v>46310.375</v>
      </c>
      <c r="G79" s="13"/>
    </row>
    <row r="80" customFormat="false" ht="15" hidden="false" customHeight="false" outlineLevel="0" collapsed="false">
      <c r="A80" s="13" t="n">
        <v>79</v>
      </c>
      <c r="B80" s="13" t="s">
        <v>469</v>
      </c>
      <c r="C80" s="13" t="n">
        <v>4</v>
      </c>
      <c r="D80" s="13" t="s">
        <v>5423</v>
      </c>
      <c r="E80" s="24" t="n">
        <v>46310.4144444445</v>
      </c>
      <c r="F80" s="33" t="n">
        <f aca="false">FLOOR(E80,1/24)</f>
        <v>46310.375</v>
      </c>
      <c r="G80" s="13"/>
    </row>
    <row r="81" customFormat="false" ht="15" hidden="false" customHeight="false" outlineLevel="0" collapsed="false">
      <c r="A81" s="13" t="n">
        <v>80</v>
      </c>
      <c r="B81" s="13" t="s">
        <v>487</v>
      </c>
      <c r="C81" s="13" t="n">
        <v>4</v>
      </c>
      <c r="D81" s="13" t="s">
        <v>5423</v>
      </c>
      <c r="E81" s="24" t="n">
        <v>46310.4159953704</v>
      </c>
      <c r="F81" s="33" t="n">
        <f aca="false">FLOOR(E81,1/24)</f>
        <v>46310.375</v>
      </c>
      <c r="G81" s="13"/>
    </row>
    <row r="82" customFormat="false" ht="15" hidden="false" customHeight="false" outlineLevel="0" collapsed="false">
      <c r="A82" s="13" t="n">
        <v>81</v>
      </c>
      <c r="B82" s="13" t="s">
        <v>504</v>
      </c>
      <c r="C82" s="13" t="n">
        <v>4</v>
      </c>
      <c r="D82" s="13" t="s">
        <v>5424</v>
      </c>
      <c r="E82" s="24" t="n">
        <v>46310.4177199074</v>
      </c>
      <c r="F82" s="33" t="n">
        <f aca="false">FLOOR(E82,1/24)</f>
        <v>46310.4166666667</v>
      </c>
      <c r="G82" s="13" t="s">
        <v>5425</v>
      </c>
    </row>
    <row r="83" customFormat="false" ht="147" hidden="false" customHeight="false" outlineLevel="0" collapsed="false">
      <c r="A83" s="13" t="n">
        <v>82</v>
      </c>
      <c r="B83" s="13" t="s">
        <v>504</v>
      </c>
      <c r="C83" s="13" t="n">
        <v>5</v>
      </c>
      <c r="D83" s="13" t="s">
        <v>5424</v>
      </c>
      <c r="E83" s="24" t="n">
        <v>46310.4224421296</v>
      </c>
      <c r="F83" s="33" t="n">
        <f aca="false">FLOOR(E83,1/24)</f>
        <v>46310.4166666667</v>
      </c>
      <c r="G83" s="34" t="s">
        <v>5429</v>
      </c>
    </row>
    <row r="84" customFormat="false" ht="15" hidden="false" customHeight="false" outlineLevel="0" collapsed="false">
      <c r="A84" s="34" t="n">
        <v>83</v>
      </c>
      <c r="B84" s="34" t="s">
        <v>504</v>
      </c>
      <c r="C84" s="34" t="n">
        <v>6</v>
      </c>
      <c r="D84" s="34" t="s">
        <v>5423</v>
      </c>
      <c r="E84" s="24" t="n">
        <v>46310.423599537</v>
      </c>
      <c r="F84" s="33" t="n">
        <f aca="false">FLOOR(E84,1/24)</f>
        <v>46310.4166666667</v>
      </c>
      <c r="G84" s="34"/>
    </row>
    <row r="85" customFormat="false" ht="15" hidden="false" customHeight="false" outlineLevel="0" collapsed="false">
      <c r="A85" s="34" t="n">
        <v>84</v>
      </c>
      <c r="B85" s="34" t="s">
        <v>542</v>
      </c>
      <c r="C85" s="34" t="n">
        <v>4</v>
      </c>
      <c r="D85" s="34" t="s">
        <v>5423</v>
      </c>
      <c r="E85" s="24" t="n">
        <v>46310.4255787037</v>
      </c>
      <c r="F85" s="33" t="n">
        <f aca="false">FLOOR(E85,1/24)</f>
        <v>46310.4166666667</v>
      </c>
      <c r="G85" s="34"/>
    </row>
    <row r="86" customFormat="false" ht="15" hidden="false" customHeight="false" outlineLevel="0" collapsed="false">
      <c r="A86" s="34" t="n">
        <v>85</v>
      </c>
      <c r="B86" s="34" t="s">
        <v>578</v>
      </c>
      <c r="C86" s="34" t="n">
        <v>4</v>
      </c>
      <c r="D86" s="34" t="s">
        <v>5423</v>
      </c>
      <c r="E86" s="24" t="n">
        <v>46310.4273148148</v>
      </c>
      <c r="F86" s="33" t="n">
        <f aca="false">FLOOR(E86,1/24)</f>
        <v>46310.4166666667</v>
      </c>
      <c r="G86" s="34"/>
    </row>
    <row r="87" customFormat="false" ht="15" hidden="false" customHeight="false" outlineLevel="0" collapsed="false">
      <c r="A87" s="34" t="n">
        <v>86</v>
      </c>
      <c r="B87" s="34" t="s">
        <v>593</v>
      </c>
      <c r="C87" s="34" t="n">
        <v>4</v>
      </c>
      <c r="D87" s="34" t="s">
        <v>5423</v>
      </c>
      <c r="E87" s="24" t="n">
        <v>46310.4290856482</v>
      </c>
      <c r="F87" s="33" t="n">
        <f aca="false">FLOOR(E87,1/24)</f>
        <v>46310.4166666667</v>
      </c>
      <c r="G87" s="34"/>
    </row>
    <row r="88" customFormat="false" ht="15" hidden="false" customHeight="false" outlineLevel="0" collapsed="false">
      <c r="A88" s="34" t="n">
        <v>87</v>
      </c>
      <c r="B88" s="34" t="s">
        <v>610</v>
      </c>
      <c r="C88" s="34" t="n">
        <v>4</v>
      </c>
      <c r="D88" s="34" t="s">
        <v>5423</v>
      </c>
      <c r="E88" s="24" t="n">
        <v>46310.430775463</v>
      </c>
      <c r="F88" s="33" t="n">
        <f aca="false">FLOOR(E88,1/24)</f>
        <v>46310.4166666667</v>
      </c>
      <c r="G88" s="34"/>
    </row>
    <row r="89" customFormat="false" ht="15" hidden="false" customHeight="false" outlineLevel="0" collapsed="false">
      <c r="A89" s="34" t="n">
        <v>88</v>
      </c>
      <c r="B89" s="34" t="s">
        <v>645</v>
      </c>
      <c r="C89" s="34" t="n">
        <v>4</v>
      </c>
      <c r="D89" s="34" t="s">
        <v>5424</v>
      </c>
      <c r="E89" s="24" t="n">
        <v>46310.4321875</v>
      </c>
      <c r="F89" s="33" t="n">
        <f aca="false">FLOOR(E89,1/24)</f>
        <v>46310.4166666667</v>
      </c>
      <c r="G89" s="34" t="s">
        <v>5425</v>
      </c>
    </row>
    <row r="90" customFormat="false" ht="15" hidden="false" customHeight="false" outlineLevel="0" collapsed="false">
      <c r="A90" s="34" t="n">
        <v>89</v>
      </c>
      <c r="B90" s="34" t="s">
        <v>645</v>
      </c>
      <c r="C90" s="34" t="n">
        <v>5</v>
      </c>
      <c r="D90" s="34" t="s">
        <v>5423</v>
      </c>
      <c r="E90" s="24" t="n">
        <v>46310.4368055556</v>
      </c>
      <c r="F90" s="33" t="n">
        <f aca="false">FLOOR(E90,1/24)</f>
        <v>46310.4166666667</v>
      </c>
      <c r="G90" s="34"/>
    </row>
    <row r="91" customFormat="false" ht="15" hidden="false" customHeight="false" outlineLevel="0" collapsed="false">
      <c r="A91" s="34" t="n">
        <v>90</v>
      </c>
      <c r="B91" s="34" t="s">
        <v>663</v>
      </c>
      <c r="C91" s="34" t="n">
        <v>4</v>
      </c>
      <c r="D91" s="34" t="s">
        <v>5423</v>
      </c>
      <c r="E91" s="24" t="n">
        <v>46310.4387731482</v>
      </c>
      <c r="F91" s="33" t="n">
        <f aca="false">FLOOR(E91,1/24)</f>
        <v>46310.4166666667</v>
      </c>
      <c r="G91" s="34"/>
    </row>
    <row r="92" customFormat="false" ht="15" hidden="false" customHeight="false" outlineLevel="0" collapsed="false">
      <c r="A92" s="34" t="n">
        <v>91</v>
      </c>
      <c r="B92" s="34" t="s">
        <v>679</v>
      </c>
      <c r="C92" s="34" t="n">
        <v>4</v>
      </c>
      <c r="D92" s="34" t="s">
        <v>5423</v>
      </c>
      <c r="E92" s="24" t="n">
        <v>46310.4408333333</v>
      </c>
      <c r="F92" s="33" t="n">
        <f aca="false">FLOOR(E92,1/24)</f>
        <v>46310.4166666667</v>
      </c>
      <c r="G92" s="34"/>
    </row>
    <row r="93" customFormat="false" ht="15" hidden="false" customHeight="false" outlineLevel="0" collapsed="false">
      <c r="A93" s="34" t="n">
        <v>92</v>
      </c>
      <c r="B93" s="34" t="s">
        <v>694</v>
      </c>
      <c r="C93" s="34" t="n">
        <v>1</v>
      </c>
      <c r="D93" s="34" t="s">
        <v>5423</v>
      </c>
      <c r="E93" s="24" t="n">
        <v>46310.4426041667</v>
      </c>
      <c r="F93" s="33" t="n">
        <f aca="false">FLOOR(E93,1/24)</f>
        <v>46310.4166666667</v>
      </c>
      <c r="G93" s="34"/>
    </row>
    <row r="94" customFormat="false" ht="15" hidden="false" customHeight="false" outlineLevel="0" collapsed="false">
      <c r="A94" s="34" t="n">
        <v>93</v>
      </c>
      <c r="B94" s="34" t="s">
        <v>711</v>
      </c>
      <c r="C94" s="34" t="n">
        <v>1</v>
      </c>
      <c r="D94" s="34" t="s">
        <v>5423</v>
      </c>
      <c r="E94" s="24" t="n">
        <v>46310.4443981482</v>
      </c>
      <c r="F94" s="33" t="n">
        <f aca="false">FLOOR(E94,1/24)</f>
        <v>46310.4166666667</v>
      </c>
      <c r="G94" s="34"/>
    </row>
    <row r="95" customFormat="false" ht="15" hidden="false" customHeight="false" outlineLevel="0" collapsed="false">
      <c r="A95" s="34" t="n">
        <v>94</v>
      </c>
      <c r="B95" s="34" t="s">
        <v>727</v>
      </c>
      <c r="C95" s="34" t="n">
        <v>1</v>
      </c>
      <c r="D95" s="34" t="s">
        <v>5423</v>
      </c>
      <c r="E95" s="24" t="n">
        <v>46310.446412037</v>
      </c>
      <c r="F95" s="33" t="n">
        <f aca="false">FLOOR(E95,1/24)</f>
        <v>46310.4166666667</v>
      </c>
      <c r="G95" s="34"/>
    </row>
    <row r="96" customFormat="false" ht="15" hidden="false" customHeight="false" outlineLevel="0" collapsed="false">
      <c r="A96" s="34" t="n">
        <v>95</v>
      </c>
      <c r="B96" s="34" t="s">
        <v>744</v>
      </c>
      <c r="C96" s="34" t="n">
        <v>1</v>
      </c>
      <c r="D96" s="34" t="s">
        <v>5423</v>
      </c>
      <c r="E96" s="24" t="n">
        <v>46310.4481365741</v>
      </c>
      <c r="F96" s="33" t="n">
        <f aca="false">FLOOR(E96,1/24)</f>
        <v>46310.4166666667</v>
      </c>
      <c r="G96" s="34"/>
    </row>
    <row r="97" customFormat="false" ht="15" hidden="false" customHeight="false" outlineLevel="0" collapsed="false">
      <c r="A97" s="34" t="n">
        <v>96</v>
      </c>
      <c r="B97" s="34" t="s">
        <v>759</v>
      </c>
      <c r="C97" s="34" t="n">
        <v>1</v>
      </c>
      <c r="D97" s="34" t="s">
        <v>5423</v>
      </c>
      <c r="E97" s="24" t="n">
        <v>46310.45</v>
      </c>
      <c r="F97" s="33" t="n">
        <f aca="false">FLOOR(E97,1/24)</f>
        <v>46310.4166666667</v>
      </c>
      <c r="G97" s="34"/>
    </row>
    <row r="98" customFormat="false" ht="15" hidden="false" customHeight="false" outlineLevel="0" collapsed="false">
      <c r="A98" s="34" t="n">
        <v>97</v>
      </c>
      <c r="B98" s="34" t="s">
        <v>772</v>
      </c>
      <c r="C98" s="34" t="n">
        <v>1</v>
      </c>
      <c r="D98" s="34" t="s">
        <v>5424</v>
      </c>
      <c r="E98" s="24" t="n">
        <v>46310.4517708333</v>
      </c>
      <c r="F98" s="33" t="n">
        <f aca="false">FLOOR(E98,1/24)</f>
        <v>46310.4166666667</v>
      </c>
      <c r="G98" s="34" t="s">
        <v>5425</v>
      </c>
    </row>
    <row r="99" customFormat="false" ht="15" hidden="false" customHeight="false" outlineLevel="0" collapsed="false">
      <c r="A99" s="34" t="n">
        <v>98</v>
      </c>
      <c r="B99" s="34" t="s">
        <v>772</v>
      </c>
      <c r="C99" s="34" t="n">
        <v>2</v>
      </c>
      <c r="D99" s="34" t="s">
        <v>5423</v>
      </c>
      <c r="E99" s="24" t="n">
        <v>46310.4563657407</v>
      </c>
      <c r="F99" s="33" t="n">
        <f aca="false">FLOOR(E99,1/24)</f>
        <v>46310.4166666667</v>
      </c>
      <c r="G99" s="34"/>
    </row>
    <row r="100" customFormat="false" ht="15" hidden="false" customHeight="false" outlineLevel="0" collapsed="false">
      <c r="A100" s="34" t="n">
        <v>99</v>
      </c>
      <c r="B100" s="34" t="s">
        <v>788</v>
      </c>
      <c r="C100" s="34" t="n">
        <v>1</v>
      </c>
      <c r="D100" s="34" t="s">
        <v>5424</v>
      </c>
      <c r="E100" s="24" t="n">
        <v>46310.4584606482</v>
      </c>
      <c r="F100" s="33" t="n">
        <f aca="false">FLOOR(E100,1/24)</f>
        <v>46310.4583333333</v>
      </c>
      <c r="G100" s="34" t="s">
        <v>5425</v>
      </c>
    </row>
    <row r="101" customFormat="false" ht="15" hidden="false" customHeight="false" outlineLevel="0" collapsed="false">
      <c r="A101" s="34" t="n">
        <v>100</v>
      </c>
      <c r="B101" s="34" t="s">
        <v>788</v>
      </c>
      <c r="C101" s="34" t="n">
        <v>2</v>
      </c>
      <c r="D101" s="34" t="s">
        <v>5423</v>
      </c>
      <c r="E101" s="24" t="n">
        <v>46310.4631018519</v>
      </c>
      <c r="F101" s="33" t="n">
        <f aca="false">FLOOR(E101,1/24)</f>
        <v>46310.4583333333</v>
      </c>
      <c r="G101" s="34"/>
    </row>
    <row r="102" customFormat="false" ht="15" hidden="false" customHeight="false" outlineLevel="0" collapsed="false">
      <c r="A102" s="34" t="n">
        <v>101</v>
      </c>
      <c r="B102" s="34" t="s">
        <v>801</v>
      </c>
      <c r="C102" s="34" t="n">
        <v>1</v>
      </c>
      <c r="D102" s="34" t="s">
        <v>5424</v>
      </c>
      <c r="E102" s="24" t="n">
        <v>46310.4649074074</v>
      </c>
      <c r="F102" s="33" t="n">
        <f aca="false">FLOOR(E102,1/24)</f>
        <v>46310.4583333333</v>
      </c>
      <c r="G102" s="34" t="s">
        <v>5425</v>
      </c>
    </row>
    <row r="103" customFormat="false" ht="15" hidden="false" customHeight="false" outlineLevel="0" collapsed="false">
      <c r="A103" s="34" t="n">
        <v>102</v>
      </c>
      <c r="B103" s="34" t="s">
        <v>801</v>
      </c>
      <c r="C103" s="34" t="n">
        <v>2</v>
      </c>
      <c r="D103" s="34" t="s">
        <v>5423</v>
      </c>
      <c r="E103" s="24" t="n">
        <v>46310.4694907407</v>
      </c>
      <c r="F103" s="33" t="n">
        <f aca="false">FLOOR(E103,1/24)</f>
        <v>46310.4583333333</v>
      </c>
      <c r="G103" s="34"/>
    </row>
    <row r="104" customFormat="false" ht="15" hidden="false" customHeight="false" outlineLevel="0" collapsed="false">
      <c r="A104" s="34" t="n">
        <v>103</v>
      </c>
      <c r="B104" s="34" t="s">
        <v>815</v>
      </c>
      <c r="C104" s="34" t="n">
        <v>1</v>
      </c>
      <c r="D104" s="34" t="s">
        <v>5423</v>
      </c>
      <c r="E104" s="24" t="n">
        <v>46310.4732986111</v>
      </c>
      <c r="F104" s="33" t="n">
        <f aca="false">FLOOR(E104,1/24)</f>
        <v>46310.4583333333</v>
      </c>
      <c r="G104" s="34"/>
    </row>
    <row r="105" customFormat="false" ht="15" hidden="false" customHeight="false" outlineLevel="0" collapsed="false">
      <c r="A105" s="34" t="n">
        <v>104</v>
      </c>
      <c r="B105" s="34" t="s">
        <v>831</v>
      </c>
      <c r="C105" s="34" t="n">
        <v>1</v>
      </c>
      <c r="D105" s="34" t="s">
        <v>5424</v>
      </c>
      <c r="E105" s="24" t="n">
        <v>46310.4751736111</v>
      </c>
      <c r="F105" s="33" t="n">
        <f aca="false">FLOOR(E105,1/24)</f>
        <v>46310.4583333333</v>
      </c>
      <c r="G105" s="34" t="s">
        <v>5425</v>
      </c>
    </row>
    <row r="106" customFormat="false" ht="15" hidden="false" customHeight="false" outlineLevel="0" collapsed="false">
      <c r="A106" s="34" t="n">
        <v>105</v>
      </c>
      <c r="B106" s="34" t="s">
        <v>831</v>
      </c>
      <c r="C106" s="34" t="n">
        <v>2</v>
      </c>
      <c r="D106" s="34" t="s">
        <v>5423</v>
      </c>
      <c r="E106" s="24" t="n">
        <v>46310.4797685185</v>
      </c>
      <c r="F106" s="33" t="n">
        <f aca="false">FLOOR(E106,1/24)</f>
        <v>46310.4583333333</v>
      </c>
      <c r="G106" s="34"/>
    </row>
    <row r="107" customFormat="false" ht="15" hidden="false" customHeight="false" outlineLevel="0" collapsed="false">
      <c r="A107" s="34" t="n">
        <v>106</v>
      </c>
      <c r="B107" s="34" t="s">
        <v>846</v>
      </c>
      <c r="C107" s="34" t="n">
        <v>1</v>
      </c>
      <c r="D107" s="34" t="s">
        <v>5424</v>
      </c>
      <c r="E107" s="24" t="n">
        <v>46310.4814583333</v>
      </c>
      <c r="F107" s="33" t="n">
        <f aca="false">FLOOR(E107,1/24)</f>
        <v>46310.4583333333</v>
      </c>
      <c r="G107" s="34" t="s">
        <v>5425</v>
      </c>
    </row>
    <row r="108" customFormat="false" ht="15" hidden="false" customHeight="false" outlineLevel="0" collapsed="false">
      <c r="A108" s="34" t="n">
        <v>107</v>
      </c>
      <c r="B108" s="34" t="s">
        <v>846</v>
      </c>
      <c r="C108" s="34" t="n">
        <v>2</v>
      </c>
      <c r="D108" s="34" t="s">
        <v>5424</v>
      </c>
      <c r="E108" s="24" t="n">
        <v>46310.4860532407</v>
      </c>
      <c r="F108" s="33" t="n">
        <f aca="false">FLOOR(E108,1/24)</f>
        <v>46310.4583333333</v>
      </c>
      <c r="G108" s="34" t="s">
        <v>5425</v>
      </c>
    </row>
    <row r="109" customFormat="false" ht="15" hidden="false" customHeight="false" outlineLevel="0" collapsed="false">
      <c r="A109" s="34" t="n">
        <v>108</v>
      </c>
      <c r="B109" s="34" t="s">
        <v>846</v>
      </c>
      <c r="C109" s="34" t="n">
        <v>3</v>
      </c>
      <c r="D109" s="34" t="s">
        <v>5423</v>
      </c>
      <c r="E109" s="24" t="n">
        <v>46310.4909953704</v>
      </c>
      <c r="F109" s="33" t="n">
        <f aca="false">FLOOR(E109,1/24)</f>
        <v>46310.4583333333</v>
      </c>
      <c r="G109" s="34"/>
    </row>
    <row r="110" customFormat="false" ht="15" hidden="false" customHeight="false" outlineLevel="0" collapsed="false">
      <c r="A110" s="34" t="n">
        <v>109</v>
      </c>
      <c r="B110" s="34" t="s">
        <v>861</v>
      </c>
      <c r="C110" s="34" t="n">
        <v>1</v>
      </c>
      <c r="D110" s="34" t="s">
        <v>5423</v>
      </c>
      <c r="E110" s="24" t="n">
        <v>46310.4928819445</v>
      </c>
      <c r="F110" s="33" t="n">
        <f aca="false">FLOOR(E110,1/24)</f>
        <v>46310.4583333333</v>
      </c>
      <c r="G110" s="34"/>
    </row>
    <row r="111" customFormat="false" ht="15" hidden="false" customHeight="false" outlineLevel="0" collapsed="false">
      <c r="A111" s="34" t="n">
        <v>110</v>
      </c>
      <c r="B111" s="34" t="s">
        <v>878</v>
      </c>
      <c r="C111" s="34" t="n">
        <v>1</v>
      </c>
      <c r="D111" s="34" t="s">
        <v>5423</v>
      </c>
      <c r="E111" s="24" t="n">
        <v>46310.494537037</v>
      </c>
      <c r="F111" s="33" t="n">
        <f aca="false">FLOOR(E111,1/24)</f>
        <v>46310.4583333333</v>
      </c>
      <c r="G111" s="34"/>
    </row>
    <row r="112" customFormat="false" ht="15" hidden="false" customHeight="false" outlineLevel="0" collapsed="false">
      <c r="A112" s="34" t="n">
        <v>111</v>
      </c>
      <c r="B112" s="34" t="s">
        <v>894</v>
      </c>
      <c r="C112" s="34" t="n">
        <v>1</v>
      </c>
      <c r="D112" s="34" t="s">
        <v>5423</v>
      </c>
      <c r="E112" s="24" t="n">
        <v>46310.4959490741</v>
      </c>
      <c r="F112" s="33" t="n">
        <f aca="false">FLOOR(E112,1/24)</f>
        <v>46310.4583333333</v>
      </c>
      <c r="G112" s="34"/>
    </row>
    <row r="113" customFormat="false" ht="15" hidden="false" customHeight="false" outlineLevel="0" collapsed="false">
      <c r="A113" s="34" t="n">
        <v>112</v>
      </c>
      <c r="B113" s="34" t="s">
        <v>913</v>
      </c>
      <c r="C113" s="34" t="n">
        <v>1</v>
      </c>
      <c r="D113" s="34" t="s">
        <v>5423</v>
      </c>
      <c r="E113" s="24" t="n">
        <v>46310.4979398148</v>
      </c>
      <c r="F113" s="33" t="n">
        <f aca="false">FLOOR(E113,1/24)</f>
        <v>46310.4583333333</v>
      </c>
      <c r="G113" s="34"/>
    </row>
    <row r="114" customFormat="false" ht="15" hidden="false" customHeight="false" outlineLevel="0" collapsed="false">
      <c r="A114" s="34" t="n">
        <v>113</v>
      </c>
      <c r="B114" s="34" t="s">
        <v>928</v>
      </c>
      <c r="C114" s="34" t="n">
        <v>1</v>
      </c>
      <c r="D114" s="34" t="s">
        <v>5424</v>
      </c>
      <c r="E114" s="24" t="n">
        <v>46310.4997222222</v>
      </c>
      <c r="F114" s="33" t="n">
        <f aca="false">FLOOR(E114,1/24)</f>
        <v>46310.4583333333</v>
      </c>
      <c r="G114" s="34" t="s">
        <v>5425</v>
      </c>
    </row>
    <row r="115" customFormat="false" ht="15" hidden="false" customHeight="false" outlineLevel="0" collapsed="false">
      <c r="A115" s="34" t="n">
        <v>114</v>
      </c>
      <c r="B115" s="34" t="s">
        <v>928</v>
      </c>
      <c r="C115" s="34" t="n">
        <v>2</v>
      </c>
      <c r="D115" s="34" t="s">
        <v>5423</v>
      </c>
      <c r="E115" s="24" t="n">
        <v>46310.5043055556</v>
      </c>
      <c r="F115" s="33" t="n">
        <f aca="false">FLOOR(E115,1/24)</f>
        <v>46310.5</v>
      </c>
      <c r="G115" s="34"/>
    </row>
    <row r="116" customFormat="false" ht="15" hidden="false" customHeight="false" outlineLevel="0" collapsed="false">
      <c r="A116" s="34" t="n">
        <v>115</v>
      </c>
      <c r="B116" s="34" t="s">
        <v>945</v>
      </c>
      <c r="C116" s="34" t="n">
        <v>1</v>
      </c>
      <c r="D116" s="34" t="s">
        <v>5427</v>
      </c>
      <c r="E116" s="24" t="n">
        <v>46310.5061458333</v>
      </c>
      <c r="F116" s="33" t="n">
        <f aca="false">FLOOR(E116,1/24)</f>
        <v>46310.5</v>
      </c>
      <c r="G116" s="34" t="s">
        <v>5430</v>
      </c>
    </row>
    <row r="117" customFormat="false" ht="15" hidden="false" customHeight="false" outlineLevel="0" collapsed="false">
      <c r="A117" s="34" t="n">
        <v>116</v>
      </c>
      <c r="B117" s="34" t="s">
        <v>945</v>
      </c>
      <c r="C117" s="34" t="n">
        <v>2</v>
      </c>
      <c r="D117" s="34" t="s">
        <v>5423</v>
      </c>
      <c r="E117" s="24" t="n">
        <v>46310.5119791667</v>
      </c>
      <c r="F117" s="33" t="n">
        <f aca="false">FLOOR(E117,1/24)</f>
        <v>46310.5</v>
      </c>
      <c r="G117" s="34"/>
    </row>
    <row r="118" customFormat="false" ht="15" hidden="false" customHeight="false" outlineLevel="0" collapsed="false">
      <c r="A118" s="34" t="n">
        <v>117</v>
      </c>
      <c r="B118" s="34" t="s">
        <v>960</v>
      </c>
      <c r="C118" s="34" t="n">
        <v>1</v>
      </c>
      <c r="D118" s="34" t="s">
        <v>5424</v>
      </c>
      <c r="E118" s="24" t="n">
        <v>46310.5135532407</v>
      </c>
      <c r="F118" s="33" t="n">
        <f aca="false">FLOOR(E118,1/24)</f>
        <v>46310.5</v>
      </c>
      <c r="G118" s="34" t="s">
        <v>5425</v>
      </c>
    </row>
    <row r="119" customFormat="false" ht="15" hidden="false" customHeight="false" outlineLevel="0" collapsed="false">
      <c r="A119" s="34" t="n">
        <v>118</v>
      </c>
      <c r="B119" s="34" t="s">
        <v>960</v>
      </c>
      <c r="C119" s="34" t="n">
        <v>2</v>
      </c>
      <c r="D119" s="34" t="s">
        <v>5424</v>
      </c>
      <c r="E119" s="24" t="n">
        <v>46310.5181134259</v>
      </c>
      <c r="F119" s="33" t="n">
        <f aca="false">FLOOR(E119,1/24)</f>
        <v>46310.5</v>
      </c>
      <c r="G119" s="34" t="s">
        <v>5425</v>
      </c>
    </row>
    <row r="120" customFormat="false" ht="15" hidden="false" customHeight="false" outlineLevel="0" collapsed="false">
      <c r="A120" s="34" t="n">
        <v>119</v>
      </c>
      <c r="B120" s="34" t="s">
        <v>960</v>
      </c>
      <c r="C120" s="34" t="n">
        <v>3</v>
      </c>
      <c r="D120" s="34" t="s">
        <v>5424</v>
      </c>
      <c r="E120" s="24" t="n">
        <v>46310.5230208333</v>
      </c>
      <c r="F120" s="33" t="n">
        <f aca="false">FLOOR(E120,1/24)</f>
        <v>46310.5</v>
      </c>
      <c r="G120" s="34" t="s">
        <v>5425</v>
      </c>
    </row>
    <row r="121" customFormat="false" ht="15" hidden="false" customHeight="false" outlineLevel="0" collapsed="false">
      <c r="A121" s="34" t="n">
        <v>120</v>
      </c>
      <c r="B121" s="34" t="s">
        <v>972</v>
      </c>
      <c r="C121" s="34" t="n">
        <v>1</v>
      </c>
      <c r="D121" s="34" t="s">
        <v>5423</v>
      </c>
      <c r="E121" s="24" t="n">
        <v>46310.5272685185</v>
      </c>
      <c r="F121" s="33" t="n">
        <f aca="false">FLOOR(E121,1/24)</f>
        <v>46310.5</v>
      </c>
      <c r="G121" s="34"/>
    </row>
    <row r="122" customFormat="false" ht="15" hidden="false" customHeight="false" outlineLevel="0" collapsed="false">
      <c r="A122" s="34" t="n">
        <v>121</v>
      </c>
      <c r="B122" s="34" t="s">
        <v>987</v>
      </c>
      <c r="C122" s="34" t="n">
        <v>1</v>
      </c>
      <c r="D122" s="34" t="s">
        <v>5424</v>
      </c>
      <c r="E122" s="24" t="n">
        <v>46310.5293865741</v>
      </c>
      <c r="F122" s="33" t="n">
        <f aca="false">FLOOR(E122,1/24)</f>
        <v>46310.5</v>
      </c>
      <c r="G122" s="34" t="s">
        <v>5425</v>
      </c>
    </row>
    <row r="123" customFormat="false" ht="15" hidden="false" customHeight="false" outlineLevel="0" collapsed="false">
      <c r="A123" s="34" t="n">
        <v>122</v>
      </c>
      <c r="B123" s="34" t="s">
        <v>987</v>
      </c>
      <c r="C123" s="34" t="n">
        <v>2</v>
      </c>
      <c r="D123" s="34" t="s">
        <v>5424</v>
      </c>
      <c r="E123" s="24" t="n">
        <v>46310.5339467593</v>
      </c>
      <c r="F123" s="33" t="n">
        <f aca="false">FLOOR(E123,1/24)</f>
        <v>46310.5</v>
      </c>
      <c r="G123" s="34" t="s">
        <v>5425</v>
      </c>
    </row>
    <row r="124" customFormat="false" ht="15" hidden="false" customHeight="false" outlineLevel="0" collapsed="false">
      <c r="A124" s="34" t="n">
        <v>123</v>
      </c>
      <c r="B124" s="34" t="s">
        <v>987</v>
      </c>
      <c r="C124" s="34" t="n">
        <v>3</v>
      </c>
      <c r="D124" s="34" t="s">
        <v>5424</v>
      </c>
      <c r="E124" s="24" t="n">
        <v>46310.5388657407</v>
      </c>
      <c r="F124" s="33" t="n">
        <f aca="false">FLOOR(E124,1/24)</f>
        <v>46310.5</v>
      </c>
      <c r="G124" s="34" t="s">
        <v>5425</v>
      </c>
    </row>
    <row r="125" customFormat="false" ht="15" hidden="false" customHeight="false" outlineLevel="0" collapsed="false">
      <c r="A125" s="34" t="n">
        <v>124</v>
      </c>
      <c r="B125" s="34" t="s">
        <v>998</v>
      </c>
      <c r="C125" s="34" t="n">
        <v>1</v>
      </c>
      <c r="D125" s="34" t="s">
        <v>5424</v>
      </c>
      <c r="E125" s="24" t="n">
        <v>46310.5431018519</v>
      </c>
      <c r="F125" s="33" t="n">
        <f aca="false">FLOOR(E125,1/24)</f>
        <v>46310.5416666667</v>
      </c>
      <c r="G125" s="34" t="s">
        <v>5425</v>
      </c>
    </row>
    <row r="126" customFormat="false" ht="15" hidden="false" customHeight="false" outlineLevel="0" collapsed="false">
      <c r="A126" s="34" t="n">
        <v>125</v>
      </c>
      <c r="B126" s="34" t="s">
        <v>998</v>
      </c>
      <c r="C126" s="34" t="n">
        <v>2</v>
      </c>
      <c r="D126" s="34" t="s">
        <v>5424</v>
      </c>
      <c r="E126" s="24" t="n">
        <v>46310.5476736111</v>
      </c>
      <c r="F126" s="33" t="n">
        <f aca="false">FLOOR(E126,1/24)</f>
        <v>46310.5416666667</v>
      </c>
      <c r="G126" s="34" t="s">
        <v>5425</v>
      </c>
    </row>
    <row r="127" customFormat="false" ht="15" hidden="false" customHeight="false" outlineLevel="0" collapsed="false">
      <c r="A127" s="34" t="n">
        <v>126</v>
      </c>
      <c r="B127" s="34" t="s">
        <v>998</v>
      </c>
      <c r="C127" s="34" t="n">
        <v>3</v>
      </c>
      <c r="D127" s="34" t="s">
        <v>5423</v>
      </c>
      <c r="E127" s="24" t="n">
        <v>46310.5526041667</v>
      </c>
      <c r="F127" s="33" t="n">
        <f aca="false">FLOOR(E127,1/24)</f>
        <v>46310.5416666667</v>
      </c>
      <c r="G127" s="34"/>
    </row>
    <row r="128" customFormat="false" ht="15" hidden="false" customHeight="false" outlineLevel="0" collapsed="false">
      <c r="A128" s="34" t="n">
        <v>127</v>
      </c>
      <c r="B128" s="34" t="s">
        <v>1014</v>
      </c>
      <c r="C128" s="34" t="n">
        <v>1</v>
      </c>
      <c r="D128" s="34" t="s">
        <v>5424</v>
      </c>
      <c r="E128" s="24" t="n">
        <v>46310.5542708333</v>
      </c>
      <c r="F128" s="33" t="n">
        <f aca="false">FLOOR(E128,1/24)</f>
        <v>46310.5416666667</v>
      </c>
      <c r="G128" s="34" t="s">
        <v>5425</v>
      </c>
    </row>
    <row r="129" customFormat="false" ht="15" hidden="false" customHeight="false" outlineLevel="0" collapsed="false">
      <c r="A129" s="34" t="n">
        <v>128</v>
      </c>
      <c r="B129" s="34" t="s">
        <v>1014</v>
      </c>
      <c r="C129" s="34" t="n">
        <v>2</v>
      </c>
      <c r="D129" s="34" t="s">
        <v>5424</v>
      </c>
      <c r="E129" s="24" t="n">
        <v>46310.5588194444</v>
      </c>
      <c r="F129" s="33" t="n">
        <f aca="false">FLOOR(E129,1/24)</f>
        <v>46310.5416666667</v>
      </c>
      <c r="G129" s="34" t="s">
        <v>5425</v>
      </c>
    </row>
    <row r="130" customFormat="false" ht="15" hidden="false" customHeight="false" outlineLevel="0" collapsed="false">
      <c r="A130" s="34" t="n">
        <v>129</v>
      </c>
      <c r="B130" s="34" t="s">
        <v>1014</v>
      </c>
      <c r="C130" s="34" t="n">
        <v>3</v>
      </c>
      <c r="D130" s="34" t="s">
        <v>5424</v>
      </c>
      <c r="E130" s="24" t="n">
        <v>46310.56375</v>
      </c>
      <c r="F130" s="33" t="n">
        <f aca="false">FLOOR(E130,1/24)</f>
        <v>46310.5416666667</v>
      </c>
      <c r="G130" s="34" t="s">
        <v>5425</v>
      </c>
    </row>
    <row r="131" customFormat="false" ht="15" hidden="false" customHeight="false" outlineLevel="0" collapsed="false">
      <c r="A131" s="34" t="n">
        <v>130</v>
      </c>
      <c r="B131" s="34" t="s">
        <v>1026</v>
      </c>
      <c r="C131" s="34" t="n">
        <v>1</v>
      </c>
      <c r="D131" s="34" t="s">
        <v>5423</v>
      </c>
      <c r="E131" s="24" t="n">
        <v>46310.5679861111</v>
      </c>
      <c r="F131" s="33" t="n">
        <f aca="false">FLOOR(E131,1/24)</f>
        <v>46310.5416666667</v>
      </c>
      <c r="G131" s="34"/>
    </row>
    <row r="132" customFormat="false" ht="15" hidden="false" customHeight="false" outlineLevel="0" collapsed="false">
      <c r="A132" s="34" t="n">
        <v>131</v>
      </c>
      <c r="B132" s="34" t="s">
        <v>1043</v>
      </c>
      <c r="C132" s="34" t="n">
        <v>1</v>
      </c>
      <c r="D132" s="34" t="s">
        <v>5423</v>
      </c>
      <c r="E132" s="24" t="n">
        <v>46310.5696643519</v>
      </c>
      <c r="F132" s="33" t="n">
        <f aca="false">FLOOR(E132,1/24)</f>
        <v>46310.5416666667</v>
      </c>
      <c r="G132" s="34"/>
    </row>
    <row r="133" customFormat="false" ht="15" hidden="false" customHeight="false" outlineLevel="0" collapsed="false">
      <c r="A133" s="34" t="n">
        <v>132</v>
      </c>
      <c r="B133" s="34" t="s">
        <v>1060</v>
      </c>
      <c r="C133" s="34" t="n">
        <v>1</v>
      </c>
      <c r="D133" s="34" t="s">
        <v>5423</v>
      </c>
      <c r="E133" s="24" t="n">
        <v>46310.5714351852</v>
      </c>
      <c r="F133" s="33" t="n">
        <f aca="false">FLOOR(E133,1/24)</f>
        <v>46310.5416666667</v>
      </c>
      <c r="G133" s="34"/>
    </row>
    <row r="134" customFormat="false" ht="15" hidden="false" customHeight="false" outlineLevel="0" collapsed="false">
      <c r="A134" s="34" t="n">
        <v>133</v>
      </c>
      <c r="B134" s="34" t="s">
        <v>1074</v>
      </c>
      <c r="C134" s="34" t="n">
        <v>1</v>
      </c>
      <c r="D134" s="34" t="s">
        <v>5424</v>
      </c>
      <c r="E134" s="24" t="n">
        <v>46310.5730439815</v>
      </c>
      <c r="F134" s="33" t="n">
        <f aca="false">FLOOR(E134,1/24)</f>
        <v>46310.5416666667</v>
      </c>
      <c r="G134" s="34" t="s">
        <v>5425</v>
      </c>
    </row>
    <row r="135" customFormat="false" ht="15" hidden="false" customHeight="false" outlineLevel="0" collapsed="false">
      <c r="A135" s="34" t="n">
        <v>134</v>
      </c>
      <c r="B135" s="34" t="s">
        <v>1074</v>
      </c>
      <c r="C135" s="34" t="n">
        <v>2</v>
      </c>
      <c r="D135" s="34" t="s">
        <v>5423</v>
      </c>
      <c r="E135" s="24" t="n">
        <v>46310.5776273148</v>
      </c>
      <c r="F135" s="33" t="n">
        <f aca="false">FLOOR(E135,1/24)</f>
        <v>46310.5416666667</v>
      </c>
      <c r="G135" s="34"/>
    </row>
    <row r="136" customFormat="false" ht="15" hidden="false" customHeight="false" outlineLevel="0" collapsed="false">
      <c r="A136" s="34" t="n">
        <v>135</v>
      </c>
      <c r="B136" s="34" t="s">
        <v>1093</v>
      </c>
      <c r="C136" s="34" t="n">
        <v>1</v>
      </c>
      <c r="D136" s="34" t="s">
        <v>5423</v>
      </c>
      <c r="E136" s="24" t="n">
        <v>46310.579375</v>
      </c>
      <c r="F136" s="33" t="n">
        <f aca="false">FLOOR(E136,1/24)</f>
        <v>46310.5416666667</v>
      </c>
      <c r="G136" s="34"/>
    </row>
    <row r="137" customFormat="false" ht="15" hidden="false" customHeight="false" outlineLevel="0" collapsed="false">
      <c r="A137" s="34" t="n">
        <v>136</v>
      </c>
      <c r="B137" s="34" t="s">
        <v>1107</v>
      </c>
      <c r="C137" s="34" t="n">
        <v>1</v>
      </c>
      <c r="D137" s="34" t="s">
        <v>5424</v>
      </c>
      <c r="E137" s="24" t="n">
        <v>46310.5811921296</v>
      </c>
      <c r="F137" s="33" t="n">
        <f aca="false">FLOOR(E137,1/24)</f>
        <v>46310.5416666667</v>
      </c>
      <c r="G137" s="34" t="s">
        <v>5425</v>
      </c>
    </row>
    <row r="138" customFormat="false" ht="15" hidden="false" customHeight="false" outlineLevel="0" collapsed="false">
      <c r="A138" s="34" t="n">
        <v>137</v>
      </c>
      <c r="B138" s="34" t="s">
        <v>1107</v>
      </c>
      <c r="C138" s="34" t="n">
        <v>2</v>
      </c>
      <c r="D138" s="34" t="s">
        <v>5423</v>
      </c>
      <c r="E138" s="24" t="n">
        <v>46310.5858217593</v>
      </c>
      <c r="F138" s="33" t="n">
        <f aca="false">FLOOR(E138,1/24)</f>
        <v>46310.5833333333</v>
      </c>
      <c r="G138" s="34"/>
    </row>
    <row r="139" customFormat="false" ht="15" hidden="false" customHeight="false" outlineLevel="0" collapsed="false">
      <c r="A139" s="34" t="n">
        <v>138</v>
      </c>
      <c r="B139" s="34" t="s">
        <v>1122</v>
      </c>
      <c r="C139" s="34" t="n">
        <v>1</v>
      </c>
      <c r="D139" s="34" t="s">
        <v>5423</v>
      </c>
      <c r="E139" s="24" t="n">
        <v>46310.5873032407</v>
      </c>
      <c r="F139" s="33" t="n">
        <f aca="false">FLOOR(E139,1/24)</f>
        <v>46310.5833333333</v>
      </c>
      <c r="G139" s="34"/>
    </row>
    <row r="140" customFormat="false" ht="15" hidden="false" customHeight="false" outlineLevel="0" collapsed="false">
      <c r="A140" s="34" t="n">
        <v>139</v>
      </c>
      <c r="B140" s="34" t="s">
        <v>1136</v>
      </c>
      <c r="C140" s="34" t="n">
        <v>1</v>
      </c>
      <c r="D140" s="34" t="s">
        <v>5423</v>
      </c>
      <c r="E140" s="24" t="n">
        <v>46310.5891435185</v>
      </c>
      <c r="F140" s="33" t="n">
        <f aca="false">FLOOR(E140,1/24)</f>
        <v>46310.5833333333</v>
      </c>
      <c r="G140" s="34"/>
    </row>
    <row r="141" customFormat="false" ht="15" hidden="false" customHeight="false" outlineLevel="0" collapsed="false">
      <c r="A141" s="34" t="n">
        <v>140</v>
      </c>
      <c r="B141" s="34" t="s">
        <v>1150</v>
      </c>
      <c r="C141" s="34" t="n">
        <v>1</v>
      </c>
      <c r="D141" s="34" t="s">
        <v>5423</v>
      </c>
      <c r="E141" s="24" t="n">
        <v>46310.5907638889</v>
      </c>
      <c r="F141" s="33" t="n">
        <f aca="false">FLOOR(E141,1/24)</f>
        <v>46310.5833333333</v>
      </c>
      <c r="G141" s="34"/>
    </row>
    <row r="142" customFormat="false" ht="15" hidden="false" customHeight="false" outlineLevel="0" collapsed="false">
      <c r="A142" s="34" t="n">
        <v>141</v>
      </c>
      <c r="B142" s="34" t="s">
        <v>1165</v>
      </c>
      <c r="C142" s="34" t="n">
        <v>1</v>
      </c>
      <c r="D142" s="34" t="s">
        <v>5423</v>
      </c>
      <c r="E142" s="24" t="n">
        <v>46310.5925231482</v>
      </c>
      <c r="F142" s="33" t="n">
        <f aca="false">FLOOR(E142,1/24)</f>
        <v>46310.5833333333</v>
      </c>
      <c r="G142" s="34"/>
    </row>
    <row r="143" customFormat="false" ht="15" hidden="false" customHeight="false" outlineLevel="0" collapsed="false">
      <c r="A143" s="34" t="n">
        <v>142</v>
      </c>
      <c r="B143" s="34" t="s">
        <v>1181</v>
      </c>
      <c r="C143" s="34" t="n">
        <v>1</v>
      </c>
      <c r="D143" s="34" t="s">
        <v>5423</v>
      </c>
      <c r="E143" s="24" t="n">
        <v>46310.5941203704</v>
      </c>
      <c r="F143" s="33" t="n">
        <f aca="false">FLOOR(E143,1/24)</f>
        <v>46310.5833333333</v>
      </c>
      <c r="G143" s="34"/>
    </row>
    <row r="144" customFormat="false" ht="15" hidden="false" customHeight="false" outlineLevel="0" collapsed="false">
      <c r="A144" s="34" t="n">
        <v>143</v>
      </c>
      <c r="B144" s="34" t="s">
        <v>1193</v>
      </c>
      <c r="C144" s="34" t="n">
        <v>1</v>
      </c>
      <c r="D144" s="34" t="s">
        <v>5423</v>
      </c>
      <c r="E144" s="24" t="n">
        <v>46310.5957291667</v>
      </c>
      <c r="F144" s="33" t="n">
        <f aca="false">FLOOR(E144,1/24)</f>
        <v>46310.5833333333</v>
      </c>
      <c r="G144" s="34"/>
    </row>
    <row r="145" customFormat="false" ht="15" hidden="false" customHeight="false" outlineLevel="0" collapsed="false">
      <c r="A145" s="34" t="n">
        <v>144</v>
      </c>
      <c r="B145" s="34" t="s">
        <v>1209</v>
      </c>
      <c r="C145" s="34" t="n">
        <v>1</v>
      </c>
      <c r="D145" s="34" t="s">
        <v>5423</v>
      </c>
      <c r="E145" s="24" t="n">
        <v>46310.5973842593</v>
      </c>
      <c r="F145" s="33" t="n">
        <f aca="false">FLOOR(E145,1/24)</f>
        <v>46310.5833333333</v>
      </c>
      <c r="G145" s="34"/>
    </row>
    <row r="146" customFormat="false" ht="15" hidden="false" customHeight="false" outlineLevel="0" collapsed="false">
      <c r="A146" s="34" t="n">
        <v>145</v>
      </c>
      <c r="B146" s="34" t="s">
        <v>1223</v>
      </c>
      <c r="C146" s="34" t="n">
        <v>1</v>
      </c>
      <c r="D146" s="34" t="s">
        <v>5423</v>
      </c>
      <c r="E146" s="24" t="n">
        <v>46310.5990856482</v>
      </c>
      <c r="F146" s="33" t="n">
        <f aca="false">FLOOR(E146,1/24)</f>
        <v>46310.5833333333</v>
      </c>
      <c r="G146" s="34"/>
    </row>
    <row r="147" customFormat="false" ht="15" hidden="false" customHeight="false" outlineLevel="0" collapsed="false">
      <c r="A147" s="34" t="n">
        <v>146</v>
      </c>
      <c r="B147" s="34" t="s">
        <v>1238</v>
      </c>
      <c r="C147" s="34" t="n">
        <v>1</v>
      </c>
      <c r="D147" s="34" t="s">
        <v>5423</v>
      </c>
      <c r="E147" s="24" t="n">
        <v>46310.6006597222</v>
      </c>
      <c r="F147" s="33" t="n">
        <f aca="false">FLOOR(E147,1/24)</f>
        <v>46310.5833333333</v>
      </c>
      <c r="G147" s="34"/>
    </row>
    <row r="148" customFormat="false" ht="15" hidden="false" customHeight="false" outlineLevel="0" collapsed="false">
      <c r="A148" s="34" t="n">
        <v>147</v>
      </c>
      <c r="B148" s="34" t="s">
        <v>1252</v>
      </c>
      <c r="C148" s="34" t="n">
        <v>1</v>
      </c>
      <c r="D148" s="34" t="s">
        <v>5423</v>
      </c>
      <c r="E148" s="24" t="n">
        <v>46310.6025115741</v>
      </c>
      <c r="F148" s="33" t="n">
        <f aca="false">FLOOR(E148,1/24)</f>
        <v>46310.5833333333</v>
      </c>
      <c r="G148" s="34"/>
    </row>
    <row r="149" customFormat="false" ht="15" hidden="false" customHeight="false" outlineLevel="0" collapsed="false">
      <c r="A149" s="34" t="n">
        <v>148</v>
      </c>
      <c r="B149" s="34" t="s">
        <v>1267</v>
      </c>
      <c r="C149" s="34" t="n">
        <v>1</v>
      </c>
      <c r="D149" s="34" t="s">
        <v>5423</v>
      </c>
      <c r="E149" s="24" t="n">
        <v>46310.6043402778</v>
      </c>
      <c r="F149" s="33" t="n">
        <f aca="false">FLOOR(E149,1/24)</f>
        <v>46310.5833333333</v>
      </c>
      <c r="G149" s="34"/>
    </row>
    <row r="150" customFormat="false" ht="15" hidden="false" customHeight="false" outlineLevel="0" collapsed="false">
      <c r="A150" s="34" t="n">
        <v>149</v>
      </c>
      <c r="B150" s="34" t="s">
        <v>1279</v>
      </c>
      <c r="C150" s="34" t="n">
        <v>1</v>
      </c>
      <c r="D150" s="34" t="s">
        <v>5423</v>
      </c>
      <c r="E150" s="24" t="n">
        <v>46310.6063425926</v>
      </c>
      <c r="F150" s="33" t="n">
        <f aca="false">FLOOR(E150,1/24)</f>
        <v>46310.5833333333</v>
      </c>
      <c r="G150" s="34"/>
    </row>
    <row r="151" customFormat="false" ht="15" hidden="false" customHeight="false" outlineLevel="0" collapsed="false">
      <c r="A151" s="34" t="n">
        <v>150</v>
      </c>
      <c r="B151" s="34" t="s">
        <v>1292</v>
      </c>
      <c r="C151" s="34" t="n">
        <v>1</v>
      </c>
      <c r="D151" s="34" t="s">
        <v>5423</v>
      </c>
      <c r="E151" s="24" t="n">
        <v>46310.6081597222</v>
      </c>
      <c r="F151" s="33" t="n">
        <f aca="false">FLOOR(E151,1/24)</f>
        <v>46310.5833333333</v>
      </c>
      <c r="G151" s="34"/>
    </row>
    <row r="152" customFormat="false" ht="15" hidden="false" customHeight="false" outlineLevel="0" collapsed="false">
      <c r="A152" s="34" t="n">
        <v>151</v>
      </c>
      <c r="B152" s="34" t="s">
        <v>1309</v>
      </c>
      <c r="C152" s="34" t="n">
        <v>1</v>
      </c>
      <c r="D152" s="34" t="s">
        <v>5423</v>
      </c>
      <c r="E152" s="24" t="n">
        <v>46310.6098842593</v>
      </c>
      <c r="F152" s="33" t="n">
        <f aca="false">FLOOR(E152,1/24)</f>
        <v>46310.5833333333</v>
      </c>
      <c r="G152" s="34"/>
    </row>
    <row r="153" customFormat="false" ht="15" hidden="false" customHeight="false" outlineLevel="0" collapsed="false">
      <c r="A153" s="34" t="n">
        <v>152</v>
      </c>
      <c r="B153" s="34" t="s">
        <v>1321</v>
      </c>
      <c r="C153" s="34" t="n">
        <v>1</v>
      </c>
      <c r="D153" s="34" t="s">
        <v>5423</v>
      </c>
      <c r="E153" s="24" t="n">
        <v>46310.6117708333</v>
      </c>
      <c r="F153" s="33" t="n">
        <f aca="false">FLOOR(E153,1/24)</f>
        <v>46310.5833333333</v>
      </c>
      <c r="G153" s="34"/>
    </row>
    <row r="154" customFormat="false" ht="15" hidden="false" customHeight="false" outlineLevel="0" collapsed="false">
      <c r="A154" s="34" t="n">
        <v>153</v>
      </c>
      <c r="B154" s="34" t="s">
        <v>1336</v>
      </c>
      <c r="C154" s="34" t="n">
        <v>1</v>
      </c>
      <c r="D154" s="34" t="s">
        <v>5423</v>
      </c>
      <c r="E154" s="24" t="n">
        <v>46310.6134027778</v>
      </c>
      <c r="F154" s="33" t="n">
        <f aca="false">FLOOR(E154,1/24)</f>
        <v>46310.5833333333</v>
      </c>
      <c r="G154" s="34"/>
    </row>
    <row r="155" customFormat="false" ht="15" hidden="false" customHeight="false" outlineLevel="0" collapsed="false">
      <c r="A155" s="34" t="n">
        <v>154</v>
      </c>
      <c r="B155" s="34" t="s">
        <v>1350</v>
      </c>
      <c r="C155" s="34" t="n">
        <v>1</v>
      </c>
      <c r="D155" s="34" t="s">
        <v>5423</v>
      </c>
      <c r="E155" s="24" t="n">
        <v>46310.6148958333</v>
      </c>
      <c r="F155" s="33" t="n">
        <f aca="false">FLOOR(E155,1/24)</f>
        <v>46310.5833333333</v>
      </c>
      <c r="G155" s="34"/>
    </row>
    <row r="156" customFormat="false" ht="15" hidden="false" customHeight="false" outlineLevel="0" collapsed="false">
      <c r="A156" s="34" t="n">
        <v>155</v>
      </c>
      <c r="B156" s="34" t="s">
        <v>1365</v>
      </c>
      <c r="C156" s="34" t="n">
        <v>1</v>
      </c>
      <c r="D156" s="34" t="s">
        <v>5423</v>
      </c>
      <c r="E156" s="24" t="n">
        <v>46310.6168287037</v>
      </c>
      <c r="F156" s="33" t="n">
        <f aca="false">FLOOR(E156,1/24)</f>
        <v>46310.5833333333</v>
      </c>
      <c r="G156" s="34"/>
    </row>
    <row r="157" customFormat="false" ht="15" hidden="false" customHeight="false" outlineLevel="0" collapsed="false">
      <c r="A157" s="34" t="n">
        <v>156</v>
      </c>
      <c r="B157" s="34" t="s">
        <v>1382</v>
      </c>
      <c r="C157" s="34" t="n">
        <v>1</v>
      </c>
      <c r="D157" s="34" t="s">
        <v>5423</v>
      </c>
      <c r="E157" s="24" t="n">
        <v>46310.6189236111</v>
      </c>
      <c r="F157" s="33" t="n">
        <f aca="false">FLOOR(E157,1/24)</f>
        <v>46310.5833333333</v>
      </c>
      <c r="G157" s="34"/>
    </row>
    <row r="158" customFormat="false" ht="15" hidden="false" customHeight="false" outlineLevel="0" collapsed="false">
      <c r="A158" s="34" t="n">
        <v>157</v>
      </c>
      <c r="B158" s="34" t="s">
        <v>1400</v>
      </c>
      <c r="C158" s="34" t="n">
        <v>1</v>
      </c>
      <c r="D158" s="34" t="s">
        <v>5423</v>
      </c>
      <c r="E158" s="24" t="n">
        <v>46310.6205902778</v>
      </c>
      <c r="F158" s="33" t="n">
        <f aca="false">FLOOR(E158,1/24)</f>
        <v>46310.5833333333</v>
      </c>
      <c r="G158" s="34"/>
    </row>
    <row r="159" customFormat="false" ht="15" hidden="false" customHeight="false" outlineLevel="0" collapsed="false">
      <c r="A159" s="34" t="n">
        <v>158</v>
      </c>
      <c r="B159" s="34" t="s">
        <v>1415</v>
      </c>
      <c r="C159" s="34" t="n">
        <v>1</v>
      </c>
      <c r="D159" s="34" t="s">
        <v>5423</v>
      </c>
      <c r="E159" s="24" t="n">
        <v>46310.6224305556</v>
      </c>
      <c r="F159" s="33" t="n">
        <f aca="false">FLOOR(E159,1/24)</f>
        <v>46310.5833333333</v>
      </c>
      <c r="G159" s="34"/>
    </row>
    <row r="160" customFormat="false" ht="15" hidden="false" customHeight="false" outlineLevel="0" collapsed="false">
      <c r="A160" s="34" t="n">
        <v>159</v>
      </c>
      <c r="B160" s="34" t="s">
        <v>1428</v>
      </c>
      <c r="C160" s="34" t="n">
        <v>1</v>
      </c>
      <c r="D160" s="34" t="s">
        <v>5423</v>
      </c>
      <c r="E160" s="24" t="n">
        <v>46310.6241435185</v>
      </c>
      <c r="F160" s="33" t="n">
        <f aca="false">FLOOR(E160,1/24)</f>
        <v>46310.5833333333</v>
      </c>
      <c r="G160" s="34"/>
    </row>
    <row r="161" customFormat="false" ht="15" hidden="false" customHeight="false" outlineLevel="0" collapsed="false">
      <c r="A161" s="34" t="n">
        <v>160</v>
      </c>
      <c r="B161" s="34" t="s">
        <v>1442</v>
      </c>
      <c r="C161" s="34" t="n">
        <v>1</v>
      </c>
      <c r="D161" s="34" t="s">
        <v>5423</v>
      </c>
      <c r="E161" s="24" t="n">
        <v>46310.6256597222</v>
      </c>
      <c r="F161" s="33" t="n">
        <f aca="false">FLOOR(E161,1/24)</f>
        <v>46310.625</v>
      </c>
      <c r="G161" s="34"/>
    </row>
    <row r="162" customFormat="false" ht="15" hidden="false" customHeight="false" outlineLevel="0" collapsed="false">
      <c r="A162" s="34" t="n">
        <v>161</v>
      </c>
      <c r="B162" s="34" t="s">
        <v>1458</v>
      </c>
      <c r="C162" s="34" t="n">
        <v>1</v>
      </c>
      <c r="D162" s="34" t="s">
        <v>5423</v>
      </c>
      <c r="E162" s="24" t="n">
        <v>46310.6276041667</v>
      </c>
      <c r="F162" s="33" t="n">
        <f aca="false">FLOOR(E162,1/24)</f>
        <v>46310.625</v>
      </c>
      <c r="G162" s="34"/>
    </row>
    <row r="163" customFormat="false" ht="15" hidden="false" customHeight="false" outlineLevel="0" collapsed="false">
      <c r="A163" s="34" t="n">
        <v>162</v>
      </c>
      <c r="B163" s="34" t="s">
        <v>1472</v>
      </c>
      <c r="C163" s="34" t="n">
        <v>1</v>
      </c>
      <c r="D163" s="34" t="s">
        <v>5423</v>
      </c>
      <c r="E163" s="24" t="n">
        <v>46310.6287847222</v>
      </c>
      <c r="F163" s="33" t="n">
        <f aca="false">FLOOR(E163,1/24)</f>
        <v>46310.625</v>
      </c>
      <c r="G163" s="34"/>
    </row>
    <row r="164" customFormat="false" ht="15" hidden="false" customHeight="false" outlineLevel="0" collapsed="false">
      <c r="A164" s="34" t="n">
        <v>163</v>
      </c>
      <c r="B164" s="34" t="s">
        <v>1487</v>
      </c>
      <c r="C164" s="34" t="n">
        <v>1</v>
      </c>
      <c r="D164" s="34" t="s">
        <v>5423</v>
      </c>
      <c r="E164" s="24" t="n">
        <v>46310.6306597222</v>
      </c>
      <c r="F164" s="33" t="n">
        <f aca="false">FLOOR(E164,1/24)</f>
        <v>46310.625</v>
      </c>
      <c r="G164" s="34"/>
    </row>
    <row r="165" customFormat="false" ht="15" hidden="false" customHeight="false" outlineLevel="0" collapsed="false">
      <c r="A165" s="34" t="n">
        <v>164</v>
      </c>
      <c r="B165" s="34" t="s">
        <v>1501</v>
      </c>
      <c r="C165" s="34" t="n">
        <v>1</v>
      </c>
      <c r="D165" s="34" t="s">
        <v>5423</v>
      </c>
      <c r="E165" s="24" t="n">
        <v>46310.6326736111</v>
      </c>
      <c r="F165" s="33" t="n">
        <f aca="false">FLOOR(E165,1/24)</f>
        <v>46310.625</v>
      </c>
      <c r="G165" s="34"/>
    </row>
    <row r="166" customFormat="false" ht="15" hidden="false" customHeight="false" outlineLevel="0" collapsed="false">
      <c r="A166" s="34" t="n">
        <v>165</v>
      </c>
      <c r="B166" s="34" t="s">
        <v>1515</v>
      </c>
      <c r="C166" s="34" t="n">
        <v>1</v>
      </c>
      <c r="D166" s="34" t="s">
        <v>5423</v>
      </c>
      <c r="E166" s="24" t="n">
        <v>46310.6344328704</v>
      </c>
      <c r="F166" s="33" t="n">
        <f aca="false">FLOOR(E166,1/24)</f>
        <v>46310.625</v>
      </c>
      <c r="G166" s="34"/>
    </row>
    <row r="167" customFormat="false" ht="15" hidden="false" customHeight="false" outlineLevel="0" collapsed="false">
      <c r="A167" s="34" t="n">
        <v>166</v>
      </c>
      <c r="B167" s="34" t="s">
        <v>1530</v>
      </c>
      <c r="C167" s="34" t="n">
        <v>1</v>
      </c>
      <c r="D167" s="34" t="s">
        <v>5423</v>
      </c>
      <c r="E167" s="24" t="n">
        <v>46310.6361342593</v>
      </c>
      <c r="F167" s="33" t="n">
        <f aca="false">FLOOR(E167,1/24)</f>
        <v>46310.625</v>
      </c>
      <c r="G167" s="34"/>
    </row>
    <row r="168" customFormat="false" ht="15" hidden="false" customHeight="false" outlineLevel="0" collapsed="false">
      <c r="A168" s="34" t="n">
        <v>167</v>
      </c>
      <c r="B168" s="34" t="s">
        <v>1544</v>
      </c>
      <c r="C168" s="34" t="n">
        <v>1</v>
      </c>
      <c r="D168" s="34" t="s">
        <v>5423</v>
      </c>
      <c r="E168" s="24" t="n">
        <v>46310.637650463</v>
      </c>
      <c r="F168" s="33" t="n">
        <f aca="false">FLOOR(E168,1/24)</f>
        <v>46310.625</v>
      </c>
      <c r="G168" s="34"/>
    </row>
    <row r="169" customFormat="false" ht="15" hidden="false" customHeight="false" outlineLevel="0" collapsed="false">
      <c r="A169" s="34" t="n">
        <v>168</v>
      </c>
      <c r="B169" s="34" t="s">
        <v>1558</v>
      </c>
      <c r="C169" s="34" t="n">
        <v>1</v>
      </c>
      <c r="D169" s="34" t="s">
        <v>5423</v>
      </c>
      <c r="E169" s="24" t="n">
        <v>46310.6393865741</v>
      </c>
      <c r="F169" s="33" t="n">
        <f aca="false">FLOOR(E169,1/24)</f>
        <v>46310.625</v>
      </c>
      <c r="G169" s="34"/>
    </row>
    <row r="170" customFormat="false" ht="15" hidden="false" customHeight="false" outlineLevel="0" collapsed="false">
      <c r="A170" s="34" t="n">
        <v>169</v>
      </c>
      <c r="B170" s="34" t="s">
        <v>1571</v>
      </c>
      <c r="C170" s="34" t="n">
        <v>1</v>
      </c>
      <c r="D170" s="34" t="s">
        <v>5423</v>
      </c>
      <c r="E170" s="24" t="n">
        <v>46310.6410763889</v>
      </c>
      <c r="F170" s="33" t="n">
        <f aca="false">FLOOR(E170,1/24)</f>
        <v>46310.625</v>
      </c>
      <c r="G170" s="34"/>
    </row>
    <row r="171" customFormat="false" ht="15" hidden="false" customHeight="false" outlineLevel="0" collapsed="false">
      <c r="A171" s="34" t="n">
        <v>170</v>
      </c>
      <c r="B171" s="34" t="s">
        <v>1585</v>
      </c>
      <c r="C171" s="34" t="n">
        <v>1</v>
      </c>
      <c r="D171" s="34" t="s">
        <v>5423</v>
      </c>
      <c r="E171" s="24" t="n">
        <v>46310.6427662037</v>
      </c>
      <c r="F171" s="33" t="n">
        <f aca="false">FLOOR(E171,1/24)</f>
        <v>46310.625</v>
      </c>
      <c r="G171" s="34"/>
    </row>
    <row r="172" customFormat="false" ht="15" hidden="false" customHeight="false" outlineLevel="0" collapsed="false">
      <c r="A172" s="34" t="n">
        <v>171</v>
      </c>
      <c r="B172" s="34" t="s">
        <v>1599</v>
      </c>
      <c r="C172" s="34" t="n">
        <v>1</v>
      </c>
      <c r="D172" s="34" t="s">
        <v>5423</v>
      </c>
      <c r="E172" s="24" t="n">
        <v>46310.6443402778</v>
      </c>
      <c r="F172" s="33" t="n">
        <f aca="false">FLOOR(E172,1/24)</f>
        <v>46310.625</v>
      </c>
      <c r="G172" s="34"/>
    </row>
    <row r="173" customFormat="false" ht="15" hidden="false" customHeight="false" outlineLevel="0" collapsed="false">
      <c r="A173" s="34" t="n">
        <v>172</v>
      </c>
      <c r="B173" s="34" t="s">
        <v>1614</v>
      </c>
      <c r="C173" s="34" t="n">
        <v>1</v>
      </c>
      <c r="D173" s="34" t="s">
        <v>5423</v>
      </c>
      <c r="E173" s="24" t="n">
        <v>46310.6459490741</v>
      </c>
      <c r="F173" s="33" t="n">
        <f aca="false">FLOOR(E173,1/24)</f>
        <v>46310.625</v>
      </c>
      <c r="G173" s="34"/>
    </row>
    <row r="174" customFormat="false" ht="15" hidden="false" customHeight="false" outlineLevel="0" collapsed="false">
      <c r="A174" s="34" t="n">
        <v>173</v>
      </c>
      <c r="B174" s="34" t="s">
        <v>1631</v>
      </c>
      <c r="C174" s="34" t="n">
        <v>1</v>
      </c>
      <c r="D174" s="34" t="s">
        <v>5423</v>
      </c>
      <c r="E174" s="24" t="n">
        <v>46310.6482523148</v>
      </c>
      <c r="F174" s="33" t="n">
        <f aca="false">FLOOR(E174,1/24)</f>
        <v>46310.625</v>
      </c>
      <c r="G174" s="34"/>
    </row>
    <row r="175" customFormat="false" ht="15" hidden="false" customHeight="false" outlineLevel="0" collapsed="false">
      <c r="A175" s="34" t="n">
        <v>174</v>
      </c>
      <c r="B175" s="34" t="s">
        <v>1645</v>
      </c>
      <c r="C175" s="34" t="n">
        <v>1</v>
      </c>
      <c r="D175" s="34" t="s">
        <v>5423</v>
      </c>
      <c r="E175" s="24" t="n">
        <v>46310.6498958333</v>
      </c>
      <c r="F175" s="33" t="n">
        <f aca="false">FLOOR(E175,1/24)</f>
        <v>46310.625</v>
      </c>
      <c r="G175" s="34"/>
    </row>
    <row r="176" customFormat="false" ht="15" hidden="false" customHeight="false" outlineLevel="0" collapsed="false">
      <c r="A176" s="34" t="n">
        <v>175</v>
      </c>
      <c r="B176" s="34" t="s">
        <v>1659</v>
      </c>
      <c r="C176" s="34" t="n">
        <v>1</v>
      </c>
      <c r="D176" s="34" t="s">
        <v>5423</v>
      </c>
      <c r="E176" s="24" t="n">
        <v>46310.6515162037</v>
      </c>
      <c r="F176" s="33" t="n">
        <f aca="false">FLOOR(E176,1/24)</f>
        <v>46310.625</v>
      </c>
      <c r="G176" s="34"/>
    </row>
    <row r="177" customFormat="false" ht="15" hidden="false" customHeight="false" outlineLevel="0" collapsed="false">
      <c r="A177" s="34" t="n">
        <v>176</v>
      </c>
      <c r="B177" s="34" t="s">
        <v>1676</v>
      </c>
      <c r="C177" s="34" t="n">
        <v>1</v>
      </c>
      <c r="D177" s="34" t="s">
        <v>5423</v>
      </c>
      <c r="E177" s="24" t="n">
        <v>46310.6535185185</v>
      </c>
      <c r="F177" s="33" t="n">
        <f aca="false">FLOOR(E177,1/24)</f>
        <v>46310.625</v>
      </c>
      <c r="G177" s="34"/>
    </row>
    <row r="178" customFormat="false" ht="15" hidden="false" customHeight="false" outlineLevel="0" collapsed="false">
      <c r="A178" s="34" t="n">
        <v>177</v>
      </c>
      <c r="B178" s="34" t="s">
        <v>1689</v>
      </c>
      <c r="C178" s="34" t="n">
        <v>1</v>
      </c>
      <c r="D178" s="34" t="s">
        <v>5423</v>
      </c>
      <c r="E178" s="24" t="n">
        <v>46310.6552662037</v>
      </c>
      <c r="F178" s="33" t="n">
        <f aca="false">FLOOR(E178,1/24)</f>
        <v>46310.625</v>
      </c>
      <c r="G178" s="34"/>
    </row>
    <row r="179" customFormat="false" ht="15" hidden="false" customHeight="false" outlineLevel="0" collapsed="false">
      <c r="A179" s="34" t="n">
        <v>178</v>
      </c>
      <c r="B179" s="34" t="s">
        <v>1705</v>
      </c>
      <c r="C179" s="34" t="n">
        <v>1</v>
      </c>
      <c r="D179" s="34" t="s">
        <v>5423</v>
      </c>
      <c r="E179" s="24" t="n">
        <v>46310.6598842593</v>
      </c>
      <c r="F179" s="33" t="n">
        <f aca="false">FLOOR(E179,1/24)</f>
        <v>46310.625</v>
      </c>
      <c r="G179" s="34"/>
    </row>
    <row r="180" customFormat="false" ht="15" hidden="false" customHeight="false" outlineLevel="0" collapsed="false">
      <c r="A180" s="34" t="n">
        <v>179</v>
      </c>
      <c r="B180" s="34" t="s">
        <v>1718</v>
      </c>
      <c r="C180" s="34" t="n">
        <v>1</v>
      </c>
      <c r="D180" s="34" t="s">
        <v>5423</v>
      </c>
      <c r="E180" s="24" t="n">
        <v>46310.6621527778</v>
      </c>
      <c r="F180" s="33" t="n">
        <f aca="false">FLOOR(E180,1/24)</f>
        <v>46310.625</v>
      </c>
      <c r="G180" s="34"/>
    </row>
    <row r="181" customFormat="false" ht="15" hidden="false" customHeight="false" outlineLevel="0" collapsed="false">
      <c r="A181" s="34" t="n">
        <v>180</v>
      </c>
      <c r="B181" s="34" t="s">
        <v>1738</v>
      </c>
      <c r="C181" s="34" t="n">
        <v>1</v>
      </c>
      <c r="D181" s="34" t="s">
        <v>5423</v>
      </c>
      <c r="E181" s="24" t="n">
        <v>46310.6639236111</v>
      </c>
      <c r="F181" s="33" t="n">
        <f aca="false">FLOOR(E181,1/24)</f>
        <v>46310.625</v>
      </c>
      <c r="G181" s="34"/>
    </row>
    <row r="182" customFormat="false" ht="15" hidden="false" customHeight="false" outlineLevel="0" collapsed="false">
      <c r="A182" s="34" t="n">
        <v>181</v>
      </c>
      <c r="B182" s="34" t="s">
        <v>1762</v>
      </c>
      <c r="C182" s="34" t="n">
        <v>1</v>
      </c>
      <c r="D182" s="34" t="s">
        <v>5423</v>
      </c>
      <c r="E182" s="24" t="n">
        <v>46310.6654282407</v>
      </c>
      <c r="F182" s="33" t="n">
        <f aca="false">FLOOR(E182,1/24)</f>
        <v>46310.625</v>
      </c>
      <c r="G182" s="34"/>
    </row>
    <row r="183" customFormat="false" ht="15" hidden="false" customHeight="false" outlineLevel="0" collapsed="false">
      <c r="A183" s="34" t="n">
        <v>182</v>
      </c>
      <c r="B183" s="34" t="s">
        <v>1784</v>
      </c>
      <c r="C183" s="34" t="n">
        <v>1</v>
      </c>
      <c r="D183" s="34" t="s">
        <v>5423</v>
      </c>
      <c r="E183" s="24" t="n">
        <v>46310.6675115741</v>
      </c>
      <c r="F183" s="33" t="n">
        <f aca="false">FLOOR(E183,1/24)</f>
        <v>46310.6666666667</v>
      </c>
      <c r="G183" s="34"/>
    </row>
    <row r="184" customFormat="false" ht="15" hidden="false" customHeight="false" outlineLevel="0" collapsed="false">
      <c r="A184" s="34" t="n">
        <v>183</v>
      </c>
      <c r="B184" s="34" t="s">
        <v>1809</v>
      </c>
      <c r="C184" s="34" t="n">
        <v>1</v>
      </c>
      <c r="D184" s="34" t="s">
        <v>5423</v>
      </c>
      <c r="E184" s="24" t="n">
        <v>46310.6694675926</v>
      </c>
      <c r="F184" s="33" t="n">
        <f aca="false">FLOOR(E184,1/24)</f>
        <v>46310.6666666667</v>
      </c>
      <c r="G184" s="34"/>
    </row>
    <row r="185" customFormat="false" ht="15" hidden="false" customHeight="false" outlineLevel="0" collapsed="false">
      <c r="A185" s="34" t="n">
        <v>184</v>
      </c>
      <c r="B185" s="34" t="s">
        <v>1832</v>
      </c>
      <c r="C185" s="34" t="n">
        <v>1</v>
      </c>
      <c r="D185" s="34" t="s">
        <v>5423</v>
      </c>
      <c r="E185" s="24" t="n">
        <v>46310.6710532407</v>
      </c>
      <c r="F185" s="33" t="n">
        <f aca="false">FLOOR(E185,1/24)</f>
        <v>46310.6666666667</v>
      </c>
      <c r="G185" s="34"/>
    </row>
    <row r="186" customFormat="false" ht="15" hidden="false" customHeight="false" outlineLevel="0" collapsed="false">
      <c r="A186" s="34" t="n">
        <v>185</v>
      </c>
      <c r="B186" s="34" t="s">
        <v>1853</v>
      </c>
      <c r="C186" s="34" t="n">
        <v>1</v>
      </c>
      <c r="D186" s="34" t="s">
        <v>5423</v>
      </c>
      <c r="E186" s="24" t="n">
        <v>46310.6728472222</v>
      </c>
      <c r="F186" s="33" t="n">
        <f aca="false">FLOOR(E186,1/24)</f>
        <v>46310.6666666667</v>
      </c>
      <c r="G186" s="34"/>
    </row>
    <row r="187" customFormat="false" ht="15" hidden="false" customHeight="false" outlineLevel="0" collapsed="false">
      <c r="A187" s="34" t="n">
        <v>186</v>
      </c>
      <c r="B187" s="34" t="s">
        <v>1873</v>
      </c>
      <c r="C187" s="34" t="n">
        <v>1</v>
      </c>
      <c r="D187" s="34" t="s">
        <v>5423</v>
      </c>
      <c r="E187" s="24" t="n">
        <v>46310.6750115741</v>
      </c>
      <c r="F187" s="33" t="n">
        <f aca="false">FLOOR(E187,1/24)</f>
        <v>46310.6666666667</v>
      </c>
      <c r="G187" s="34"/>
    </row>
    <row r="188" customFormat="false" ht="15" hidden="false" customHeight="false" outlineLevel="0" collapsed="false">
      <c r="A188" s="34" t="n">
        <v>187</v>
      </c>
      <c r="B188" s="34" t="s">
        <v>1895</v>
      </c>
      <c r="C188" s="34" t="n">
        <v>1</v>
      </c>
      <c r="D188" s="34" t="s">
        <v>5423</v>
      </c>
      <c r="E188" s="24" t="n">
        <v>46310.676875</v>
      </c>
      <c r="F188" s="33" t="n">
        <f aca="false">FLOOR(E188,1/24)</f>
        <v>46310.6666666667</v>
      </c>
      <c r="G188" s="34"/>
    </row>
    <row r="189" customFormat="false" ht="15" hidden="false" customHeight="false" outlineLevel="0" collapsed="false">
      <c r="A189" s="34" t="n">
        <v>188</v>
      </c>
      <c r="B189" s="34" t="s">
        <v>1917</v>
      </c>
      <c r="C189" s="34" t="n">
        <v>1</v>
      </c>
      <c r="D189" s="34" t="s">
        <v>5423</v>
      </c>
      <c r="E189" s="24" t="n">
        <v>46310.6786574074</v>
      </c>
      <c r="F189" s="33" t="n">
        <f aca="false">FLOOR(E189,1/24)</f>
        <v>46310.6666666667</v>
      </c>
      <c r="G189" s="34"/>
    </row>
    <row r="190" customFormat="false" ht="15" hidden="false" customHeight="false" outlineLevel="0" collapsed="false">
      <c r="A190" s="34" t="n">
        <v>189</v>
      </c>
      <c r="B190" s="34" t="s">
        <v>1937</v>
      </c>
      <c r="C190" s="34" t="n">
        <v>1</v>
      </c>
      <c r="D190" s="34" t="s">
        <v>5423</v>
      </c>
      <c r="E190" s="24" t="n">
        <v>46310.6802314815</v>
      </c>
      <c r="F190" s="33" t="n">
        <f aca="false">FLOOR(E190,1/24)</f>
        <v>46310.6666666667</v>
      </c>
      <c r="G190" s="34"/>
    </row>
    <row r="191" customFormat="false" ht="15" hidden="false" customHeight="false" outlineLevel="0" collapsed="false">
      <c r="A191" s="34" t="n">
        <v>190</v>
      </c>
      <c r="B191" s="34" t="s">
        <v>1958</v>
      </c>
      <c r="C191" s="34" t="n">
        <v>1</v>
      </c>
      <c r="D191" s="34" t="s">
        <v>5423</v>
      </c>
      <c r="E191" s="24" t="n">
        <v>46310.6817476852</v>
      </c>
      <c r="F191" s="33" t="n">
        <f aca="false">FLOOR(E191,1/24)</f>
        <v>46310.6666666667</v>
      </c>
      <c r="G191" s="34"/>
    </row>
    <row r="192" customFormat="false" ht="15" hidden="false" customHeight="false" outlineLevel="0" collapsed="false">
      <c r="A192" s="34" t="n">
        <v>191</v>
      </c>
      <c r="B192" s="34" t="s">
        <v>1970</v>
      </c>
      <c r="C192" s="34" t="n">
        <v>1</v>
      </c>
      <c r="D192" s="34" t="s">
        <v>5423</v>
      </c>
      <c r="E192" s="24" t="n">
        <v>46310.6831481482</v>
      </c>
      <c r="F192" s="33" t="n">
        <f aca="false">FLOOR(E192,1/24)</f>
        <v>46310.6666666667</v>
      </c>
      <c r="G192" s="34"/>
    </row>
    <row r="193" customFormat="false" ht="15" hidden="false" customHeight="false" outlineLevel="0" collapsed="false">
      <c r="A193" s="34" t="n">
        <v>192</v>
      </c>
      <c r="B193" s="34" t="s">
        <v>1991</v>
      </c>
      <c r="C193" s="34" t="n">
        <v>1</v>
      </c>
      <c r="D193" s="34" t="s">
        <v>5423</v>
      </c>
      <c r="E193" s="24" t="n">
        <v>46310.6851388889</v>
      </c>
      <c r="F193" s="33" t="n">
        <f aca="false">FLOOR(E193,1/24)</f>
        <v>46310.6666666667</v>
      </c>
      <c r="G193" s="34"/>
    </row>
    <row r="194" customFormat="false" ht="15" hidden="false" customHeight="false" outlineLevel="0" collapsed="false">
      <c r="A194" s="34" t="n">
        <v>193</v>
      </c>
      <c r="B194" s="34" t="s">
        <v>2014</v>
      </c>
      <c r="C194" s="34" t="n">
        <v>1</v>
      </c>
      <c r="D194" s="34" t="s">
        <v>5423</v>
      </c>
      <c r="E194" s="24" t="n">
        <v>46310.6870138889</v>
      </c>
      <c r="F194" s="33" t="n">
        <f aca="false">FLOOR(E194,1/24)</f>
        <v>46310.6666666667</v>
      </c>
      <c r="G194" s="34"/>
    </row>
    <row r="195" customFormat="false" ht="15" hidden="false" customHeight="false" outlineLevel="0" collapsed="false">
      <c r="A195" s="34" t="n">
        <v>194</v>
      </c>
      <c r="B195" s="34" t="s">
        <v>2035</v>
      </c>
      <c r="C195" s="34" t="n">
        <v>1</v>
      </c>
      <c r="D195" s="34" t="s">
        <v>5423</v>
      </c>
      <c r="E195" s="24" t="n">
        <v>46310.6890162037</v>
      </c>
      <c r="F195" s="33" t="n">
        <f aca="false">FLOOR(E195,1/24)</f>
        <v>46310.6666666667</v>
      </c>
      <c r="G195" s="34"/>
    </row>
    <row r="196" customFormat="false" ht="15" hidden="false" customHeight="false" outlineLevel="0" collapsed="false">
      <c r="A196" s="34" t="n">
        <v>195</v>
      </c>
      <c r="B196" s="34" t="s">
        <v>2055</v>
      </c>
      <c r="C196" s="34" t="n">
        <v>1</v>
      </c>
      <c r="D196" s="34" t="s">
        <v>5423</v>
      </c>
      <c r="E196" s="24" t="n">
        <v>46310.6906365741</v>
      </c>
      <c r="F196" s="33" t="n">
        <f aca="false">FLOOR(E196,1/24)</f>
        <v>46310.6666666667</v>
      </c>
      <c r="G196" s="34"/>
    </row>
    <row r="197" customFormat="false" ht="15" hidden="false" customHeight="false" outlineLevel="0" collapsed="false">
      <c r="A197" s="34" t="n">
        <v>196</v>
      </c>
      <c r="B197" s="34" t="s">
        <v>2075</v>
      </c>
      <c r="C197" s="34" t="n">
        <v>1</v>
      </c>
      <c r="D197" s="34" t="s">
        <v>5423</v>
      </c>
      <c r="E197" s="24" t="n">
        <v>46310.6922569444</v>
      </c>
      <c r="F197" s="33" t="n">
        <f aca="false">FLOOR(E197,1/24)</f>
        <v>46310.6666666667</v>
      </c>
      <c r="G197" s="34"/>
    </row>
    <row r="198" customFormat="false" ht="15" hidden="false" customHeight="false" outlineLevel="0" collapsed="false">
      <c r="A198" s="34" t="n">
        <v>197</v>
      </c>
      <c r="B198" s="34" t="s">
        <v>2092</v>
      </c>
      <c r="C198" s="34" t="n">
        <v>1</v>
      </c>
      <c r="D198" s="34" t="s">
        <v>5423</v>
      </c>
      <c r="E198" s="24" t="n">
        <v>46310.6939583333</v>
      </c>
      <c r="F198" s="33" t="n">
        <f aca="false">FLOOR(E198,1/24)</f>
        <v>46310.6666666667</v>
      </c>
      <c r="G198" s="34"/>
    </row>
    <row r="199" customFormat="false" ht="15" hidden="false" customHeight="false" outlineLevel="0" collapsed="false">
      <c r="A199" s="34" t="n">
        <v>198</v>
      </c>
      <c r="B199" s="34" t="s">
        <v>2112</v>
      </c>
      <c r="C199" s="34" t="n">
        <v>1</v>
      </c>
      <c r="D199" s="34" t="s">
        <v>5423</v>
      </c>
      <c r="E199" s="24" t="n">
        <v>46310.6956712963</v>
      </c>
      <c r="F199" s="33" t="n">
        <f aca="false">FLOOR(E199,1/24)</f>
        <v>46310.6666666667</v>
      </c>
      <c r="G199" s="34"/>
    </row>
    <row r="200" customFormat="false" ht="15" hidden="false" customHeight="false" outlineLevel="0" collapsed="false">
      <c r="A200" s="34" t="n">
        <v>199</v>
      </c>
      <c r="B200" s="34" t="s">
        <v>2137</v>
      </c>
      <c r="C200" s="34" t="n">
        <v>1</v>
      </c>
      <c r="D200" s="34" t="s">
        <v>5423</v>
      </c>
      <c r="E200" s="24" t="n">
        <v>46310.6972685185</v>
      </c>
      <c r="F200" s="33" t="n">
        <f aca="false">FLOOR(E200,1/24)</f>
        <v>46310.6666666667</v>
      </c>
      <c r="G200" s="34"/>
    </row>
    <row r="201" customFormat="false" ht="15" hidden="false" customHeight="false" outlineLevel="0" collapsed="false">
      <c r="A201" s="34" t="n">
        <v>200</v>
      </c>
      <c r="B201" s="34" t="s">
        <v>2161</v>
      </c>
      <c r="C201" s="34" t="n">
        <v>1</v>
      </c>
      <c r="D201" s="34" t="s">
        <v>5424</v>
      </c>
      <c r="E201" s="24" t="n">
        <v>46310.6989583333</v>
      </c>
      <c r="F201" s="33" t="n">
        <f aca="false">FLOOR(E201,1/24)</f>
        <v>46310.6666666667</v>
      </c>
      <c r="G201" s="34" t="s">
        <v>5425</v>
      </c>
    </row>
    <row r="202" customFormat="false" ht="15" hidden="false" customHeight="false" outlineLevel="0" collapsed="false">
      <c r="A202" s="34" t="n">
        <v>201</v>
      </c>
      <c r="B202" s="34" t="s">
        <v>2161</v>
      </c>
      <c r="C202" s="34" t="n">
        <v>2</v>
      </c>
      <c r="D202" s="34" t="s">
        <v>5423</v>
      </c>
      <c r="E202" s="24" t="n">
        <v>46310.7035416667</v>
      </c>
      <c r="F202" s="33" t="n">
        <f aca="false">FLOOR(E202,1/24)</f>
        <v>46310.6666666667</v>
      </c>
      <c r="G202" s="34"/>
    </row>
    <row r="203" customFormat="false" ht="15" hidden="false" customHeight="false" outlineLevel="0" collapsed="false">
      <c r="A203" s="34" t="n">
        <v>202</v>
      </c>
      <c r="B203" s="34" t="s">
        <v>2181</v>
      </c>
      <c r="C203" s="34" t="n">
        <v>1</v>
      </c>
      <c r="D203" s="34" t="s">
        <v>5423</v>
      </c>
      <c r="E203" s="24" t="n">
        <v>46310.7051157407</v>
      </c>
      <c r="F203" s="33" t="n">
        <f aca="false">FLOOR(E203,1/24)</f>
        <v>46310.6666666667</v>
      </c>
      <c r="G203" s="34"/>
    </row>
    <row r="204" customFormat="false" ht="15" hidden="false" customHeight="false" outlineLevel="0" collapsed="false">
      <c r="A204" s="34" t="n">
        <v>203</v>
      </c>
      <c r="B204" s="34" t="s">
        <v>2205</v>
      </c>
      <c r="C204" s="34" t="n">
        <v>1</v>
      </c>
      <c r="D204" s="34" t="s">
        <v>5423</v>
      </c>
      <c r="E204" s="24" t="n">
        <v>46310.7067476852</v>
      </c>
      <c r="F204" s="33" t="n">
        <f aca="false">FLOOR(E204,1/24)</f>
        <v>46310.6666666667</v>
      </c>
      <c r="G204" s="34"/>
    </row>
    <row r="205" customFormat="false" ht="15" hidden="false" customHeight="false" outlineLevel="0" collapsed="false">
      <c r="A205" s="34" t="n">
        <v>204</v>
      </c>
      <c r="B205" s="34" t="s">
        <v>2225</v>
      </c>
      <c r="C205" s="34" t="n">
        <v>1</v>
      </c>
      <c r="D205" s="34" t="s">
        <v>5423</v>
      </c>
      <c r="E205" s="24" t="n">
        <v>46310.7082407407</v>
      </c>
      <c r="F205" s="33" t="n">
        <f aca="false">FLOOR(E205,1/24)</f>
        <v>46310.6666666667</v>
      </c>
      <c r="G205" s="34"/>
    </row>
    <row r="206" customFormat="false" ht="15" hidden="false" customHeight="false" outlineLevel="0" collapsed="false">
      <c r="A206" s="34" t="n">
        <v>205</v>
      </c>
      <c r="B206" s="34" t="s">
        <v>2245</v>
      </c>
      <c r="C206" s="34" t="n">
        <v>1</v>
      </c>
      <c r="D206" s="34" t="s">
        <v>5423</v>
      </c>
      <c r="E206" s="24" t="n">
        <v>46310.7100347222</v>
      </c>
      <c r="F206" s="33" t="n">
        <f aca="false">FLOOR(E206,1/24)</f>
        <v>46310.7083333333</v>
      </c>
      <c r="G206" s="34"/>
    </row>
    <row r="207" customFormat="false" ht="15" hidden="false" customHeight="false" outlineLevel="0" collapsed="false">
      <c r="A207" s="34" t="n">
        <v>206</v>
      </c>
      <c r="B207" s="34" t="s">
        <v>2268</v>
      </c>
      <c r="C207" s="34" t="n">
        <v>1</v>
      </c>
      <c r="D207" s="34" t="s">
        <v>5423</v>
      </c>
      <c r="E207" s="24" t="n">
        <v>46310.7116550926</v>
      </c>
      <c r="F207" s="33" t="n">
        <f aca="false">FLOOR(E207,1/24)</f>
        <v>46310.7083333333</v>
      </c>
      <c r="G207" s="34"/>
    </row>
    <row r="208" customFormat="false" ht="15" hidden="false" customHeight="false" outlineLevel="0" collapsed="false">
      <c r="A208" s="34" t="n">
        <v>207</v>
      </c>
      <c r="B208" s="34" t="s">
        <v>2286</v>
      </c>
      <c r="C208" s="34" t="n">
        <v>1</v>
      </c>
      <c r="D208" s="34" t="s">
        <v>5423</v>
      </c>
      <c r="E208" s="24" t="n">
        <v>46310.7136342593</v>
      </c>
      <c r="F208" s="33" t="n">
        <f aca="false">FLOOR(E208,1/24)</f>
        <v>46310.7083333333</v>
      </c>
      <c r="G208" s="34"/>
    </row>
    <row r="209" customFormat="false" ht="15" hidden="false" customHeight="false" outlineLevel="0" collapsed="false">
      <c r="A209" s="34" t="n">
        <v>208</v>
      </c>
      <c r="B209" s="34" t="s">
        <v>2305</v>
      </c>
      <c r="C209" s="34" t="n">
        <v>1</v>
      </c>
      <c r="D209" s="34" t="s">
        <v>5423</v>
      </c>
      <c r="E209" s="24" t="n">
        <v>46310.7153125</v>
      </c>
      <c r="F209" s="33" t="n">
        <f aca="false">FLOOR(E209,1/24)</f>
        <v>46310.7083333333</v>
      </c>
      <c r="G209" s="34"/>
    </row>
    <row r="210" customFormat="false" ht="15" hidden="false" customHeight="false" outlineLevel="0" collapsed="false">
      <c r="A210" s="34" t="n">
        <v>209</v>
      </c>
      <c r="B210" s="34" t="s">
        <v>2323</v>
      </c>
      <c r="C210" s="34" t="n">
        <v>1</v>
      </c>
      <c r="D210" s="34" t="s">
        <v>5423</v>
      </c>
      <c r="E210" s="24" t="n">
        <v>46310.7171759259</v>
      </c>
      <c r="F210" s="33" t="n">
        <f aca="false">FLOOR(E210,1/24)</f>
        <v>46310.7083333333</v>
      </c>
      <c r="G210" s="34"/>
    </row>
    <row r="211" customFormat="false" ht="15" hidden="false" customHeight="false" outlineLevel="0" collapsed="false">
      <c r="A211" s="34" t="n">
        <v>210</v>
      </c>
      <c r="B211" s="34" t="s">
        <v>2340</v>
      </c>
      <c r="C211" s="34" t="n">
        <v>1</v>
      </c>
      <c r="D211" s="34" t="s">
        <v>5423</v>
      </c>
      <c r="E211" s="24" t="n">
        <v>46310.7191435185</v>
      </c>
      <c r="F211" s="33" t="n">
        <f aca="false">FLOOR(E211,1/24)</f>
        <v>46310.7083333333</v>
      </c>
      <c r="G211" s="34"/>
    </row>
    <row r="212" customFormat="false" ht="57.45" hidden="false" customHeight="false" outlineLevel="0" collapsed="false">
      <c r="A212" s="34" t="n">
        <v>211</v>
      </c>
      <c r="B212" s="34" t="s">
        <v>2359</v>
      </c>
      <c r="C212" s="34" t="n">
        <v>1</v>
      </c>
      <c r="D212" s="34" t="s">
        <v>5424</v>
      </c>
      <c r="E212" s="24" t="n">
        <v>46310.7211111111</v>
      </c>
      <c r="F212" s="33" t="n">
        <f aca="false">FLOOR(E212,1/24)</f>
        <v>46310.7083333333</v>
      </c>
      <c r="G212" s="34" t="s">
        <v>5431</v>
      </c>
    </row>
    <row r="213" customFormat="false" ht="15" hidden="false" customHeight="false" outlineLevel="0" collapsed="false">
      <c r="A213" s="34" t="n">
        <v>212</v>
      </c>
      <c r="B213" s="34" t="s">
        <v>2359</v>
      </c>
      <c r="C213" s="34" t="n">
        <v>2</v>
      </c>
      <c r="D213" s="34" t="s">
        <v>5424</v>
      </c>
      <c r="E213" s="24" t="n">
        <v>46310.7229050926</v>
      </c>
      <c r="F213" s="33" t="n">
        <f aca="false">FLOOR(E213,1/24)</f>
        <v>46310.7083333333</v>
      </c>
      <c r="G213" s="34" t="s">
        <v>5425</v>
      </c>
    </row>
    <row r="214" customFormat="false" ht="15" hidden="false" customHeight="false" outlineLevel="0" collapsed="false">
      <c r="A214" s="34" t="n">
        <v>213</v>
      </c>
      <c r="B214" s="34" t="s">
        <v>2359</v>
      </c>
      <c r="C214" s="34" t="n">
        <v>3</v>
      </c>
      <c r="D214" s="34" t="s">
        <v>5423</v>
      </c>
      <c r="E214" s="24" t="n">
        <v>46310.7278935185</v>
      </c>
      <c r="F214" s="33" t="n">
        <f aca="false">FLOOR(E214,1/24)</f>
        <v>46310.7083333333</v>
      </c>
      <c r="G214" s="34"/>
    </row>
    <row r="215" customFormat="false" ht="15" hidden="false" customHeight="false" outlineLevel="0" collapsed="false">
      <c r="A215" s="34" t="n">
        <v>214</v>
      </c>
      <c r="B215" s="34" t="s">
        <v>2377</v>
      </c>
      <c r="C215" s="34" t="n">
        <v>1</v>
      </c>
      <c r="D215" s="34" t="s">
        <v>5423</v>
      </c>
      <c r="E215" s="24" t="n">
        <v>46310.7296180556</v>
      </c>
      <c r="F215" s="33" t="n">
        <f aca="false">FLOOR(E215,1/24)</f>
        <v>46310.7083333333</v>
      </c>
      <c r="G215" s="34"/>
    </row>
    <row r="216" customFormat="false" ht="15" hidden="false" customHeight="false" outlineLevel="0" collapsed="false">
      <c r="A216" s="34" t="n">
        <v>215</v>
      </c>
      <c r="B216" s="34" t="s">
        <v>2399</v>
      </c>
      <c r="C216" s="34" t="n">
        <v>1</v>
      </c>
      <c r="D216" s="34" t="s">
        <v>5423</v>
      </c>
      <c r="E216" s="24" t="n">
        <v>46310.7313657407</v>
      </c>
      <c r="F216" s="33" t="n">
        <f aca="false">FLOOR(E216,1/24)</f>
        <v>46310.7083333333</v>
      </c>
      <c r="G216" s="34"/>
    </row>
    <row r="217" customFormat="false" ht="15" hidden="false" customHeight="false" outlineLevel="0" collapsed="false">
      <c r="A217" s="34" t="n">
        <v>216</v>
      </c>
      <c r="B217" s="34" t="s">
        <v>2419</v>
      </c>
      <c r="C217" s="34" t="n">
        <v>1</v>
      </c>
      <c r="D217" s="34" t="s">
        <v>5423</v>
      </c>
      <c r="E217" s="24" t="n">
        <v>46310.7330092593</v>
      </c>
      <c r="F217" s="33" t="n">
        <f aca="false">FLOOR(E217,1/24)</f>
        <v>46310.7083333333</v>
      </c>
      <c r="G217" s="34"/>
    </row>
    <row r="218" customFormat="false" ht="15" hidden="false" customHeight="false" outlineLevel="0" collapsed="false">
      <c r="A218" s="34" t="n">
        <v>217</v>
      </c>
      <c r="B218" s="34" t="s">
        <v>2437</v>
      </c>
      <c r="C218" s="34" t="n">
        <v>1</v>
      </c>
      <c r="D218" s="34" t="s">
        <v>5423</v>
      </c>
      <c r="E218" s="24" t="n">
        <v>46310.7346180556</v>
      </c>
      <c r="F218" s="33" t="n">
        <f aca="false">FLOOR(E218,1/24)</f>
        <v>46310.7083333333</v>
      </c>
      <c r="G218" s="34"/>
    </row>
    <row r="219" customFormat="false" ht="15" hidden="false" customHeight="false" outlineLevel="0" collapsed="false">
      <c r="A219" s="34" t="n">
        <v>218</v>
      </c>
      <c r="B219" s="34" t="s">
        <v>2455</v>
      </c>
      <c r="C219" s="34" t="n">
        <v>1</v>
      </c>
      <c r="D219" s="34" t="s">
        <v>5423</v>
      </c>
      <c r="E219" s="24" t="n">
        <v>46310.7363888889</v>
      </c>
      <c r="F219" s="33" t="n">
        <f aca="false">FLOOR(E219,1/24)</f>
        <v>46310.7083333333</v>
      </c>
      <c r="G219" s="34"/>
    </row>
    <row r="220" customFormat="false" ht="15" hidden="false" customHeight="false" outlineLevel="0" collapsed="false">
      <c r="A220" s="34" t="n">
        <v>219</v>
      </c>
      <c r="B220" s="34" t="s">
        <v>2474</v>
      </c>
      <c r="C220" s="34" t="n">
        <v>1</v>
      </c>
      <c r="D220" s="34" t="s">
        <v>5423</v>
      </c>
      <c r="E220" s="24" t="n">
        <v>46310.737962963</v>
      </c>
      <c r="F220" s="33" t="n">
        <f aca="false">FLOOR(E220,1/24)</f>
        <v>46310.7083333333</v>
      </c>
      <c r="G220" s="34"/>
    </row>
    <row r="221" customFormat="false" ht="15" hidden="false" customHeight="false" outlineLevel="0" collapsed="false">
      <c r="A221" s="34" t="n">
        <v>220</v>
      </c>
      <c r="B221" s="34" t="s">
        <v>2495</v>
      </c>
      <c r="C221" s="34" t="n">
        <v>1</v>
      </c>
      <c r="D221" s="34" t="s">
        <v>5423</v>
      </c>
      <c r="E221" s="24" t="n">
        <v>46310.7394675926</v>
      </c>
      <c r="F221" s="33" t="n">
        <f aca="false">FLOOR(E221,1/24)</f>
        <v>46310.7083333333</v>
      </c>
      <c r="G221" s="34"/>
    </row>
    <row r="222" customFormat="false" ht="15" hidden="false" customHeight="false" outlineLevel="0" collapsed="false">
      <c r="A222" s="34" t="n">
        <v>221</v>
      </c>
      <c r="B222" s="34" t="s">
        <v>2515</v>
      </c>
      <c r="C222" s="34" t="n">
        <v>1</v>
      </c>
      <c r="D222" s="34" t="s">
        <v>5423</v>
      </c>
      <c r="E222" s="24" t="n">
        <v>46310.7412037037</v>
      </c>
      <c r="F222" s="33" t="n">
        <f aca="false">FLOOR(E222,1/24)</f>
        <v>46310.7083333333</v>
      </c>
      <c r="G222" s="34"/>
    </row>
    <row r="223" customFormat="false" ht="15" hidden="false" customHeight="false" outlineLevel="0" collapsed="false">
      <c r="A223" s="34" t="n">
        <v>222</v>
      </c>
      <c r="B223" s="34" t="s">
        <v>2533</v>
      </c>
      <c r="C223" s="34" t="n">
        <v>1</v>
      </c>
      <c r="D223" s="34" t="s">
        <v>5423</v>
      </c>
      <c r="E223" s="24" t="n">
        <v>46310.7426851852</v>
      </c>
      <c r="F223" s="33" t="n">
        <f aca="false">FLOOR(E223,1/24)</f>
        <v>46310.7083333333</v>
      </c>
      <c r="G223" s="34"/>
    </row>
    <row r="224" customFormat="false" ht="15" hidden="false" customHeight="false" outlineLevel="0" collapsed="false">
      <c r="A224" s="34" t="n">
        <v>223</v>
      </c>
      <c r="B224" s="34" t="s">
        <v>2553</v>
      </c>
      <c r="C224" s="34" t="n">
        <v>1</v>
      </c>
      <c r="D224" s="34" t="s">
        <v>5423</v>
      </c>
      <c r="E224" s="24" t="n">
        <v>46310.7441550926</v>
      </c>
      <c r="F224" s="33" t="n">
        <f aca="false">FLOOR(E224,1/24)</f>
        <v>46310.7083333333</v>
      </c>
      <c r="G224" s="34"/>
    </row>
    <row r="225" customFormat="false" ht="15" hidden="false" customHeight="false" outlineLevel="0" collapsed="false">
      <c r="A225" s="34" t="n">
        <v>224</v>
      </c>
      <c r="B225" s="34" t="s">
        <v>2574</v>
      </c>
      <c r="C225" s="34" t="n">
        <v>1</v>
      </c>
      <c r="D225" s="34" t="s">
        <v>5423</v>
      </c>
      <c r="E225" s="24" t="n">
        <v>46310.7458217593</v>
      </c>
      <c r="F225" s="33" t="n">
        <f aca="false">FLOOR(E225,1/24)</f>
        <v>46310.7083333333</v>
      </c>
      <c r="G225" s="34"/>
    </row>
    <row r="226" customFormat="false" ht="15" hidden="false" customHeight="false" outlineLevel="0" collapsed="false">
      <c r="A226" s="34" t="n">
        <v>225</v>
      </c>
      <c r="B226" s="34" t="s">
        <v>2591</v>
      </c>
      <c r="C226" s="34" t="n">
        <v>1</v>
      </c>
      <c r="D226" s="34" t="s">
        <v>5423</v>
      </c>
      <c r="E226" s="24" t="n">
        <v>46310.7475</v>
      </c>
      <c r="F226" s="33" t="n">
        <f aca="false">FLOOR(E226,1/24)</f>
        <v>46310.7083333333</v>
      </c>
      <c r="G226" s="34"/>
    </row>
    <row r="227" customFormat="false" ht="15" hidden="false" customHeight="false" outlineLevel="0" collapsed="false">
      <c r="A227" s="34" t="n">
        <v>226</v>
      </c>
      <c r="B227" s="34" t="s">
        <v>2608</v>
      </c>
      <c r="C227" s="34" t="n">
        <v>1</v>
      </c>
      <c r="D227" s="34" t="s">
        <v>5423</v>
      </c>
      <c r="E227" s="24" t="n">
        <v>46310.7502314815</v>
      </c>
      <c r="F227" s="33" t="n">
        <f aca="false">FLOOR(E227,1/24)</f>
        <v>46310.75</v>
      </c>
      <c r="G227" s="34"/>
    </row>
    <row r="228" customFormat="false" ht="15" hidden="false" customHeight="false" outlineLevel="0" collapsed="false">
      <c r="A228" s="34" t="n">
        <v>227</v>
      </c>
      <c r="B228" s="34" t="s">
        <v>2627</v>
      </c>
      <c r="C228" s="34" t="n">
        <v>1</v>
      </c>
      <c r="D228" s="34" t="s">
        <v>5423</v>
      </c>
      <c r="E228" s="24" t="n">
        <v>46310.7521527778</v>
      </c>
      <c r="F228" s="33" t="n">
        <f aca="false">FLOOR(E228,1/24)</f>
        <v>46310.75</v>
      </c>
      <c r="G228" s="34"/>
    </row>
    <row r="229" customFormat="false" ht="15" hidden="false" customHeight="false" outlineLevel="0" collapsed="false">
      <c r="A229" s="34" t="n">
        <v>228</v>
      </c>
      <c r="B229" s="34" t="s">
        <v>2645</v>
      </c>
      <c r="C229" s="34" t="n">
        <v>1</v>
      </c>
      <c r="D229" s="34" t="s">
        <v>5423</v>
      </c>
      <c r="E229" s="24" t="n">
        <v>46310.7538888889</v>
      </c>
      <c r="F229" s="33" t="n">
        <f aca="false">FLOOR(E229,1/24)</f>
        <v>46310.75</v>
      </c>
      <c r="G229" s="34"/>
    </row>
    <row r="230" customFormat="false" ht="15" hidden="false" customHeight="false" outlineLevel="0" collapsed="false">
      <c r="A230" s="34" t="n">
        <v>229</v>
      </c>
      <c r="B230" s="34" t="s">
        <v>2662</v>
      </c>
      <c r="C230" s="34" t="n">
        <v>1</v>
      </c>
      <c r="D230" s="34" t="s">
        <v>5423</v>
      </c>
      <c r="E230" s="24" t="n">
        <v>46310.7557175926</v>
      </c>
      <c r="F230" s="33" t="n">
        <f aca="false">FLOOR(E230,1/24)</f>
        <v>46310.75</v>
      </c>
      <c r="G230" s="34"/>
    </row>
    <row r="231" customFormat="false" ht="15" hidden="false" customHeight="false" outlineLevel="0" collapsed="false">
      <c r="A231" s="34" t="n">
        <v>230</v>
      </c>
      <c r="B231" s="34" t="s">
        <v>2680</v>
      </c>
      <c r="C231" s="34" t="n">
        <v>1</v>
      </c>
      <c r="D231" s="34" t="s">
        <v>5423</v>
      </c>
      <c r="E231" s="24" t="n">
        <v>46310.7576041667</v>
      </c>
      <c r="F231" s="33" t="n">
        <f aca="false">FLOOR(E231,1/24)</f>
        <v>46310.75</v>
      </c>
      <c r="G231" s="34"/>
    </row>
    <row r="232" customFormat="false" ht="15" hidden="false" customHeight="false" outlineLevel="0" collapsed="false">
      <c r="A232" s="34" t="n">
        <v>231</v>
      </c>
      <c r="B232" s="34" t="s">
        <v>2699</v>
      </c>
      <c r="C232" s="34" t="n">
        <v>1</v>
      </c>
      <c r="D232" s="34" t="s">
        <v>5423</v>
      </c>
      <c r="E232" s="24" t="n">
        <v>46310.7590625</v>
      </c>
      <c r="F232" s="33" t="n">
        <f aca="false">FLOOR(E232,1/24)</f>
        <v>46310.75</v>
      </c>
      <c r="G232" s="34"/>
    </row>
    <row r="233" customFormat="false" ht="15" hidden="false" customHeight="false" outlineLevel="0" collapsed="false">
      <c r="A233" s="34" t="n">
        <v>232</v>
      </c>
      <c r="B233" s="34" t="s">
        <v>2717</v>
      </c>
      <c r="C233" s="34" t="n">
        <v>1</v>
      </c>
      <c r="D233" s="34" t="s">
        <v>5423</v>
      </c>
      <c r="E233" s="24" t="n">
        <v>46310.7635300926</v>
      </c>
      <c r="F233" s="33" t="n">
        <f aca="false">FLOOR(E233,1/24)</f>
        <v>46310.75</v>
      </c>
      <c r="G233" s="34"/>
    </row>
    <row r="234" customFormat="false" ht="15" hidden="false" customHeight="false" outlineLevel="0" collapsed="false">
      <c r="A234" s="34" t="n">
        <v>233</v>
      </c>
      <c r="B234" s="34" t="s">
        <v>2737</v>
      </c>
      <c r="C234" s="34" t="n">
        <v>1</v>
      </c>
      <c r="D234" s="34" t="s">
        <v>5423</v>
      </c>
      <c r="E234" s="24" t="n">
        <v>46310.765150463</v>
      </c>
      <c r="F234" s="33" t="n">
        <f aca="false">FLOOR(E234,1/24)</f>
        <v>46310.75</v>
      </c>
      <c r="G234" s="34"/>
    </row>
    <row r="235" customFormat="false" ht="15" hidden="false" customHeight="false" outlineLevel="0" collapsed="false">
      <c r="A235" s="34" t="n">
        <v>234</v>
      </c>
      <c r="B235" s="34" t="s">
        <v>2754</v>
      </c>
      <c r="C235" s="34" t="n">
        <v>1</v>
      </c>
      <c r="D235" s="34" t="s">
        <v>5423</v>
      </c>
      <c r="E235" s="24" t="n">
        <v>46310.7690046296</v>
      </c>
      <c r="F235" s="33" t="n">
        <f aca="false">FLOOR(E235,1/24)</f>
        <v>46310.75</v>
      </c>
      <c r="G235" s="34"/>
    </row>
    <row r="236" customFormat="false" ht="15" hidden="false" customHeight="false" outlineLevel="0" collapsed="false">
      <c r="A236" s="34" t="n">
        <v>235</v>
      </c>
      <c r="B236" s="34" t="s">
        <v>2772</v>
      </c>
      <c r="C236" s="34" t="n">
        <v>1</v>
      </c>
      <c r="D236" s="34" t="s">
        <v>5423</v>
      </c>
      <c r="E236" s="24" t="n">
        <v>46310.7705324074</v>
      </c>
      <c r="F236" s="33" t="n">
        <f aca="false">FLOOR(E236,1/24)</f>
        <v>46310.75</v>
      </c>
      <c r="G236" s="34"/>
    </row>
    <row r="237" customFormat="false" ht="15" hidden="false" customHeight="false" outlineLevel="0" collapsed="false">
      <c r="A237" s="34" t="n">
        <v>236</v>
      </c>
      <c r="B237" s="34" t="s">
        <v>2788</v>
      </c>
      <c r="C237" s="34" t="n">
        <v>1</v>
      </c>
      <c r="D237" s="34" t="s">
        <v>5423</v>
      </c>
      <c r="E237" s="24" t="n">
        <v>46310.7721412037</v>
      </c>
      <c r="F237" s="33" t="n">
        <f aca="false">FLOOR(E237,1/24)</f>
        <v>46310.75</v>
      </c>
      <c r="G237" s="34"/>
    </row>
    <row r="238" customFormat="false" ht="15" hidden="false" customHeight="false" outlineLevel="0" collapsed="false">
      <c r="A238" s="34" t="n">
        <v>237</v>
      </c>
      <c r="B238" s="34" t="s">
        <v>2807</v>
      </c>
      <c r="C238" s="34" t="n">
        <v>1</v>
      </c>
      <c r="D238" s="34" t="s">
        <v>5424</v>
      </c>
      <c r="E238" s="24" t="n">
        <v>46310.77375</v>
      </c>
      <c r="F238" s="33" t="n">
        <f aca="false">FLOOR(E238,1/24)</f>
        <v>46310.75</v>
      </c>
      <c r="G238" s="34" t="s">
        <v>5425</v>
      </c>
    </row>
    <row r="239" customFormat="false" ht="15" hidden="false" customHeight="false" outlineLevel="0" collapsed="false">
      <c r="A239" s="34" t="n">
        <v>238</v>
      </c>
      <c r="B239" s="34" t="s">
        <v>2807</v>
      </c>
      <c r="C239" s="34" t="n">
        <v>2</v>
      </c>
      <c r="D239" s="34" t="s">
        <v>5423</v>
      </c>
      <c r="E239" s="24" t="n">
        <v>46310.7784143519</v>
      </c>
      <c r="F239" s="33" t="n">
        <f aca="false">FLOOR(E239,1/24)</f>
        <v>46310.75</v>
      </c>
      <c r="G239" s="34"/>
    </row>
    <row r="240" customFormat="false" ht="15" hidden="false" customHeight="false" outlineLevel="0" collapsed="false">
      <c r="A240" s="34" t="n">
        <v>239</v>
      </c>
      <c r="B240" s="34" t="s">
        <v>2823</v>
      </c>
      <c r="C240" s="34" t="n">
        <v>1</v>
      </c>
      <c r="D240" s="34" t="s">
        <v>5423</v>
      </c>
      <c r="E240" s="24" t="n">
        <v>46310.7802083333</v>
      </c>
      <c r="F240" s="33" t="n">
        <f aca="false">FLOOR(E240,1/24)</f>
        <v>46310.75</v>
      </c>
      <c r="G240" s="34"/>
    </row>
    <row r="241" customFormat="false" ht="15" hidden="false" customHeight="false" outlineLevel="0" collapsed="false">
      <c r="A241" s="34" t="n">
        <v>240</v>
      </c>
      <c r="B241" s="34" t="s">
        <v>2840</v>
      </c>
      <c r="C241" s="34" t="n">
        <v>1</v>
      </c>
      <c r="D241" s="34" t="s">
        <v>5424</v>
      </c>
      <c r="E241" s="24" t="n">
        <v>46310.7831597222</v>
      </c>
      <c r="F241" s="33" t="n">
        <f aca="false">FLOOR(E241,1/24)</f>
        <v>46310.75</v>
      </c>
      <c r="G241" s="34" t="s">
        <v>5425</v>
      </c>
    </row>
    <row r="242" customFormat="false" ht="15" hidden="false" customHeight="false" outlineLevel="0" collapsed="false">
      <c r="A242" s="34" t="n">
        <v>241</v>
      </c>
      <c r="B242" s="34" t="s">
        <v>2840</v>
      </c>
      <c r="C242" s="34" t="n">
        <v>2</v>
      </c>
      <c r="D242" s="34" t="s">
        <v>5423</v>
      </c>
      <c r="E242" s="24" t="n">
        <v>46310.7878356482</v>
      </c>
      <c r="F242" s="33" t="n">
        <f aca="false">FLOOR(E242,1/24)</f>
        <v>46310.75</v>
      </c>
      <c r="G242" s="34"/>
    </row>
    <row r="243" customFormat="false" ht="15" hidden="false" customHeight="false" outlineLevel="0" collapsed="false">
      <c r="A243" s="34" t="n">
        <v>242</v>
      </c>
      <c r="B243" s="34" t="s">
        <v>2857</v>
      </c>
      <c r="C243" s="34" t="n">
        <v>1</v>
      </c>
      <c r="D243" s="34" t="s">
        <v>5423</v>
      </c>
      <c r="E243" s="24" t="n">
        <v>46310.7896759259</v>
      </c>
      <c r="F243" s="33" t="n">
        <f aca="false">FLOOR(E243,1/24)</f>
        <v>46310.75</v>
      </c>
      <c r="G243" s="34"/>
    </row>
    <row r="244" customFormat="false" ht="15" hidden="false" customHeight="false" outlineLevel="0" collapsed="false">
      <c r="A244" s="34" t="n">
        <v>243</v>
      </c>
      <c r="B244" s="34" t="s">
        <v>2875</v>
      </c>
      <c r="C244" s="34" t="n">
        <v>1</v>
      </c>
      <c r="D244" s="34" t="s">
        <v>5423</v>
      </c>
      <c r="E244" s="24" t="n">
        <v>46310.7912268519</v>
      </c>
      <c r="F244" s="33" t="n">
        <f aca="false">FLOOR(E244,1/24)</f>
        <v>46310.75</v>
      </c>
      <c r="G244" s="34"/>
    </row>
    <row r="245" customFormat="false" ht="15" hidden="false" customHeight="false" outlineLevel="0" collapsed="false">
      <c r="A245" s="34" t="n">
        <v>244</v>
      </c>
      <c r="B245" s="34" t="s">
        <v>2892</v>
      </c>
      <c r="C245" s="34" t="n">
        <v>1</v>
      </c>
      <c r="D245" s="34" t="s">
        <v>5423</v>
      </c>
      <c r="E245" s="24" t="n">
        <v>46310.7927546296</v>
      </c>
      <c r="F245" s="33" t="n">
        <f aca="false">FLOOR(E245,1/24)</f>
        <v>46310.7916666667</v>
      </c>
      <c r="G245" s="34"/>
    </row>
    <row r="246" customFormat="false" ht="15" hidden="false" customHeight="false" outlineLevel="0" collapsed="false">
      <c r="A246" s="34" t="n">
        <v>245</v>
      </c>
      <c r="B246" s="34" t="s">
        <v>2910</v>
      </c>
      <c r="C246" s="34" t="n">
        <v>1</v>
      </c>
      <c r="D246" s="34" t="s">
        <v>5424</v>
      </c>
      <c r="E246" s="24" t="n">
        <v>46310.7944560185</v>
      </c>
      <c r="F246" s="33" t="n">
        <f aca="false">FLOOR(E246,1/24)</f>
        <v>46310.7916666667</v>
      </c>
      <c r="G246" s="34" t="s">
        <v>5425</v>
      </c>
    </row>
    <row r="247" customFormat="false" ht="15" hidden="false" customHeight="false" outlineLevel="0" collapsed="false">
      <c r="A247" s="34" t="n">
        <v>246</v>
      </c>
      <c r="B247" s="34" t="s">
        <v>2910</v>
      </c>
      <c r="C247" s="34" t="n">
        <v>2</v>
      </c>
      <c r="D247" s="34" t="s">
        <v>5424</v>
      </c>
      <c r="E247" s="24" t="n">
        <v>46310.7991319444</v>
      </c>
      <c r="F247" s="33" t="n">
        <f aca="false">FLOOR(E247,1/24)</f>
        <v>46310.7916666667</v>
      </c>
      <c r="G247" s="34" t="s">
        <v>5425</v>
      </c>
    </row>
    <row r="248" customFormat="false" ht="15" hidden="false" customHeight="false" outlineLevel="0" collapsed="false">
      <c r="A248" s="34" t="n">
        <v>247</v>
      </c>
      <c r="B248" s="34" t="s">
        <v>2910</v>
      </c>
      <c r="C248" s="34" t="n">
        <v>3</v>
      </c>
      <c r="D248" s="34" t="s">
        <v>5423</v>
      </c>
      <c r="E248" s="24" t="n">
        <v>46310.8041203704</v>
      </c>
      <c r="F248" s="33" t="n">
        <f aca="false">FLOOR(E248,1/24)</f>
        <v>46310.7916666667</v>
      </c>
      <c r="G248" s="34"/>
    </row>
    <row r="249" customFormat="false" ht="15" hidden="false" customHeight="false" outlineLevel="0" collapsed="false">
      <c r="A249" s="34" t="n">
        <v>248</v>
      </c>
      <c r="B249" s="34" t="s">
        <v>2927</v>
      </c>
      <c r="C249" s="34" t="n">
        <v>1</v>
      </c>
      <c r="D249" s="34" t="s">
        <v>5423</v>
      </c>
      <c r="E249" s="24" t="n">
        <v>46310.8058680556</v>
      </c>
      <c r="F249" s="33" t="n">
        <f aca="false">FLOOR(E249,1/24)</f>
        <v>46310.7916666667</v>
      </c>
      <c r="G249" s="34"/>
    </row>
    <row r="250" customFormat="false" ht="15" hidden="false" customHeight="false" outlineLevel="0" collapsed="false">
      <c r="A250" s="34" t="n">
        <v>249</v>
      </c>
      <c r="B250" s="34" t="s">
        <v>2949</v>
      </c>
      <c r="C250" s="34" t="n">
        <v>1</v>
      </c>
      <c r="D250" s="34" t="s">
        <v>5423</v>
      </c>
      <c r="E250" s="24" t="n">
        <v>46310.8074652778</v>
      </c>
      <c r="F250" s="33" t="n">
        <f aca="false">FLOOR(E250,1/24)</f>
        <v>46310.7916666667</v>
      </c>
      <c r="G250" s="34"/>
    </row>
    <row r="251" customFormat="false" ht="15" hidden="false" customHeight="false" outlineLevel="0" collapsed="false">
      <c r="A251" s="34" t="n">
        <v>250</v>
      </c>
      <c r="B251" s="34" t="s">
        <v>2965</v>
      </c>
      <c r="C251" s="34" t="n">
        <v>1</v>
      </c>
      <c r="D251" s="34" t="s">
        <v>5423</v>
      </c>
      <c r="E251" s="24" t="n">
        <v>46310.8090277778</v>
      </c>
      <c r="F251" s="33" t="n">
        <f aca="false">FLOOR(E251,1/24)</f>
        <v>46310.7916666667</v>
      </c>
      <c r="G251" s="34"/>
    </row>
    <row r="252" customFormat="false" ht="15" hidden="false" customHeight="false" outlineLevel="0" collapsed="false">
      <c r="A252" s="34" t="n">
        <v>251</v>
      </c>
      <c r="B252" s="34" t="s">
        <v>2986</v>
      </c>
      <c r="C252" s="34" t="n">
        <v>1</v>
      </c>
      <c r="D252" s="34" t="s">
        <v>5423</v>
      </c>
      <c r="E252" s="24" t="n">
        <v>46310.8107638889</v>
      </c>
      <c r="F252" s="33" t="n">
        <f aca="false">FLOOR(E252,1/24)</f>
        <v>46310.7916666667</v>
      </c>
      <c r="G252" s="34"/>
    </row>
    <row r="253" customFormat="false" ht="15" hidden="false" customHeight="false" outlineLevel="0" collapsed="false">
      <c r="A253" s="34" t="n">
        <v>252</v>
      </c>
      <c r="B253" s="34" t="s">
        <v>3001</v>
      </c>
      <c r="C253" s="34" t="n">
        <v>1</v>
      </c>
      <c r="D253" s="34" t="s">
        <v>5423</v>
      </c>
      <c r="E253" s="24" t="n">
        <v>46310.8125231482</v>
      </c>
      <c r="F253" s="33" t="n">
        <f aca="false">FLOOR(E253,1/24)</f>
        <v>46310.7916666667</v>
      </c>
      <c r="G253" s="34"/>
    </row>
    <row r="254" customFormat="false" ht="15" hidden="false" customHeight="false" outlineLevel="0" collapsed="false">
      <c r="A254" s="34" t="n">
        <v>253</v>
      </c>
      <c r="B254" s="34" t="s">
        <v>3021</v>
      </c>
      <c r="C254" s="34" t="n">
        <v>1</v>
      </c>
      <c r="D254" s="34" t="s">
        <v>5423</v>
      </c>
      <c r="E254" s="24" t="n">
        <v>46310.8146180556</v>
      </c>
      <c r="F254" s="33" t="n">
        <f aca="false">FLOOR(E254,1/24)</f>
        <v>46310.7916666667</v>
      </c>
      <c r="G254" s="34"/>
    </row>
    <row r="255" customFormat="false" ht="15" hidden="false" customHeight="false" outlineLevel="0" collapsed="false">
      <c r="A255" s="34" t="n">
        <v>254</v>
      </c>
      <c r="B255" s="34" t="s">
        <v>3038</v>
      </c>
      <c r="C255" s="34" t="n">
        <v>1</v>
      </c>
      <c r="D255" s="34" t="s">
        <v>5423</v>
      </c>
      <c r="E255" s="24" t="n">
        <v>46310.8162962963</v>
      </c>
      <c r="F255" s="33" t="n">
        <f aca="false">FLOOR(E255,1/24)</f>
        <v>46310.7916666667</v>
      </c>
      <c r="G255" s="34"/>
    </row>
    <row r="256" customFormat="false" ht="15" hidden="false" customHeight="false" outlineLevel="0" collapsed="false">
      <c r="A256" s="34" t="n">
        <v>255</v>
      </c>
      <c r="B256" s="34" t="s">
        <v>3057</v>
      </c>
      <c r="C256" s="34" t="n">
        <v>1</v>
      </c>
      <c r="D256" s="34" t="s">
        <v>5423</v>
      </c>
      <c r="E256" s="24" t="n">
        <v>46310.8178472222</v>
      </c>
      <c r="F256" s="33" t="n">
        <f aca="false">FLOOR(E256,1/24)</f>
        <v>46310.7916666667</v>
      </c>
      <c r="G256" s="34"/>
    </row>
    <row r="257" customFormat="false" ht="15" hidden="false" customHeight="false" outlineLevel="0" collapsed="false">
      <c r="A257" s="34" t="n">
        <v>256</v>
      </c>
      <c r="B257" s="34" t="s">
        <v>3073</v>
      </c>
      <c r="C257" s="34" t="n">
        <v>1</v>
      </c>
      <c r="D257" s="34" t="s">
        <v>5423</v>
      </c>
      <c r="E257" s="24" t="n">
        <v>46310.8195717593</v>
      </c>
      <c r="F257" s="33" t="n">
        <f aca="false">FLOOR(E257,1/24)</f>
        <v>46310.7916666667</v>
      </c>
      <c r="G257" s="34"/>
    </row>
    <row r="258" customFormat="false" ht="15" hidden="false" customHeight="false" outlineLevel="0" collapsed="false">
      <c r="A258" s="34" t="n">
        <v>257</v>
      </c>
      <c r="B258" s="34" t="s">
        <v>3092</v>
      </c>
      <c r="C258" s="34" t="n">
        <v>1</v>
      </c>
      <c r="D258" s="34" t="s">
        <v>5423</v>
      </c>
      <c r="E258" s="24" t="n">
        <v>46310.8213425926</v>
      </c>
      <c r="F258" s="33" t="n">
        <f aca="false">FLOOR(E258,1/24)</f>
        <v>46310.7916666667</v>
      </c>
      <c r="G258" s="34"/>
    </row>
    <row r="259" customFormat="false" ht="15" hidden="false" customHeight="false" outlineLevel="0" collapsed="false">
      <c r="A259" s="34" t="n">
        <v>258</v>
      </c>
      <c r="B259" s="34" t="s">
        <v>3109</v>
      </c>
      <c r="C259" s="34" t="n">
        <v>1</v>
      </c>
      <c r="D259" s="34" t="s">
        <v>5423</v>
      </c>
      <c r="E259" s="24" t="n">
        <v>46310.8230902778</v>
      </c>
      <c r="F259" s="33" t="n">
        <f aca="false">FLOOR(E259,1/24)</f>
        <v>46310.7916666667</v>
      </c>
      <c r="G259" s="34"/>
    </row>
    <row r="260" customFormat="false" ht="15" hidden="false" customHeight="false" outlineLevel="0" collapsed="false">
      <c r="A260" s="34" t="n">
        <v>259</v>
      </c>
      <c r="B260" s="34" t="s">
        <v>3126</v>
      </c>
      <c r="C260" s="34" t="n">
        <v>1</v>
      </c>
      <c r="D260" s="34" t="s">
        <v>5423</v>
      </c>
      <c r="E260" s="24" t="n">
        <v>46310.8242708333</v>
      </c>
      <c r="F260" s="33" t="n">
        <f aca="false">FLOOR(E260,1/24)</f>
        <v>46310.7916666667</v>
      </c>
      <c r="G260" s="34"/>
    </row>
    <row r="261" customFormat="false" ht="15" hidden="false" customHeight="false" outlineLevel="0" collapsed="false">
      <c r="A261" s="34" t="n">
        <v>260</v>
      </c>
      <c r="B261" s="34" t="s">
        <v>3145</v>
      </c>
      <c r="C261" s="34" t="n">
        <v>1</v>
      </c>
      <c r="D261" s="34" t="s">
        <v>5423</v>
      </c>
      <c r="E261" s="24" t="n">
        <v>46310.8258680556</v>
      </c>
      <c r="F261" s="33" t="n">
        <f aca="false">FLOOR(E261,1/24)</f>
        <v>46310.7916666667</v>
      </c>
      <c r="G261" s="34"/>
    </row>
    <row r="262" customFormat="false" ht="15" hidden="false" customHeight="false" outlineLevel="0" collapsed="false">
      <c r="A262" s="34" t="n">
        <v>261</v>
      </c>
      <c r="B262" s="34" t="s">
        <v>3164</v>
      </c>
      <c r="C262" s="34" t="n">
        <v>1</v>
      </c>
      <c r="D262" s="34" t="s">
        <v>5423</v>
      </c>
      <c r="E262" s="24" t="n">
        <v>46310.8275810185</v>
      </c>
      <c r="F262" s="33" t="n">
        <f aca="false">FLOOR(E262,1/24)</f>
        <v>46310.7916666667</v>
      </c>
      <c r="G262" s="34"/>
    </row>
    <row r="263" customFormat="false" ht="15" hidden="false" customHeight="false" outlineLevel="0" collapsed="false">
      <c r="A263" s="34" t="n">
        <v>262</v>
      </c>
      <c r="B263" s="34" t="s">
        <v>3182</v>
      </c>
      <c r="C263" s="34" t="n">
        <v>1</v>
      </c>
      <c r="D263" s="34" t="s">
        <v>5423</v>
      </c>
      <c r="E263" s="24" t="n">
        <v>46310.8290393519</v>
      </c>
      <c r="F263" s="33" t="n">
        <f aca="false">FLOOR(E263,1/24)</f>
        <v>46310.7916666667</v>
      </c>
      <c r="G263" s="34"/>
    </row>
    <row r="264" customFormat="false" ht="15" hidden="false" customHeight="false" outlineLevel="0" collapsed="false">
      <c r="A264" s="34" t="n">
        <v>263</v>
      </c>
      <c r="B264" s="34" t="s">
        <v>3200</v>
      </c>
      <c r="C264" s="34" t="n">
        <v>1</v>
      </c>
      <c r="D264" s="34" t="s">
        <v>5423</v>
      </c>
      <c r="E264" s="24" t="n">
        <v>46310.8306018519</v>
      </c>
      <c r="F264" s="33" t="n">
        <f aca="false">FLOOR(E264,1/24)</f>
        <v>46310.7916666667</v>
      </c>
      <c r="G264" s="34"/>
    </row>
    <row r="265" customFormat="false" ht="15" hidden="false" customHeight="false" outlineLevel="0" collapsed="false">
      <c r="A265" s="34" t="n">
        <v>264</v>
      </c>
      <c r="B265" s="34" t="s">
        <v>3216</v>
      </c>
      <c r="C265" s="34" t="n">
        <v>1</v>
      </c>
      <c r="D265" s="34" t="s">
        <v>5423</v>
      </c>
      <c r="E265" s="24" t="n">
        <v>46310.8321643519</v>
      </c>
      <c r="F265" s="33" t="n">
        <f aca="false">FLOOR(E265,1/24)</f>
        <v>46310.7916666667</v>
      </c>
      <c r="G265" s="34"/>
    </row>
    <row r="266" customFormat="false" ht="15" hidden="false" customHeight="false" outlineLevel="0" collapsed="false">
      <c r="A266" s="34" t="n">
        <v>265</v>
      </c>
      <c r="B266" s="34" t="s">
        <v>3233</v>
      </c>
      <c r="C266" s="34" t="n">
        <v>1</v>
      </c>
      <c r="D266" s="34" t="s">
        <v>5423</v>
      </c>
      <c r="E266" s="24" t="n">
        <v>46310.8337731482</v>
      </c>
      <c r="F266" s="33" t="n">
        <f aca="false">FLOOR(E266,1/24)</f>
        <v>46310.8333333333</v>
      </c>
      <c r="G266" s="34"/>
    </row>
    <row r="267" customFormat="false" ht="15" hidden="false" customHeight="false" outlineLevel="0" collapsed="false">
      <c r="A267" s="34" t="n">
        <v>266</v>
      </c>
      <c r="B267" s="34" t="s">
        <v>3252</v>
      </c>
      <c r="C267" s="34" t="n">
        <v>1</v>
      </c>
      <c r="D267" s="34" t="s">
        <v>5423</v>
      </c>
      <c r="E267" s="24" t="n">
        <v>46310.8353472222</v>
      </c>
      <c r="F267" s="33" t="n">
        <f aca="false">FLOOR(E267,1/24)</f>
        <v>46310.8333333333</v>
      </c>
      <c r="G267" s="34"/>
    </row>
    <row r="268" customFormat="false" ht="15" hidden="false" customHeight="false" outlineLevel="0" collapsed="false">
      <c r="A268" s="34" t="n">
        <v>267</v>
      </c>
      <c r="B268" s="34" t="s">
        <v>3271</v>
      </c>
      <c r="C268" s="34" t="n">
        <v>1</v>
      </c>
      <c r="D268" s="34" t="s">
        <v>5423</v>
      </c>
      <c r="E268" s="24" t="n">
        <v>46310.8368981482</v>
      </c>
      <c r="F268" s="33" t="n">
        <f aca="false">FLOOR(E268,1/24)</f>
        <v>46310.8333333333</v>
      </c>
      <c r="G268" s="34"/>
    </row>
    <row r="269" customFormat="false" ht="15" hidden="false" customHeight="false" outlineLevel="0" collapsed="false">
      <c r="A269" s="34" t="n">
        <v>268</v>
      </c>
      <c r="B269" s="34" t="s">
        <v>3288</v>
      </c>
      <c r="C269" s="34" t="n">
        <v>1</v>
      </c>
      <c r="D269" s="34" t="s">
        <v>5423</v>
      </c>
      <c r="E269" s="24" t="n">
        <v>46310.8385648148</v>
      </c>
      <c r="F269" s="33" t="n">
        <f aca="false">FLOOR(E269,1/24)</f>
        <v>46310.8333333333</v>
      </c>
      <c r="G269" s="34"/>
    </row>
    <row r="270" customFormat="false" ht="15" hidden="false" customHeight="false" outlineLevel="0" collapsed="false">
      <c r="A270" s="34" t="n">
        <v>269</v>
      </c>
      <c r="B270" s="34" t="s">
        <v>3308</v>
      </c>
      <c r="C270" s="34" t="n">
        <v>1</v>
      </c>
      <c r="D270" s="34" t="s">
        <v>5423</v>
      </c>
      <c r="E270" s="24" t="n">
        <v>46310.8400810185</v>
      </c>
      <c r="F270" s="33" t="n">
        <f aca="false">FLOOR(E270,1/24)</f>
        <v>46310.8333333333</v>
      </c>
      <c r="G270" s="34"/>
    </row>
    <row r="271" customFormat="false" ht="15" hidden="false" customHeight="false" outlineLevel="0" collapsed="false">
      <c r="A271" s="34" t="n">
        <v>270</v>
      </c>
      <c r="B271" s="34" t="s">
        <v>3327</v>
      </c>
      <c r="C271" s="34" t="n">
        <v>1</v>
      </c>
      <c r="D271" s="34" t="s">
        <v>5423</v>
      </c>
      <c r="E271" s="24" t="n">
        <v>46310.8418865741</v>
      </c>
      <c r="F271" s="33" t="n">
        <f aca="false">FLOOR(E271,1/24)</f>
        <v>46310.8333333333</v>
      </c>
      <c r="G271" s="34"/>
    </row>
    <row r="272" customFormat="false" ht="15" hidden="false" customHeight="false" outlineLevel="0" collapsed="false">
      <c r="A272" s="34" t="n">
        <v>271</v>
      </c>
      <c r="B272" s="34" t="s">
        <v>3346</v>
      </c>
      <c r="C272" s="34" t="n">
        <v>1</v>
      </c>
      <c r="D272" s="34" t="s">
        <v>5423</v>
      </c>
      <c r="E272" s="24" t="n">
        <v>46310.8436111111</v>
      </c>
      <c r="F272" s="33" t="n">
        <f aca="false">FLOOR(E272,1/24)</f>
        <v>46310.8333333333</v>
      </c>
      <c r="G272" s="34"/>
    </row>
    <row r="273" customFormat="false" ht="15" hidden="false" customHeight="false" outlineLevel="0" collapsed="false">
      <c r="A273" s="34" t="n">
        <v>272</v>
      </c>
      <c r="B273" s="34" t="s">
        <v>3366</v>
      </c>
      <c r="C273" s="34" t="n">
        <v>1</v>
      </c>
      <c r="D273" s="34" t="s">
        <v>5424</v>
      </c>
      <c r="E273" s="24" t="n">
        <v>46310.8453240741</v>
      </c>
      <c r="F273" s="33" t="n">
        <f aca="false">FLOOR(E273,1/24)</f>
        <v>46310.8333333333</v>
      </c>
      <c r="G273" s="34" t="s">
        <v>5425</v>
      </c>
    </row>
    <row r="274" customFormat="false" ht="15" hidden="false" customHeight="false" outlineLevel="0" collapsed="false">
      <c r="A274" s="34" t="n">
        <v>273</v>
      </c>
      <c r="B274" s="34" t="s">
        <v>3366</v>
      </c>
      <c r="C274" s="34" t="n">
        <v>2</v>
      </c>
      <c r="D274" s="34" t="s">
        <v>5424</v>
      </c>
      <c r="E274" s="24" t="n">
        <v>46310.85</v>
      </c>
      <c r="F274" s="33" t="n">
        <f aca="false">FLOOR(E274,1/24)</f>
        <v>46310.8333333333</v>
      </c>
      <c r="G274" s="34" t="s">
        <v>5425</v>
      </c>
    </row>
    <row r="275" customFormat="false" ht="15" hidden="false" customHeight="false" outlineLevel="0" collapsed="false">
      <c r="A275" s="34" t="n">
        <v>274</v>
      </c>
      <c r="B275" s="34" t="s">
        <v>3366</v>
      </c>
      <c r="C275" s="34" t="n">
        <v>3</v>
      </c>
      <c r="D275" s="34" t="s">
        <v>5423</v>
      </c>
      <c r="E275" s="24" t="n">
        <v>46310.8550115741</v>
      </c>
      <c r="F275" s="33" t="n">
        <f aca="false">FLOOR(E275,1/24)</f>
        <v>46310.8333333333</v>
      </c>
      <c r="G275" s="34"/>
    </row>
    <row r="276" customFormat="false" ht="15" hidden="false" customHeight="false" outlineLevel="0" collapsed="false">
      <c r="A276" s="34" t="n">
        <v>275</v>
      </c>
      <c r="B276" s="34" t="s">
        <v>3384</v>
      </c>
      <c r="C276" s="34" t="n">
        <v>1</v>
      </c>
      <c r="D276" s="34" t="s">
        <v>5424</v>
      </c>
      <c r="E276" s="24" t="n">
        <v>46310.8565856482</v>
      </c>
      <c r="F276" s="33" t="n">
        <f aca="false">FLOOR(E276,1/24)</f>
        <v>46310.8333333333</v>
      </c>
      <c r="G276" s="34" t="s">
        <v>5425</v>
      </c>
    </row>
    <row r="277" customFormat="false" ht="15" hidden="false" customHeight="false" outlineLevel="0" collapsed="false">
      <c r="A277" s="34" t="n">
        <v>276</v>
      </c>
      <c r="B277" s="34" t="s">
        <v>3384</v>
      </c>
      <c r="C277" s="34" t="n">
        <v>2</v>
      </c>
      <c r="D277" s="34" t="s">
        <v>5423</v>
      </c>
      <c r="E277" s="24" t="n">
        <v>46310.8611689815</v>
      </c>
      <c r="F277" s="33" t="n">
        <f aca="false">FLOOR(E277,1/24)</f>
        <v>46310.8333333333</v>
      </c>
      <c r="G277" s="34"/>
    </row>
    <row r="278" customFormat="false" ht="15" hidden="false" customHeight="false" outlineLevel="0" collapsed="false">
      <c r="A278" s="34" t="n">
        <v>277</v>
      </c>
      <c r="B278" s="34" t="s">
        <v>3403</v>
      </c>
      <c r="C278" s="34" t="n">
        <v>1</v>
      </c>
      <c r="D278" s="34" t="s">
        <v>5423</v>
      </c>
      <c r="E278" s="24" t="n">
        <v>46310.8628356482</v>
      </c>
      <c r="F278" s="33" t="n">
        <f aca="false">FLOOR(E278,1/24)</f>
        <v>46310.8333333333</v>
      </c>
      <c r="G278" s="34"/>
    </row>
    <row r="279" customFormat="false" ht="15" hidden="false" customHeight="false" outlineLevel="0" collapsed="false">
      <c r="A279" s="34" t="n">
        <v>278</v>
      </c>
      <c r="B279" s="34" t="s">
        <v>3420</v>
      </c>
      <c r="C279" s="34" t="n">
        <v>1</v>
      </c>
      <c r="D279" s="34" t="s">
        <v>5424</v>
      </c>
      <c r="E279" s="24" t="n">
        <v>46310.8644328704</v>
      </c>
      <c r="F279" s="33" t="n">
        <f aca="false">FLOOR(E279,1/24)</f>
        <v>46310.8333333333</v>
      </c>
      <c r="G279" s="34" t="s">
        <v>5425</v>
      </c>
    </row>
    <row r="280" customFormat="false" ht="15" hidden="false" customHeight="false" outlineLevel="0" collapsed="false">
      <c r="A280" s="34" t="n">
        <v>279</v>
      </c>
      <c r="B280" s="34" t="s">
        <v>3420</v>
      </c>
      <c r="C280" s="34" t="n">
        <v>2</v>
      </c>
      <c r="D280" s="34" t="s">
        <v>5424</v>
      </c>
      <c r="E280" s="24" t="n">
        <v>46310.8690393519</v>
      </c>
      <c r="F280" s="33" t="n">
        <f aca="false">FLOOR(E280,1/24)</f>
        <v>46310.8333333333</v>
      </c>
      <c r="G280" s="34" t="s">
        <v>5425</v>
      </c>
    </row>
    <row r="281" customFormat="false" ht="15" hidden="false" customHeight="false" outlineLevel="0" collapsed="false">
      <c r="A281" s="34" t="n">
        <v>280</v>
      </c>
      <c r="B281" s="34" t="s">
        <v>3420</v>
      </c>
      <c r="C281" s="34" t="n">
        <v>3</v>
      </c>
      <c r="D281" s="34" t="s">
        <v>5423</v>
      </c>
      <c r="E281" s="24" t="n">
        <v>46310.8739814815</v>
      </c>
      <c r="F281" s="33" t="n">
        <f aca="false">FLOOR(E281,1/24)</f>
        <v>46310.8333333333</v>
      </c>
      <c r="G281" s="34"/>
    </row>
    <row r="282" customFormat="false" ht="15" hidden="false" customHeight="false" outlineLevel="0" collapsed="false">
      <c r="A282" s="34" t="n">
        <v>281</v>
      </c>
      <c r="B282" s="34" t="s">
        <v>3437</v>
      </c>
      <c r="C282" s="34" t="n">
        <v>1</v>
      </c>
      <c r="D282" s="34" t="s">
        <v>5423</v>
      </c>
      <c r="E282" s="24" t="n">
        <v>46310.8757638889</v>
      </c>
      <c r="F282" s="33" t="n">
        <f aca="false">FLOOR(E282,1/24)</f>
        <v>46310.875</v>
      </c>
      <c r="G282" s="34"/>
    </row>
    <row r="283" customFormat="false" ht="15" hidden="false" customHeight="false" outlineLevel="0" collapsed="false">
      <c r="A283" s="34" t="n">
        <v>282</v>
      </c>
      <c r="B283" s="34" t="s">
        <v>3457</v>
      </c>
      <c r="C283" s="34" t="n">
        <v>1</v>
      </c>
      <c r="D283" s="34" t="s">
        <v>5423</v>
      </c>
      <c r="E283" s="24" t="n">
        <v>46310.8788194444</v>
      </c>
      <c r="F283" s="33" t="n">
        <f aca="false">FLOOR(E283,1/24)</f>
        <v>46310.875</v>
      </c>
      <c r="G283" s="34"/>
    </row>
    <row r="284" customFormat="false" ht="15" hidden="false" customHeight="false" outlineLevel="0" collapsed="false">
      <c r="A284" s="34" t="n">
        <v>283</v>
      </c>
      <c r="B284" s="34" t="s">
        <v>3474</v>
      </c>
      <c r="C284" s="34" t="n">
        <v>1</v>
      </c>
      <c r="D284" s="34" t="s">
        <v>5423</v>
      </c>
      <c r="E284" s="24" t="n">
        <v>46310.8802893519</v>
      </c>
      <c r="F284" s="33" t="n">
        <f aca="false">FLOOR(E284,1/24)</f>
        <v>46310.875</v>
      </c>
      <c r="G284" s="34"/>
    </row>
    <row r="285" customFormat="false" ht="15" hidden="false" customHeight="false" outlineLevel="0" collapsed="false">
      <c r="A285" s="34" t="n">
        <v>284</v>
      </c>
      <c r="B285" s="34" t="s">
        <v>3493</v>
      </c>
      <c r="C285" s="34" t="n">
        <v>1</v>
      </c>
      <c r="D285" s="34" t="s">
        <v>5423</v>
      </c>
      <c r="E285" s="24" t="n">
        <v>46310.8820486111</v>
      </c>
      <c r="F285" s="33" t="n">
        <f aca="false">FLOOR(E285,1/24)</f>
        <v>46310.875</v>
      </c>
      <c r="G285" s="34"/>
    </row>
    <row r="286" customFormat="false" ht="15" hidden="false" customHeight="false" outlineLevel="0" collapsed="false">
      <c r="A286" s="34" t="n">
        <v>285</v>
      </c>
      <c r="B286" s="34" t="s">
        <v>3509</v>
      </c>
      <c r="C286" s="34" t="n">
        <v>1</v>
      </c>
      <c r="D286" s="34" t="s">
        <v>5423</v>
      </c>
      <c r="E286" s="24" t="n">
        <v>46310.8835416667</v>
      </c>
      <c r="F286" s="33" t="n">
        <f aca="false">FLOOR(E286,1/24)</f>
        <v>46310.875</v>
      </c>
      <c r="G286" s="34"/>
    </row>
    <row r="287" customFormat="false" ht="15" hidden="false" customHeight="false" outlineLevel="0" collapsed="false">
      <c r="A287" s="34" t="n">
        <v>286</v>
      </c>
      <c r="B287" s="34" t="s">
        <v>3528</v>
      </c>
      <c r="C287" s="34" t="n">
        <v>1</v>
      </c>
      <c r="D287" s="34" t="s">
        <v>5423</v>
      </c>
      <c r="E287" s="24" t="n">
        <v>46310.8851157407</v>
      </c>
      <c r="F287" s="33" t="n">
        <f aca="false">FLOOR(E287,1/24)</f>
        <v>46310.875</v>
      </c>
      <c r="G287" s="34"/>
    </row>
    <row r="288" customFormat="false" ht="15" hidden="false" customHeight="false" outlineLevel="0" collapsed="false">
      <c r="A288" s="34" t="n">
        <v>287</v>
      </c>
      <c r="B288" s="34" t="s">
        <v>3546</v>
      </c>
      <c r="C288" s="34" t="n">
        <v>1</v>
      </c>
      <c r="D288" s="34" t="s">
        <v>5423</v>
      </c>
      <c r="E288" s="24" t="n">
        <v>46310.8865393519</v>
      </c>
      <c r="F288" s="33" t="n">
        <f aca="false">FLOOR(E288,1/24)</f>
        <v>46310.875</v>
      </c>
      <c r="G288" s="34"/>
    </row>
    <row r="289" customFormat="false" ht="15" hidden="false" customHeight="false" outlineLevel="0" collapsed="false">
      <c r="A289" s="34" t="n">
        <v>288</v>
      </c>
      <c r="B289" s="34" t="s">
        <v>3565</v>
      </c>
      <c r="C289" s="34" t="n">
        <v>1</v>
      </c>
      <c r="D289" s="34" t="s">
        <v>5423</v>
      </c>
      <c r="E289" s="24" t="n">
        <v>46310.8880439815</v>
      </c>
      <c r="F289" s="33" t="n">
        <f aca="false">FLOOR(E289,1/24)</f>
        <v>46310.875</v>
      </c>
      <c r="G289" s="34"/>
    </row>
    <row r="290" customFormat="false" ht="15" hidden="false" customHeight="false" outlineLevel="0" collapsed="false">
      <c r="A290" s="34" t="n">
        <v>289</v>
      </c>
      <c r="B290" s="34" t="s">
        <v>3583</v>
      </c>
      <c r="C290" s="34" t="n">
        <v>1</v>
      </c>
      <c r="D290" s="34" t="s">
        <v>5423</v>
      </c>
      <c r="E290" s="24" t="n">
        <v>46310.8893865741</v>
      </c>
      <c r="F290" s="33" t="n">
        <f aca="false">FLOOR(E290,1/24)</f>
        <v>46310.875</v>
      </c>
      <c r="G290" s="34"/>
    </row>
    <row r="291" customFormat="false" ht="15" hidden="false" customHeight="false" outlineLevel="0" collapsed="false">
      <c r="A291" s="34" t="n">
        <v>290</v>
      </c>
      <c r="B291" s="34" t="s">
        <v>3599</v>
      </c>
      <c r="C291" s="34" t="n">
        <v>1</v>
      </c>
      <c r="D291" s="34" t="s">
        <v>5424</v>
      </c>
      <c r="E291" s="24" t="n">
        <v>46310.8908564815</v>
      </c>
      <c r="F291" s="33" t="n">
        <f aca="false">FLOOR(E291,1/24)</f>
        <v>46310.875</v>
      </c>
      <c r="G291" s="34" t="s">
        <v>5425</v>
      </c>
    </row>
    <row r="292" customFormat="false" ht="15" hidden="false" customHeight="false" outlineLevel="0" collapsed="false">
      <c r="A292" s="34" t="n">
        <v>291</v>
      </c>
      <c r="B292" s="34" t="s">
        <v>3599</v>
      </c>
      <c r="C292" s="34" t="n">
        <v>2</v>
      </c>
      <c r="D292" s="34" t="s">
        <v>5423</v>
      </c>
      <c r="E292" s="24" t="n">
        <v>46310.8954398148</v>
      </c>
      <c r="F292" s="33" t="n">
        <f aca="false">FLOOR(E292,1/24)</f>
        <v>46310.875</v>
      </c>
      <c r="G292" s="34"/>
    </row>
    <row r="293" customFormat="false" ht="15" hidden="false" customHeight="false" outlineLevel="0" collapsed="false">
      <c r="A293" s="34" t="n">
        <v>292</v>
      </c>
      <c r="B293" s="34" t="s">
        <v>3616</v>
      </c>
      <c r="C293" s="34" t="n">
        <v>1</v>
      </c>
      <c r="D293" s="34" t="s">
        <v>5423</v>
      </c>
      <c r="E293" s="24" t="n">
        <v>46310.8977083333</v>
      </c>
      <c r="F293" s="33" t="n">
        <f aca="false">FLOOR(E293,1/24)</f>
        <v>46310.875</v>
      </c>
      <c r="G293" s="34"/>
    </row>
    <row r="294" customFormat="false" ht="15" hidden="false" customHeight="false" outlineLevel="0" collapsed="false">
      <c r="A294" s="34" t="n">
        <v>293</v>
      </c>
      <c r="B294" s="34" t="s">
        <v>3636</v>
      </c>
      <c r="C294" s="34" t="n">
        <v>1</v>
      </c>
      <c r="D294" s="34" t="s">
        <v>5423</v>
      </c>
      <c r="E294" s="24" t="n">
        <v>46310.8992476852</v>
      </c>
      <c r="F294" s="33" t="n">
        <f aca="false">FLOOR(E294,1/24)</f>
        <v>46310.875</v>
      </c>
      <c r="G294" s="34"/>
    </row>
    <row r="295" customFormat="false" ht="15" hidden="false" customHeight="false" outlineLevel="0" collapsed="false">
      <c r="A295" s="34" t="n">
        <v>294</v>
      </c>
      <c r="B295" s="34" t="s">
        <v>3653</v>
      </c>
      <c r="C295" s="34" t="n">
        <v>1</v>
      </c>
      <c r="D295" s="34" t="s">
        <v>5423</v>
      </c>
      <c r="E295" s="24" t="n">
        <v>46310.9014351852</v>
      </c>
      <c r="F295" s="33" t="n">
        <f aca="false">FLOOR(E295,1/24)</f>
        <v>46310.875</v>
      </c>
      <c r="G295" s="34"/>
    </row>
    <row r="296" customFormat="false" ht="15" hidden="false" customHeight="false" outlineLevel="0" collapsed="false">
      <c r="A296" s="34" t="n">
        <v>295</v>
      </c>
      <c r="B296" s="34" t="s">
        <v>3671</v>
      </c>
      <c r="C296" s="34" t="n">
        <v>1</v>
      </c>
      <c r="D296" s="34" t="s">
        <v>5423</v>
      </c>
      <c r="E296" s="24" t="n">
        <v>46310.9029976852</v>
      </c>
      <c r="F296" s="33" t="n">
        <f aca="false">FLOOR(E296,1/24)</f>
        <v>46310.875</v>
      </c>
      <c r="G296" s="34"/>
    </row>
    <row r="297" customFormat="false" ht="15" hidden="false" customHeight="false" outlineLevel="0" collapsed="false">
      <c r="A297" s="34" t="n">
        <v>296</v>
      </c>
      <c r="B297" s="34" t="s">
        <v>3686</v>
      </c>
      <c r="C297" s="34" t="n">
        <v>1</v>
      </c>
      <c r="D297" s="34" t="s">
        <v>5423</v>
      </c>
      <c r="E297" s="24" t="n">
        <v>46310.9042824074</v>
      </c>
      <c r="F297" s="33" t="n">
        <f aca="false">FLOOR(E297,1/24)</f>
        <v>46310.875</v>
      </c>
      <c r="G297" s="34"/>
    </row>
    <row r="298" customFormat="false" ht="15" hidden="false" customHeight="false" outlineLevel="0" collapsed="false">
      <c r="A298" s="34" t="n">
        <v>297</v>
      </c>
      <c r="B298" s="34" t="s">
        <v>3703</v>
      </c>
      <c r="C298" s="34" t="n">
        <v>1</v>
      </c>
      <c r="D298" s="34" t="s">
        <v>5424</v>
      </c>
      <c r="E298" s="24" t="n">
        <v>46310.9057986111</v>
      </c>
      <c r="F298" s="33" t="n">
        <f aca="false">FLOOR(E298,1/24)</f>
        <v>46310.875</v>
      </c>
      <c r="G298" s="34" t="s">
        <v>5425</v>
      </c>
    </row>
    <row r="299" customFormat="false" ht="15" hidden="false" customHeight="false" outlineLevel="0" collapsed="false">
      <c r="A299" s="34" t="n">
        <v>298</v>
      </c>
      <c r="B299" s="34" t="s">
        <v>3703</v>
      </c>
      <c r="C299" s="34" t="n">
        <v>2</v>
      </c>
      <c r="D299" s="34" t="s">
        <v>5423</v>
      </c>
      <c r="E299" s="24" t="n">
        <v>46310.9103819444</v>
      </c>
      <c r="F299" s="33" t="n">
        <f aca="false">FLOOR(E299,1/24)</f>
        <v>46310.875</v>
      </c>
      <c r="G299" s="34"/>
    </row>
    <row r="300" customFormat="false" ht="15" hidden="false" customHeight="false" outlineLevel="0" collapsed="false">
      <c r="A300" s="34" t="n">
        <v>299</v>
      </c>
      <c r="B300" s="34" t="s">
        <v>3721</v>
      </c>
      <c r="C300" s="34" t="n">
        <v>1</v>
      </c>
      <c r="D300" s="34" t="s">
        <v>5423</v>
      </c>
      <c r="E300" s="24" t="n">
        <v>46310.9120023148</v>
      </c>
      <c r="F300" s="33" t="n">
        <f aca="false">FLOOR(E300,1/24)</f>
        <v>46310.875</v>
      </c>
      <c r="G300" s="34"/>
    </row>
    <row r="301" customFormat="false" ht="15" hidden="false" customHeight="false" outlineLevel="0" collapsed="false">
      <c r="A301" s="34" t="n">
        <v>300</v>
      </c>
      <c r="B301" s="34" t="s">
        <v>3737</v>
      </c>
      <c r="C301" s="34" t="n">
        <v>1</v>
      </c>
      <c r="D301" s="34" t="s">
        <v>5423</v>
      </c>
      <c r="E301" s="24" t="n">
        <v>46310.9133680556</v>
      </c>
      <c r="F301" s="33" t="n">
        <f aca="false">FLOOR(E301,1/24)</f>
        <v>46310.875</v>
      </c>
      <c r="G301" s="34"/>
    </row>
    <row r="302" customFormat="false" ht="15" hidden="false" customHeight="false" outlineLevel="0" collapsed="false">
      <c r="A302" s="34" t="n">
        <v>301</v>
      </c>
      <c r="B302" s="34" t="s">
        <v>3754</v>
      </c>
      <c r="C302" s="34" t="n">
        <v>1</v>
      </c>
      <c r="D302" s="34" t="s">
        <v>5423</v>
      </c>
      <c r="E302" s="24" t="n">
        <v>46310.914837963</v>
      </c>
      <c r="F302" s="33" t="n">
        <f aca="false">FLOOR(E302,1/24)</f>
        <v>46310.875</v>
      </c>
      <c r="G302" s="34"/>
    </row>
    <row r="303" customFormat="false" ht="15" hidden="false" customHeight="false" outlineLevel="0" collapsed="false">
      <c r="A303" s="34" t="n">
        <v>302</v>
      </c>
      <c r="B303" s="34" t="s">
        <v>3770</v>
      </c>
      <c r="C303" s="34" t="n">
        <v>1</v>
      </c>
      <c r="D303" s="34" t="s">
        <v>5424</v>
      </c>
      <c r="E303" s="24" t="n">
        <v>46310.9162962963</v>
      </c>
      <c r="F303" s="33" t="n">
        <f aca="false">FLOOR(E303,1/24)</f>
        <v>46310.875</v>
      </c>
      <c r="G303" s="34" t="s">
        <v>5425</v>
      </c>
    </row>
    <row r="304" customFormat="false" ht="15" hidden="false" customHeight="false" outlineLevel="0" collapsed="false">
      <c r="A304" s="34" t="n">
        <v>303</v>
      </c>
      <c r="B304" s="34" t="s">
        <v>3770</v>
      </c>
      <c r="C304" s="34" t="n">
        <v>2</v>
      </c>
      <c r="D304" s="34" t="s">
        <v>5423</v>
      </c>
      <c r="E304" s="24" t="n">
        <v>46310.9208796296</v>
      </c>
      <c r="F304" s="33" t="n">
        <f aca="false">FLOOR(E304,1/24)</f>
        <v>46310.9166666667</v>
      </c>
      <c r="G304" s="34"/>
    </row>
    <row r="305" customFormat="false" ht="15" hidden="false" customHeight="false" outlineLevel="0" collapsed="false">
      <c r="A305" s="34" t="n">
        <v>304</v>
      </c>
      <c r="B305" s="34" t="s">
        <v>3787</v>
      </c>
      <c r="C305" s="34" t="n">
        <v>1</v>
      </c>
      <c r="D305" s="34" t="s">
        <v>5423</v>
      </c>
      <c r="E305" s="24" t="n">
        <v>46310.9225810185</v>
      </c>
      <c r="F305" s="33" t="n">
        <f aca="false">FLOOR(E305,1/24)</f>
        <v>46310.9166666667</v>
      </c>
      <c r="G305" s="34"/>
    </row>
    <row r="306" customFormat="false" ht="15" hidden="false" customHeight="false" outlineLevel="0" collapsed="false">
      <c r="A306" s="34" t="n">
        <v>305</v>
      </c>
      <c r="B306" s="34" t="s">
        <v>3806</v>
      </c>
      <c r="C306" s="34" t="n">
        <v>1</v>
      </c>
      <c r="D306" s="34" t="s">
        <v>5423</v>
      </c>
      <c r="E306" s="24" t="n">
        <v>46310.9241898148</v>
      </c>
      <c r="F306" s="33" t="n">
        <f aca="false">FLOOR(E306,1/24)</f>
        <v>46310.9166666667</v>
      </c>
      <c r="G306" s="34"/>
    </row>
    <row r="307" customFormat="false" ht="15" hidden="false" customHeight="false" outlineLevel="0" collapsed="false">
      <c r="A307" s="34" t="n">
        <v>306</v>
      </c>
      <c r="B307" s="34" t="s">
        <v>3825</v>
      </c>
      <c r="C307" s="34" t="n">
        <v>1</v>
      </c>
      <c r="D307" s="34" t="s">
        <v>5424</v>
      </c>
      <c r="E307" s="24" t="n">
        <v>46310.9256365741</v>
      </c>
      <c r="F307" s="33" t="n">
        <f aca="false">FLOOR(E307,1/24)</f>
        <v>46310.9166666667</v>
      </c>
      <c r="G307" s="34" t="s">
        <v>5425</v>
      </c>
    </row>
    <row r="308" customFormat="false" ht="15" hidden="false" customHeight="false" outlineLevel="0" collapsed="false">
      <c r="A308" s="34" t="n">
        <v>307</v>
      </c>
      <c r="B308" s="34" t="s">
        <v>3825</v>
      </c>
      <c r="C308" s="34" t="n">
        <v>2</v>
      </c>
      <c r="D308" s="34" t="s">
        <v>5424</v>
      </c>
      <c r="E308" s="24" t="n">
        <v>46310.9302199074</v>
      </c>
      <c r="F308" s="33" t="n">
        <f aca="false">FLOOR(E308,1/24)</f>
        <v>46310.9166666667</v>
      </c>
      <c r="G308" s="34" t="s">
        <v>5432</v>
      </c>
    </row>
    <row r="309" customFormat="false" ht="15" hidden="false" customHeight="false" outlineLevel="0" collapsed="false">
      <c r="A309" s="34" t="n">
        <v>308</v>
      </c>
      <c r="B309" s="34" t="s">
        <v>3825</v>
      </c>
      <c r="C309" s="34" t="n">
        <v>3</v>
      </c>
      <c r="D309" s="34" t="s">
        <v>5423</v>
      </c>
      <c r="E309" s="24" t="n">
        <v>46310.9314699074</v>
      </c>
      <c r="F309" s="33" t="n">
        <f aca="false">FLOOR(E309,1/24)</f>
        <v>46310.9166666667</v>
      </c>
      <c r="G309" s="34"/>
    </row>
    <row r="310" customFormat="false" ht="15" hidden="false" customHeight="false" outlineLevel="0" collapsed="false">
      <c r="A310" s="34" t="n">
        <v>309</v>
      </c>
      <c r="B310" s="34" t="s">
        <v>3844</v>
      </c>
      <c r="C310" s="34" t="n">
        <v>1</v>
      </c>
      <c r="D310" s="34" t="s">
        <v>5423</v>
      </c>
      <c r="E310" s="24" t="n">
        <v>46310.9329861111</v>
      </c>
      <c r="F310" s="33" t="n">
        <f aca="false">FLOOR(E310,1/24)</f>
        <v>46310.9166666667</v>
      </c>
      <c r="G310" s="34"/>
    </row>
    <row r="311" customFormat="false" ht="15" hidden="false" customHeight="false" outlineLevel="0" collapsed="false">
      <c r="A311" s="34" t="n">
        <v>310</v>
      </c>
      <c r="B311" s="34" t="s">
        <v>3861</v>
      </c>
      <c r="C311" s="34" t="n">
        <v>1</v>
      </c>
      <c r="D311" s="34" t="s">
        <v>5423</v>
      </c>
      <c r="E311" s="24" t="n">
        <v>46310.9344791667</v>
      </c>
      <c r="F311" s="33" t="n">
        <f aca="false">FLOOR(E311,1/24)</f>
        <v>46310.9166666667</v>
      </c>
      <c r="G311" s="34"/>
    </row>
    <row r="312" customFormat="false" ht="15" hidden="false" customHeight="false" outlineLevel="0" collapsed="false">
      <c r="A312" s="34" t="n">
        <v>311</v>
      </c>
      <c r="B312" s="34" t="s">
        <v>3878</v>
      </c>
      <c r="C312" s="34" t="n">
        <v>1</v>
      </c>
      <c r="D312" s="34" t="s">
        <v>5424</v>
      </c>
      <c r="E312" s="24" t="n">
        <v>46310.9360648148</v>
      </c>
      <c r="F312" s="33" t="n">
        <f aca="false">FLOOR(E312,1/24)</f>
        <v>46310.9166666667</v>
      </c>
      <c r="G312" s="34" t="s">
        <v>5425</v>
      </c>
    </row>
    <row r="313" customFormat="false" ht="15" hidden="false" customHeight="false" outlineLevel="0" collapsed="false">
      <c r="A313" s="34" t="n">
        <v>312</v>
      </c>
      <c r="B313" s="34" t="s">
        <v>3878</v>
      </c>
      <c r="C313" s="34" t="n">
        <v>2</v>
      </c>
      <c r="D313" s="34" t="s">
        <v>5423</v>
      </c>
      <c r="E313" s="24" t="n">
        <v>46310.9406365741</v>
      </c>
      <c r="F313" s="33" t="n">
        <f aca="false">FLOOR(E313,1/24)</f>
        <v>46310.9166666667</v>
      </c>
      <c r="G313" s="34"/>
    </row>
    <row r="314" customFormat="false" ht="15" hidden="false" customHeight="false" outlineLevel="0" collapsed="false">
      <c r="A314" s="34" t="n">
        <v>313</v>
      </c>
      <c r="B314" s="34" t="s">
        <v>3894</v>
      </c>
      <c r="C314" s="34" t="n">
        <v>1</v>
      </c>
      <c r="D314" s="34" t="s">
        <v>5423</v>
      </c>
      <c r="E314" s="24" t="n">
        <v>46310.9420717593</v>
      </c>
      <c r="F314" s="33" t="n">
        <f aca="false">FLOOR(E314,1/24)</f>
        <v>46310.9166666667</v>
      </c>
      <c r="G314" s="34"/>
    </row>
    <row r="315" customFormat="false" ht="15" hidden="false" customHeight="false" outlineLevel="0" collapsed="false">
      <c r="A315" s="34" t="n">
        <v>314</v>
      </c>
      <c r="B315" s="34" t="s">
        <v>3911</v>
      </c>
      <c r="C315" s="34" t="n">
        <v>1</v>
      </c>
      <c r="D315" s="34" t="s">
        <v>5423</v>
      </c>
      <c r="E315" s="24" t="n">
        <v>46310.9434953704</v>
      </c>
      <c r="F315" s="33" t="n">
        <f aca="false">FLOOR(E315,1/24)</f>
        <v>46310.9166666667</v>
      </c>
      <c r="G315" s="34"/>
    </row>
    <row r="316" customFormat="false" ht="15" hidden="false" customHeight="false" outlineLevel="0" collapsed="false">
      <c r="A316" s="34" t="n">
        <v>315</v>
      </c>
      <c r="B316" s="34" t="s">
        <v>3927</v>
      </c>
      <c r="C316" s="34" t="n">
        <v>1</v>
      </c>
      <c r="D316" s="34" t="s">
        <v>5424</v>
      </c>
      <c r="E316" s="24" t="n">
        <v>46310.9449537037</v>
      </c>
      <c r="F316" s="33" t="n">
        <f aca="false">FLOOR(E316,1/24)</f>
        <v>46310.9166666667</v>
      </c>
      <c r="G316" s="34" t="s">
        <v>5425</v>
      </c>
    </row>
    <row r="317" customFormat="false" ht="15" hidden="false" customHeight="false" outlineLevel="0" collapsed="false">
      <c r="A317" s="34" t="n">
        <v>316</v>
      </c>
      <c r="B317" s="34" t="s">
        <v>3927</v>
      </c>
      <c r="C317" s="34" t="n">
        <v>2</v>
      </c>
      <c r="D317" s="34" t="s">
        <v>5423</v>
      </c>
      <c r="E317" s="24" t="n">
        <v>46310.949537037</v>
      </c>
      <c r="F317" s="33" t="n">
        <f aca="false">FLOOR(E317,1/24)</f>
        <v>46310.9166666667</v>
      </c>
      <c r="G317" s="34"/>
    </row>
    <row r="318" customFormat="false" ht="15" hidden="false" customHeight="false" outlineLevel="0" collapsed="false">
      <c r="A318" s="34" t="n">
        <v>317</v>
      </c>
      <c r="B318" s="34" t="s">
        <v>3946</v>
      </c>
      <c r="C318" s="34" t="n">
        <v>1</v>
      </c>
      <c r="D318" s="34" t="s">
        <v>5423</v>
      </c>
      <c r="E318" s="24" t="n">
        <v>46310.9511689815</v>
      </c>
      <c r="F318" s="33" t="n">
        <f aca="false">FLOOR(E318,1/24)</f>
        <v>46310.9166666667</v>
      </c>
      <c r="G318" s="34"/>
    </row>
    <row r="319" customFormat="false" ht="15" hidden="false" customHeight="false" outlineLevel="0" collapsed="false">
      <c r="A319" s="34" t="n">
        <v>318</v>
      </c>
      <c r="B319" s="34" t="s">
        <v>3964</v>
      </c>
      <c r="C319" s="34" t="n">
        <v>1</v>
      </c>
      <c r="D319" s="34" t="s">
        <v>5423</v>
      </c>
      <c r="E319" s="24" t="n">
        <v>46310.9526157407</v>
      </c>
      <c r="F319" s="33" t="n">
        <f aca="false">FLOOR(E319,1/24)</f>
        <v>46310.9166666667</v>
      </c>
      <c r="G319" s="34"/>
    </row>
    <row r="320" customFormat="false" ht="15" hidden="false" customHeight="false" outlineLevel="0" collapsed="false">
      <c r="A320" s="34" t="n">
        <v>319</v>
      </c>
      <c r="B320" s="34" t="s">
        <v>3984</v>
      </c>
      <c r="C320" s="34" t="n">
        <v>1</v>
      </c>
      <c r="D320" s="34" t="s">
        <v>5424</v>
      </c>
      <c r="E320" s="24" t="n">
        <v>46310.9540625</v>
      </c>
      <c r="F320" s="33" t="n">
        <f aca="false">FLOOR(E320,1/24)</f>
        <v>46310.9166666667</v>
      </c>
      <c r="G320" s="34" t="s">
        <v>5425</v>
      </c>
    </row>
    <row r="321" customFormat="false" ht="15" hidden="false" customHeight="false" outlineLevel="0" collapsed="false">
      <c r="A321" s="34" t="n">
        <v>320</v>
      </c>
      <c r="B321" s="34" t="s">
        <v>3984</v>
      </c>
      <c r="C321" s="34" t="n">
        <v>2</v>
      </c>
      <c r="D321" s="34" t="s">
        <v>5423</v>
      </c>
      <c r="E321" s="24" t="n">
        <v>46310.9586574074</v>
      </c>
      <c r="F321" s="33" t="n">
        <f aca="false">FLOOR(E321,1/24)</f>
        <v>46310.9583333333</v>
      </c>
      <c r="G321" s="34"/>
    </row>
    <row r="322" customFormat="false" ht="15" hidden="false" customHeight="false" outlineLevel="0" collapsed="false">
      <c r="A322" s="34" t="n">
        <v>321</v>
      </c>
      <c r="B322" s="34" t="s">
        <v>4001</v>
      </c>
      <c r="C322" s="34" t="n">
        <v>1</v>
      </c>
      <c r="D322" s="34" t="s">
        <v>5424</v>
      </c>
      <c r="E322" s="24" t="n">
        <v>46310.9600925926</v>
      </c>
      <c r="F322" s="33" t="n">
        <f aca="false">FLOOR(E322,1/24)</f>
        <v>46310.9583333333</v>
      </c>
      <c r="G322" s="34" t="s">
        <v>5425</v>
      </c>
    </row>
    <row r="323" customFormat="false" ht="15" hidden="false" customHeight="false" outlineLevel="0" collapsed="false">
      <c r="A323" s="34" t="n">
        <v>322</v>
      </c>
      <c r="B323" s="34" t="s">
        <v>4001</v>
      </c>
      <c r="C323" s="34" t="n">
        <v>2</v>
      </c>
      <c r="D323" s="34" t="s">
        <v>5423</v>
      </c>
      <c r="E323" s="24" t="n">
        <v>46310.9646643519</v>
      </c>
      <c r="F323" s="33" t="n">
        <f aca="false">FLOOR(E323,1/24)</f>
        <v>46310.9583333333</v>
      </c>
      <c r="G323" s="34"/>
    </row>
    <row r="324" customFormat="false" ht="15" hidden="false" customHeight="false" outlineLevel="0" collapsed="false">
      <c r="A324" s="34" t="n">
        <v>323</v>
      </c>
      <c r="B324" s="34" t="s">
        <v>4019</v>
      </c>
      <c r="C324" s="34" t="n">
        <v>1</v>
      </c>
      <c r="D324" s="34" t="s">
        <v>5423</v>
      </c>
      <c r="E324" s="24" t="n">
        <v>46310.9661226852</v>
      </c>
      <c r="F324" s="33" t="n">
        <f aca="false">FLOOR(E324,1/24)</f>
        <v>46310.9583333333</v>
      </c>
      <c r="G324" s="34"/>
    </row>
    <row r="325" customFormat="false" ht="15" hidden="false" customHeight="false" outlineLevel="0" collapsed="false">
      <c r="A325" s="34" t="n">
        <v>324</v>
      </c>
      <c r="B325" s="34" t="s">
        <v>4036</v>
      </c>
      <c r="C325" s="34" t="n">
        <v>1</v>
      </c>
      <c r="D325" s="34" t="s">
        <v>5423</v>
      </c>
      <c r="E325" s="24" t="n">
        <v>46310.9676041667</v>
      </c>
      <c r="F325" s="33" t="n">
        <f aca="false">FLOOR(E325,1/24)</f>
        <v>46310.9583333333</v>
      </c>
      <c r="G325" s="34"/>
    </row>
    <row r="326" customFormat="false" ht="15" hidden="false" customHeight="false" outlineLevel="0" collapsed="false">
      <c r="A326" s="34" t="n">
        <v>325</v>
      </c>
      <c r="B326" s="34" t="s">
        <v>4055</v>
      </c>
      <c r="C326" s="34" t="n">
        <v>1</v>
      </c>
      <c r="D326" s="34" t="s">
        <v>5424</v>
      </c>
      <c r="E326" s="24" t="n">
        <v>46310.9694212963</v>
      </c>
      <c r="F326" s="33" t="n">
        <f aca="false">FLOOR(E326,1/24)</f>
        <v>46310.9583333333</v>
      </c>
      <c r="G326" s="34" t="s">
        <v>5425</v>
      </c>
    </row>
    <row r="327" customFormat="false" ht="15" hidden="false" customHeight="false" outlineLevel="0" collapsed="false">
      <c r="A327" s="34" t="n">
        <v>326</v>
      </c>
      <c r="B327" s="34" t="s">
        <v>4055</v>
      </c>
      <c r="C327" s="34" t="n">
        <v>2</v>
      </c>
      <c r="D327" s="34" t="s">
        <v>5423</v>
      </c>
      <c r="E327" s="24" t="n">
        <v>46310.9740046296</v>
      </c>
      <c r="F327" s="33" t="n">
        <f aca="false">FLOOR(E327,1/24)</f>
        <v>46310.9583333333</v>
      </c>
      <c r="G327" s="34"/>
    </row>
    <row r="328" customFormat="false" ht="15" hidden="false" customHeight="false" outlineLevel="0" collapsed="false">
      <c r="A328" s="34" t="n">
        <v>327</v>
      </c>
      <c r="B328" s="34" t="s">
        <v>4074</v>
      </c>
      <c r="C328" s="34" t="n">
        <v>1</v>
      </c>
      <c r="D328" s="34" t="s">
        <v>5423</v>
      </c>
      <c r="E328" s="24" t="n">
        <v>46310.9754282407</v>
      </c>
      <c r="F328" s="33" t="n">
        <f aca="false">FLOOR(E328,1/24)</f>
        <v>46310.9583333333</v>
      </c>
      <c r="G328" s="34"/>
    </row>
    <row r="329" customFormat="false" ht="15" hidden="false" customHeight="false" outlineLevel="0" collapsed="false">
      <c r="A329" s="34" t="n">
        <v>328</v>
      </c>
      <c r="B329" s="34" t="s">
        <v>4091</v>
      </c>
      <c r="C329" s="34" t="n">
        <v>1</v>
      </c>
      <c r="D329" s="34" t="s">
        <v>5423</v>
      </c>
      <c r="E329" s="24" t="n">
        <v>46310.9769097222</v>
      </c>
      <c r="F329" s="33" t="n">
        <f aca="false">FLOOR(E329,1/24)</f>
        <v>46310.9583333333</v>
      </c>
      <c r="G329" s="34"/>
    </row>
    <row r="330" customFormat="false" ht="15" hidden="false" customHeight="false" outlineLevel="0" collapsed="false">
      <c r="A330" s="34" t="n">
        <v>329</v>
      </c>
      <c r="B330" s="34" t="s">
        <v>4107</v>
      </c>
      <c r="C330" s="34" t="n">
        <v>1</v>
      </c>
      <c r="D330" s="34" t="s">
        <v>5423</v>
      </c>
      <c r="E330" s="24" t="n">
        <v>46310.9785069445</v>
      </c>
      <c r="F330" s="33" t="n">
        <f aca="false">FLOOR(E330,1/24)</f>
        <v>46310.9583333333</v>
      </c>
      <c r="G330" s="34"/>
    </row>
    <row r="331" customFormat="false" ht="15" hidden="false" customHeight="false" outlineLevel="0" collapsed="false">
      <c r="A331" s="34" t="n">
        <v>330</v>
      </c>
      <c r="B331" s="34" t="s">
        <v>4125</v>
      </c>
      <c r="C331" s="34" t="n">
        <v>1</v>
      </c>
      <c r="D331" s="34" t="s">
        <v>5423</v>
      </c>
      <c r="E331" s="24" t="n">
        <v>46310.9799074074</v>
      </c>
      <c r="F331" s="33" t="n">
        <f aca="false">FLOOR(E331,1/24)</f>
        <v>46310.9583333333</v>
      </c>
      <c r="G331" s="34"/>
    </row>
    <row r="332" customFormat="false" ht="15" hidden="false" customHeight="false" outlineLevel="0" collapsed="false">
      <c r="A332" s="34" t="n">
        <v>331</v>
      </c>
      <c r="B332" s="34" t="s">
        <v>4142</v>
      </c>
      <c r="C332" s="34" t="n">
        <v>1</v>
      </c>
      <c r="D332" s="34" t="s">
        <v>5424</v>
      </c>
      <c r="E332" s="24" t="n">
        <v>46310.9813194444</v>
      </c>
      <c r="F332" s="33" t="n">
        <f aca="false">FLOOR(E332,1/24)</f>
        <v>46310.9583333333</v>
      </c>
      <c r="G332" s="34" t="s">
        <v>5425</v>
      </c>
    </row>
    <row r="333" customFormat="false" ht="15" hidden="false" customHeight="false" outlineLevel="0" collapsed="false">
      <c r="A333" s="34" t="n">
        <v>332</v>
      </c>
      <c r="B333" s="34" t="s">
        <v>4142</v>
      </c>
      <c r="C333" s="34" t="n">
        <v>2</v>
      </c>
      <c r="D333" s="34" t="s">
        <v>5423</v>
      </c>
      <c r="E333" s="24" t="n">
        <v>46310.9858912037</v>
      </c>
      <c r="F333" s="33" t="n">
        <f aca="false">FLOOR(E333,1/24)</f>
        <v>46310.9583333333</v>
      </c>
      <c r="G333" s="34"/>
    </row>
    <row r="334" customFormat="false" ht="15" hidden="false" customHeight="false" outlineLevel="0" collapsed="false">
      <c r="A334" s="34" t="n">
        <v>333</v>
      </c>
      <c r="B334" s="34" t="s">
        <v>4159</v>
      </c>
      <c r="C334" s="34" t="n">
        <v>1</v>
      </c>
      <c r="D334" s="34" t="s">
        <v>5423</v>
      </c>
      <c r="E334" s="24" t="n">
        <v>46310.9873726852</v>
      </c>
      <c r="F334" s="33" t="n">
        <f aca="false">FLOOR(E334,1/24)</f>
        <v>46310.9583333333</v>
      </c>
      <c r="G334" s="34"/>
    </row>
    <row r="335" customFormat="false" ht="15" hidden="false" customHeight="false" outlineLevel="0" collapsed="false">
      <c r="A335" s="34" t="n">
        <v>334</v>
      </c>
      <c r="B335" s="34" t="s">
        <v>4178</v>
      </c>
      <c r="C335" s="34" t="n">
        <v>1</v>
      </c>
      <c r="D335" s="34" t="s">
        <v>5423</v>
      </c>
      <c r="E335" s="24" t="n">
        <v>46310.9887962963</v>
      </c>
      <c r="F335" s="33" t="n">
        <f aca="false">FLOOR(E335,1/24)</f>
        <v>46310.9583333333</v>
      </c>
      <c r="G335" s="34"/>
    </row>
    <row r="336" customFormat="false" ht="15" hidden="false" customHeight="false" outlineLevel="0" collapsed="false">
      <c r="A336" s="34" t="n">
        <v>335</v>
      </c>
      <c r="B336" s="34" t="s">
        <v>4195</v>
      </c>
      <c r="C336" s="34" t="n">
        <v>1</v>
      </c>
      <c r="D336" s="34" t="s">
        <v>5423</v>
      </c>
      <c r="E336" s="24" t="n">
        <v>46310.9902893519</v>
      </c>
      <c r="F336" s="33" t="n">
        <f aca="false">FLOOR(E336,1/24)</f>
        <v>46310.9583333333</v>
      </c>
      <c r="G336" s="34"/>
    </row>
    <row r="337" customFormat="false" ht="15" hidden="false" customHeight="false" outlineLevel="0" collapsed="false">
      <c r="A337" s="34" t="n">
        <v>336</v>
      </c>
      <c r="B337" s="34" t="s">
        <v>4211</v>
      </c>
      <c r="C337" s="34" t="n">
        <v>1</v>
      </c>
      <c r="D337" s="34" t="s">
        <v>5424</v>
      </c>
      <c r="E337" s="24" t="n">
        <v>46310.9916666667</v>
      </c>
      <c r="F337" s="33" t="n">
        <f aca="false">FLOOR(E337,1/24)</f>
        <v>46310.9583333333</v>
      </c>
      <c r="G337" s="34" t="s">
        <v>5425</v>
      </c>
    </row>
    <row r="338" customFormat="false" ht="15" hidden="false" customHeight="false" outlineLevel="0" collapsed="false">
      <c r="A338" s="34" t="n">
        <v>337</v>
      </c>
      <c r="B338" s="34" t="s">
        <v>4211</v>
      </c>
      <c r="C338" s="34" t="n">
        <v>2</v>
      </c>
      <c r="D338" s="34" t="s">
        <v>5423</v>
      </c>
      <c r="E338" s="24" t="n">
        <v>46310.99625</v>
      </c>
      <c r="F338" s="33" t="n">
        <f aca="false">FLOOR(E338,1/24)</f>
        <v>46310.9583333333</v>
      </c>
      <c r="G338" s="34"/>
    </row>
    <row r="339" customFormat="false" ht="15" hidden="false" customHeight="false" outlineLevel="0" collapsed="false">
      <c r="A339" s="34" t="n">
        <v>338</v>
      </c>
      <c r="B339" s="34" t="s">
        <v>4228</v>
      </c>
      <c r="C339" s="34" t="n">
        <v>1</v>
      </c>
      <c r="D339" s="34" t="s">
        <v>5423</v>
      </c>
      <c r="E339" s="24" t="n">
        <v>46310.9976388889</v>
      </c>
      <c r="F339" s="33" t="n">
        <f aca="false">FLOOR(E339,1/24)</f>
        <v>46310.9583333333</v>
      </c>
      <c r="G339" s="34"/>
    </row>
    <row r="340" customFormat="false" ht="15" hidden="false" customHeight="false" outlineLevel="0" collapsed="false">
      <c r="A340" s="34" t="n">
        <v>339</v>
      </c>
      <c r="B340" s="34" t="s">
        <v>4246</v>
      </c>
      <c r="C340" s="34" t="n">
        <v>1</v>
      </c>
      <c r="D340" s="34" t="s">
        <v>5423</v>
      </c>
      <c r="E340" s="24" t="n">
        <v>46310.9993518519</v>
      </c>
      <c r="F340" s="33" t="n">
        <f aca="false">FLOOR(E340,1/24)</f>
        <v>46310.9583333333</v>
      </c>
      <c r="G340" s="34"/>
    </row>
    <row r="341" customFormat="false" ht="15" hidden="false" customHeight="false" outlineLevel="0" collapsed="false">
      <c r="A341" s="34" t="n">
        <v>340</v>
      </c>
      <c r="B341" s="34" t="s">
        <v>4262</v>
      </c>
      <c r="C341" s="34" t="n">
        <v>1</v>
      </c>
      <c r="D341" s="34" t="s">
        <v>5424</v>
      </c>
      <c r="E341" s="24" t="n">
        <v>46311.0007523148</v>
      </c>
      <c r="F341" s="33" t="n">
        <f aca="false">FLOOR(E341,1/24)</f>
        <v>46311</v>
      </c>
      <c r="G341" s="34" t="s">
        <v>5425</v>
      </c>
    </row>
    <row r="342" customFormat="false" ht="15" hidden="false" customHeight="false" outlineLevel="0" collapsed="false">
      <c r="A342" s="34" t="n">
        <v>341</v>
      </c>
      <c r="B342" s="34" t="s">
        <v>4262</v>
      </c>
      <c r="C342" s="34" t="n">
        <v>2</v>
      </c>
      <c r="D342" s="34" t="s">
        <v>5423</v>
      </c>
      <c r="E342" s="24" t="n">
        <v>46311.0053356482</v>
      </c>
      <c r="F342" s="33" t="n">
        <f aca="false">FLOOR(E342,1/24)</f>
        <v>46311</v>
      </c>
      <c r="G342" s="34"/>
    </row>
    <row r="343" customFormat="false" ht="15" hidden="false" customHeight="false" outlineLevel="0" collapsed="false">
      <c r="A343" s="34" t="n">
        <v>342</v>
      </c>
      <c r="B343" s="34" t="s">
        <v>4278</v>
      </c>
      <c r="C343" s="34" t="n">
        <v>1</v>
      </c>
      <c r="D343" s="34" t="s">
        <v>5423</v>
      </c>
      <c r="E343" s="24" t="n">
        <v>46311.0068981482</v>
      </c>
      <c r="F343" s="33" t="n">
        <f aca="false">FLOOR(E343,1/24)</f>
        <v>46311</v>
      </c>
      <c r="G343" s="34"/>
    </row>
    <row r="344" customFormat="false" ht="15" hidden="false" customHeight="false" outlineLevel="0" collapsed="false">
      <c r="A344" s="34" t="n">
        <v>343</v>
      </c>
      <c r="B344" s="34" t="s">
        <v>4295</v>
      </c>
      <c r="C344" s="34" t="n">
        <v>1</v>
      </c>
      <c r="D344" s="34" t="s">
        <v>5423</v>
      </c>
      <c r="E344" s="24" t="n">
        <v>46311.0083564815</v>
      </c>
      <c r="F344" s="33" t="n">
        <f aca="false">FLOOR(E344,1/24)</f>
        <v>46311</v>
      </c>
      <c r="G344" s="34"/>
    </row>
    <row r="345" customFormat="false" ht="15" hidden="false" customHeight="false" outlineLevel="0" collapsed="false">
      <c r="A345" s="34" t="n">
        <v>344</v>
      </c>
      <c r="B345" s="34" t="s">
        <v>4312</v>
      </c>
      <c r="C345" s="34" t="n">
        <v>1</v>
      </c>
      <c r="D345" s="34" t="s">
        <v>5423</v>
      </c>
      <c r="E345" s="24" t="n">
        <v>46311.0097106482</v>
      </c>
      <c r="F345" s="33" t="n">
        <f aca="false">FLOOR(E345,1/24)</f>
        <v>46311</v>
      </c>
      <c r="G345" s="34"/>
    </row>
    <row r="346" customFormat="false" ht="15" hidden="false" customHeight="false" outlineLevel="0" collapsed="false">
      <c r="A346" s="34" t="n">
        <v>345</v>
      </c>
      <c r="B346" s="34" t="s">
        <v>4332</v>
      </c>
      <c r="C346" s="34" t="n">
        <v>1</v>
      </c>
      <c r="D346" s="34" t="s">
        <v>5423</v>
      </c>
      <c r="E346" s="24" t="n">
        <v>46311.011099537</v>
      </c>
      <c r="F346" s="33" t="n">
        <f aca="false">FLOOR(E346,1/24)</f>
        <v>46311</v>
      </c>
      <c r="G346" s="34"/>
    </row>
    <row r="347" customFormat="false" ht="15" hidden="false" customHeight="false" outlineLevel="0" collapsed="false">
      <c r="A347" s="34" t="n">
        <v>346</v>
      </c>
      <c r="B347" s="34" t="s">
        <v>4351</v>
      </c>
      <c r="C347" s="34" t="n">
        <v>1</v>
      </c>
      <c r="D347" s="34" t="s">
        <v>5423</v>
      </c>
      <c r="E347" s="24" t="n">
        <v>46311.0124884259</v>
      </c>
      <c r="F347" s="33" t="n">
        <f aca="false">FLOOR(E347,1/24)</f>
        <v>46311</v>
      </c>
      <c r="G347" s="34"/>
    </row>
    <row r="348" customFormat="false" ht="15" hidden="false" customHeight="false" outlineLevel="0" collapsed="false">
      <c r="A348" s="34" t="n">
        <v>347</v>
      </c>
      <c r="B348" s="34" t="s">
        <v>4367</v>
      </c>
      <c r="C348" s="34" t="n">
        <v>1</v>
      </c>
      <c r="D348" s="34" t="s">
        <v>5424</v>
      </c>
      <c r="E348" s="24" t="n">
        <v>46311.0139583333</v>
      </c>
      <c r="F348" s="33" t="n">
        <f aca="false">FLOOR(E348,1/24)</f>
        <v>46311</v>
      </c>
      <c r="G348" s="34" t="s">
        <v>5425</v>
      </c>
    </row>
    <row r="349" customFormat="false" ht="15" hidden="false" customHeight="false" outlineLevel="0" collapsed="false">
      <c r="A349" s="34" t="n">
        <v>348</v>
      </c>
      <c r="B349" s="34" t="s">
        <v>4367</v>
      </c>
      <c r="C349" s="34" t="n">
        <v>2</v>
      </c>
      <c r="D349" s="34" t="s">
        <v>5424</v>
      </c>
      <c r="E349" s="24" t="n">
        <v>46311.0185532407</v>
      </c>
      <c r="F349" s="33" t="n">
        <f aca="false">FLOOR(E349,1/24)</f>
        <v>46311</v>
      </c>
      <c r="G349" s="34" t="s">
        <v>5425</v>
      </c>
    </row>
    <row r="350" customFormat="false" ht="15" hidden="false" customHeight="false" outlineLevel="0" collapsed="false">
      <c r="A350" s="34" t="n">
        <v>349</v>
      </c>
      <c r="B350" s="34" t="s">
        <v>4367</v>
      </c>
      <c r="C350" s="34" t="n">
        <v>3</v>
      </c>
      <c r="D350" s="34" t="s">
        <v>5423</v>
      </c>
      <c r="E350" s="24" t="n">
        <v>46311.0234953704</v>
      </c>
      <c r="F350" s="33" t="n">
        <f aca="false">FLOOR(E350,1/24)</f>
        <v>46311</v>
      </c>
      <c r="G350" s="34"/>
    </row>
    <row r="351" customFormat="false" ht="15" hidden="false" customHeight="false" outlineLevel="0" collapsed="false">
      <c r="A351" s="34" t="n">
        <v>350</v>
      </c>
      <c r="B351" s="34" t="s">
        <v>4385</v>
      </c>
      <c r="C351" s="34" t="n">
        <v>1</v>
      </c>
      <c r="D351" s="34" t="s">
        <v>5423</v>
      </c>
      <c r="E351" s="24" t="n">
        <v>46311.0248842593</v>
      </c>
      <c r="F351" s="33" t="n">
        <f aca="false">FLOOR(E351,1/24)</f>
        <v>46311</v>
      </c>
      <c r="G351" s="34"/>
    </row>
    <row r="352" customFormat="false" ht="15" hidden="false" customHeight="false" outlineLevel="0" collapsed="false">
      <c r="A352" s="34" t="n">
        <v>351</v>
      </c>
      <c r="B352" s="34" t="s">
        <v>4402</v>
      </c>
      <c r="C352" s="34" t="n">
        <v>1</v>
      </c>
      <c r="D352" s="34" t="s">
        <v>5423</v>
      </c>
      <c r="E352" s="24" t="n">
        <v>46311.02625</v>
      </c>
      <c r="F352" s="33" t="n">
        <f aca="false">FLOOR(E352,1/24)</f>
        <v>46311</v>
      </c>
      <c r="G352" s="34"/>
    </row>
    <row r="353" customFormat="false" ht="15" hidden="false" customHeight="false" outlineLevel="0" collapsed="false">
      <c r="A353" s="34" t="n">
        <v>352</v>
      </c>
      <c r="B353" s="34" t="s">
        <v>4422</v>
      </c>
      <c r="C353" s="34" t="n">
        <v>1</v>
      </c>
      <c r="D353" s="34" t="s">
        <v>5423</v>
      </c>
      <c r="E353" s="24" t="n">
        <v>46311.0281712963</v>
      </c>
      <c r="F353" s="33" t="n">
        <f aca="false">FLOOR(E353,1/24)</f>
        <v>46311</v>
      </c>
      <c r="G353" s="34"/>
    </row>
    <row r="354" customFormat="false" ht="15" hidden="false" customHeight="false" outlineLevel="0" collapsed="false">
      <c r="A354" s="34" t="n">
        <v>353</v>
      </c>
      <c r="B354" s="34" t="s">
        <v>4439</v>
      </c>
      <c r="C354" s="34" t="n">
        <v>1</v>
      </c>
      <c r="D354" s="34" t="s">
        <v>5423</v>
      </c>
      <c r="E354" s="24" t="n">
        <v>46311.0301273148</v>
      </c>
      <c r="F354" s="33" t="n">
        <f aca="false">FLOOR(E354,1/24)</f>
        <v>46311</v>
      </c>
      <c r="G354" s="34"/>
    </row>
    <row r="355" customFormat="false" ht="15" hidden="false" customHeight="false" outlineLevel="0" collapsed="false">
      <c r="A355" s="34" t="n">
        <v>354</v>
      </c>
      <c r="B355" s="34" t="s">
        <v>4455</v>
      </c>
      <c r="C355" s="34" t="n">
        <v>1</v>
      </c>
      <c r="D355" s="34" t="s">
        <v>5423</v>
      </c>
      <c r="E355" s="24" t="n">
        <v>46311.0315277778</v>
      </c>
      <c r="F355" s="33" t="n">
        <f aca="false">FLOOR(E355,1/24)</f>
        <v>46311</v>
      </c>
      <c r="G355" s="34"/>
    </row>
    <row r="356" customFormat="false" ht="15" hidden="false" customHeight="false" outlineLevel="0" collapsed="false">
      <c r="A356" s="34" t="n">
        <v>355</v>
      </c>
      <c r="B356" s="34" t="s">
        <v>4472</v>
      </c>
      <c r="C356" s="34" t="n">
        <v>1</v>
      </c>
      <c r="D356" s="34" t="s">
        <v>5423</v>
      </c>
      <c r="E356" s="24" t="n">
        <v>46311.0328587963</v>
      </c>
      <c r="F356" s="33" t="n">
        <f aca="false">FLOOR(E356,1/24)</f>
        <v>46311</v>
      </c>
      <c r="G356" s="34"/>
    </row>
    <row r="357" customFormat="false" ht="15" hidden="false" customHeight="false" outlineLevel="0" collapsed="false">
      <c r="A357" s="34" t="n">
        <v>356</v>
      </c>
      <c r="B357" s="34" t="s">
        <v>4489</v>
      </c>
      <c r="C357" s="34" t="n">
        <v>1</v>
      </c>
      <c r="D357" s="34" t="s">
        <v>5423</v>
      </c>
      <c r="E357" s="24" t="n">
        <v>46311.0344791667</v>
      </c>
      <c r="F357" s="33" t="n">
        <f aca="false">FLOOR(E357,1/24)</f>
        <v>46311</v>
      </c>
      <c r="G357" s="34"/>
    </row>
    <row r="358" customFormat="false" ht="15" hidden="false" customHeight="false" outlineLevel="0" collapsed="false">
      <c r="A358" s="34" t="n">
        <v>357</v>
      </c>
      <c r="B358" s="34" t="s">
        <v>4509</v>
      </c>
      <c r="C358" s="34" t="n">
        <v>1</v>
      </c>
      <c r="D358" s="34" t="s">
        <v>5423</v>
      </c>
      <c r="E358" s="24" t="n">
        <v>46311.0360300926</v>
      </c>
      <c r="F358" s="33" t="n">
        <f aca="false">FLOOR(E358,1/24)</f>
        <v>46311</v>
      </c>
      <c r="G358" s="34"/>
    </row>
    <row r="359" customFormat="false" ht="15" hidden="false" customHeight="false" outlineLevel="0" collapsed="false">
      <c r="A359" s="34" t="n">
        <v>358</v>
      </c>
      <c r="B359" s="34" t="s">
        <v>4527</v>
      </c>
      <c r="C359" s="34" t="n">
        <v>1</v>
      </c>
      <c r="D359" s="34" t="s">
        <v>5423</v>
      </c>
      <c r="E359" s="24" t="n">
        <v>46311.0375810185</v>
      </c>
      <c r="F359" s="33" t="n">
        <f aca="false">FLOOR(E359,1/24)</f>
        <v>46311</v>
      </c>
      <c r="G359" s="34"/>
    </row>
    <row r="360" customFormat="false" ht="15" hidden="false" customHeight="false" outlineLevel="0" collapsed="false">
      <c r="A360" s="34" t="n">
        <v>359</v>
      </c>
      <c r="B360" s="34" t="s">
        <v>4544</v>
      </c>
      <c r="C360" s="34" t="n">
        <v>1</v>
      </c>
      <c r="D360" s="34" t="s">
        <v>5424</v>
      </c>
      <c r="E360" s="24" t="n">
        <v>46311.038900463</v>
      </c>
      <c r="F360" s="33" t="n">
        <f aca="false">FLOOR(E360,1/24)</f>
        <v>46311</v>
      </c>
      <c r="G360" s="34" t="s">
        <v>5425</v>
      </c>
    </row>
    <row r="361" customFormat="false" ht="15" hidden="false" customHeight="false" outlineLevel="0" collapsed="false">
      <c r="A361" s="34" t="n">
        <v>360</v>
      </c>
      <c r="B361" s="34" t="s">
        <v>4544</v>
      </c>
      <c r="C361" s="34" t="n">
        <v>2</v>
      </c>
      <c r="D361" s="34" t="s">
        <v>5423</v>
      </c>
      <c r="E361" s="24" t="n">
        <v>46311.0435300926</v>
      </c>
      <c r="F361" s="33" t="n">
        <f aca="false">FLOOR(E361,1/24)</f>
        <v>46311.0416666667</v>
      </c>
      <c r="G361" s="34"/>
    </row>
    <row r="362" customFormat="false" ht="15" hidden="false" customHeight="false" outlineLevel="0" collapsed="false">
      <c r="A362" s="34" t="n">
        <v>361</v>
      </c>
      <c r="B362" s="34" t="s">
        <v>4563</v>
      </c>
      <c r="C362" s="34" t="n">
        <v>1</v>
      </c>
      <c r="D362" s="34" t="s">
        <v>5424</v>
      </c>
      <c r="E362" s="24" t="n">
        <v>46311.0450694444</v>
      </c>
      <c r="F362" s="33" t="n">
        <f aca="false">FLOOR(E362,1/24)</f>
        <v>46311.0416666667</v>
      </c>
      <c r="G362" s="34" t="s">
        <v>5425</v>
      </c>
    </row>
    <row r="363" customFormat="false" ht="15" hidden="false" customHeight="false" outlineLevel="0" collapsed="false">
      <c r="A363" s="34" t="n">
        <v>362</v>
      </c>
      <c r="B363" s="34" t="s">
        <v>4563</v>
      </c>
      <c r="C363" s="34" t="n">
        <v>2</v>
      </c>
      <c r="D363" s="34" t="s">
        <v>5424</v>
      </c>
      <c r="E363" s="24" t="n">
        <v>46311.0496643519</v>
      </c>
      <c r="F363" s="33" t="n">
        <f aca="false">FLOOR(E363,1/24)</f>
        <v>46311.0416666667</v>
      </c>
      <c r="G363" s="34" t="s">
        <v>5425</v>
      </c>
    </row>
    <row r="364" customFormat="false" ht="15" hidden="false" customHeight="false" outlineLevel="0" collapsed="false">
      <c r="A364" s="34" t="n">
        <v>363</v>
      </c>
      <c r="B364" s="34" t="s">
        <v>4563</v>
      </c>
      <c r="C364" s="34" t="n">
        <v>3</v>
      </c>
      <c r="D364" s="34" t="s">
        <v>5423</v>
      </c>
      <c r="E364" s="24" t="n">
        <v>46311.0546064815</v>
      </c>
      <c r="F364" s="33" t="n">
        <f aca="false">FLOOR(E364,1/24)</f>
        <v>46311.0416666667</v>
      </c>
      <c r="G364" s="34"/>
    </row>
    <row r="365" customFormat="false" ht="15" hidden="false" customHeight="false" outlineLevel="0" collapsed="false">
      <c r="A365" s="34" t="n">
        <v>364</v>
      </c>
      <c r="B365" s="34" t="s">
        <v>4579</v>
      </c>
      <c r="C365" s="34" t="n">
        <v>1</v>
      </c>
      <c r="D365" s="34" t="s">
        <v>5423</v>
      </c>
      <c r="E365" s="24" t="n">
        <v>46311.0562037037</v>
      </c>
      <c r="F365" s="33" t="n">
        <f aca="false">FLOOR(E365,1/24)</f>
        <v>46311.0416666667</v>
      </c>
      <c r="G365" s="34"/>
    </row>
    <row r="366" customFormat="false" ht="15" hidden="false" customHeight="false" outlineLevel="0" collapsed="false">
      <c r="A366" s="34" t="n">
        <v>365</v>
      </c>
      <c r="B366" s="34" t="s">
        <v>4597</v>
      </c>
      <c r="C366" s="34" t="n">
        <v>1</v>
      </c>
      <c r="D366" s="34" t="s">
        <v>5424</v>
      </c>
      <c r="E366" s="24" t="n">
        <v>46311.0575694444</v>
      </c>
      <c r="F366" s="33" t="n">
        <f aca="false">FLOOR(E366,1/24)</f>
        <v>46311.0416666667</v>
      </c>
      <c r="G366" s="34" t="s">
        <v>5425</v>
      </c>
    </row>
    <row r="367" customFormat="false" ht="15" hidden="false" customHeight="false" outlineLevel="0" collapsed="false">
      <c r="A367" s="34" t="n">
        <v>366</v>
      </c>
      <c r="B367" s="34" t="s">
        <v>4597</v>
      </c>
      <c r="C367" s="34" t="n">
        <v>2</v>
      </c>
      <c r="D367" s="34" t="s">
        <v>5423</v>
      </c>
      <c r="E367" s="24" t="n">
        <v>46311.0621412037</v>
      </c>
      <c r="F367" s="33" t="n">
        <f aca="false">FLOOR(E367,1/24)</f>
        <v>46311.0416666667</v>
      </c>
      <c r="G367" s="34"/>
    </row>
    <row r="368" customFormat="false" ht="15" hidden="false" customHeight="false" outlineLevel="0" collapsed="false">
      <c r="A368" s="34" t="n">
        <v>367</v>
      </c>
      <c r="B368" s="34" t="s">
        <v>4615</v>
      </c>
      <c r="C368" s="34" t="n">
        <v>1</v>
      </c>
      <c r="D368" s="34" t="s">
        <v>5424</v>
      </c>
      <c r="E368" s="24" t="n">
        <v>46311.063599537</v>
      </c>
      <c r="F368" s="33" t="n">
        <f aca="false">FLOOR(E368,1/24)</f>
        <v>46311.0416666667</v>
      </c>
      <c r="G368" s="34" t="s">
        <v>5425</v>
      </c>
    </row>
    <row r="369" customFormat="false" ht="15" hidden="false" customHeight="false" outlineLevel="0" collapsed="false">
      <c r="A369" s="34" t="n">
        <v>368</v>
      </c>
      <c r="B369" s="34" t="s">
        <v>4615</v>
      </c>
      <c r="C369" s="34" t="n">
        <v>2</v>
      </c>
      <c r="D369" s="34" t="s">
        <v>5423</v>
      </c>
      <c r="E369" s="24" t="n">
        <v>46311.0681828704</v>
      </c>
      <c r="F369" s="33" t="n">
        <f aca="false">FLOOR(E369,1/24)</f>
        <v>46311.0416666667</v>
      </c>
      <c r="G369" s="34"/>
    </row>
    <row r="370" customFormat="false" ht="15" hidden="false" customHeight="false" outlineLevel="0" collapsed="false">
      <c r="A370" s="34" t="n">
        <v>369</v>
      </c>
      <c r="B370" s="34" t="s">
        <v>4632</v>
      </c>
      <c r="C370" s="34" t="n">
        <v>1</v>
      </c>
      <c r="D370" s="34" t="s">
        <v>5424</v>
      </c>
      <c r="E370" s="24" t="n">
        <v>46311.0696527778</v>
      </c>
      <c r="F370" s="33" t="n">
        <f aca="false">FLOOR(E370,1/24)</f>
        <v>46311.0416666667</v>
      </c>
      <c r="G370" s="34" t="s">
        <v>5425</v>
      </c>
    </row>
    <row r="371" customFormat="false" ht="15" hidden="false" customHeight="false" outlineLevel="0" collapsed="false">
      <c r="A371" s="34" t="n">
        <v>370</v>
      </c>
      <c r="B371" s="34" t="s">
        <v>4632</v>
      </c>
      <c r="C371" s="34" t="n">
        <v>2</v>
      </c>
      <c r="D371" s="34" t="s">
        <v>5424</v>
      </c>
      <c r="E371" s="24" t="n">
        <v>46311.0742361111</v>
      </c>
      <c r="F371" s="33" t="n">
        <f aca="false">FLOOR(E371,1/24)</f>
        <v>46311.0416666667</v>
      </c>
      <c r="G371" s="34" t="s">
        <v>5425</v>
      </c>
    </row>
    <row r="372" customFormat="false" ht="15" hidden="false" customHeight="false" outlineLevel="0" collapsed="false">
      <c r="A372" s="34" t="n">
        <v>371</v>
      </c>
      <c r="B372" s="34" t="s">
        <v>4632</v>
      </c>
      <c r="C372" s="34" t="n">
        <v>3</v>
      </c>
      <c r="D372" s="34" t="s">
        <v>5423</v>
      </c>
      <c r="E372" s="24" t="n">
        <v>46311.0792361111</v>
      </c>
      <c r="F372" s="33" t="n">
        <f aca="false">FLOOR(E372,1/24)</f>
        <v>46311.0416666667</v>
      </c>
      <c r="G372" s="34"/>
    </row>
    <row r="373" customFormat="false" ht="15" hidden="false" customHeight="false" outlineLevel="0" collapsed="false">
      <c r="A373" s="34" t="n">
        <v>372</v>
      </c>
      <c r="B373" s="34" t="s">
        <v>4648</v>
      </c>
      <c r="C373" s="34" t="n">
        <v>1</v>
      </c>
      <c r="D373" s="34" t="s">
        <v>5423</v>
      </c>
      <c r="E373" s="24" t="n">
        <v>46311.0809375</v>
      </c>
      <c r="F373" s="33" t="n">
        <f aca="false">FLOOR(E373,1/24)</f>
        <v>46311.0416666667</v>
      </c>
      <c r="G373" s="34"/>
    </row>
    <row r="374" customFormat="false" ht="15" hidden="false" customHeight="false" outlineLevel="0" collapsed="false">
      <c r="A374" s="34" t="n">
        <v>373</v>
      </c>
      <c r="B374" s="34" t="s">
        <v>4662</v>
      </c>
      <c r="C374" s="34" t="n">
        <v>1</v>
      </c>
      <c r="D374" s="34" t="s">
        <v>5423</v>
      </c>
      <c r="E374" s="24" t="n">
        <v>46311.082962963</v>
      </c>
      <c r="F374" s="33" t="n">
        <f aca="false">FLOOR(E374,1/24)</f>
        <v>46311.0416666667</v>
      </c>
      <c r="G374" s="34"/>
    </row>
    <row r="375" customFormat="false" ht="15" hidden="false" customHeight="false" outlineLevel="0" collapsed="false">
      <c r="A375" s="34" t="n">
        <v>374</v>
      </c>
      <c r="B375" s="34" t="s">
        <v>4680</v>
      </c>
      <c r="C375" s="34" t="n">
        <v>1</v>
      </c>
      <c r="D375" s="34" t="s">
        <v>5423</v>
      </c>
      <c r="E375" s="24" t="n">
        <v>46311.0844212963</v>
      </c>
      <c r="F375" s="33" t="n">
        <f aca="false">FLOOR(E375,1/24)</f>
        <v>46311.0833333333</v>
      </c>
      <c r="G375" s="34"/>
    </row>
    <row r="376" customFormat="false" ht="15" hidden="false" customHeight="false" outlineLevel="0" collapsed="false">
      <c r="A376" s="34" t="n">
        <v>375</v>
      </c>
      <c r="B376" s="34" t="s">
        <v>4698</v>
      </c>
      <c r="C376" s="34" t="n">
        <v>1</v>
      </c>
      <c r="D376" s="34" t="s">
        <v>5423</v>
      </c>
      <c r="E376" s="24" t="n">
        <v>46311.0859953704</v>
      </c>
      <c r="F376" s="33" t="n">
        <f aca="false">FLOOR(E376,1/24)</f>
        <v>46311.0833333333</v>
      </c>
      <c r="G376" s="34"/>
    </row>
    <row r="377" customFormat="false" ht="15" hidden="false" customHeight="false" outlineLevel="0" collapsed="false">
      <c r="A377" s="34" t="n">
        <v>376</v>
      </c>
      <c r="B377" s="34" t="s">
        <v>4716</v>
      </c>
      <c r="C377" s="34" t="n">
        <v>1</v>
      </c>
      <c r="D377" s="34" t="s">
        <v>5424</v>
      </c>
      <c r="E377" s="24" t="n">
        <v>46311.0874421296</v>
      </c>
      <c r="F377" s="33" t="n">
        <f aca="false">FLOOR(E377,1/24)</f>
        <v>46311.0833333333</v>
      </c>
      <c r="G377" s="34" t="s">
        <v>5425</v>
      </c>
    </row>
    <row r="378" customFormat="false" ht="15" hidden="false" customHeight="false" outlineLevel="0" collapsed="false">
      <c r="A378" s="34" t="n">
        <v>377</v>
      </c>
      <c r="B378" s="34" t="s">
        <v>4716</v>
      </c>
      <c r="C378" s="34" t="n">
        <v>2</v>
      </c>
      <c r="D378" s="34" t="s">
        <v>5424</v>
      </c>
      <c r="E378" s="24" t="n">
        <v>46311.0920717593</v>
      </c>
      <c r="F378" s="33" t="n">
        <f aca="false">FLOOR(E378,1/24)</f>
        <v>46311.0833333333</v>
      </c>
      <c r="G378" s="34" t="s">
        <v>5425</v>
      </c>
    </row>
    <row r="379" customFormat="false" ht="15" hidden="false" customHeight="false" outlineLevel="0" collapsed="false">
      <c r="A379" s="34" t="n">
        <v>378</v>
      </c>
      <c r="B379" s="34" t="s">
        <v>4716</v>
      </c>
      <c r="C379" s="34" t="n">
        <v>3</v>
      </c>
      <c r="D379" s="34" t="s">
        <v>5423</v>
      </c>
      <c r="E379" s="24" t="n">
        <v>46311.097037037</v>
      </c>
      <c r="F379" s="33" t="n">
        <f aca="false">FLOOR(E379,1/24)</f>
        <v>46311.0833333333</v>
      </c>
      <c r="G379" s="34"/>
    </row>
    <row r="380" customFormat="false" ht="15" hidden="false" customHeight="false" outlineLevel="0" collapsed="false">
      <c r="A380" s="34" t="n">
        <v>379</v>
      </c>
      <c r="B380" s="34" t="s">
        <v>4733</v>
      </c>
      <c r="C380" s="34" t="n">
        <v>1</v>
      </c>
      <c r="D380" s="34" t="s">
        <v>5423</v>
      </c>
      <c r="E380" s="24" t="n">
        <v>46311.0985648148</v>
      </c>
      <c r="F380" s="33" t="n">
        <f aca="false">FLOOR(E380,1/24)</f>
        <v>46311.0833333333</v>
      </c>
      <c r="G380" s="34"/>
    </row>
    <row r="381" customFormat="false" ht="15" hidden="false" customHeight="false" outlineLevel="0" collapsed="false">
      <c r="A381" s="34" t="n">
        <v>380</v>
      </c>
      <c r="B381" s="34" t="s">
        <v>4749</v>
      </c>
      <c r="C381" s="34" t="n">
        <v>1</v>
      </c>
      <c r="D381" s="34" t="s">
        <v>5423</v>
      </c>
      <c r="E381" s="24" t="n">
        <v>46311.099837963</v>
      </c>
      <c r="F381" s="33" t="n">
        <f aca="false">FLOOR(E381,1/24)</f>
        <v>46311.0833333333</v>
      </c>
      <c r="G381" s="34"/>
    </row>
    <row r="382" customFormat="false" ht="15" hidden="false" customHeight="false" outlineLevel="0" collapsed="false">
      <c r="A382" s="34" t="n">
        <v>381</v>
      </c>
      <c r="B382" s="34" t="s">
        <v>4768</v>
      </c>
      <c r="C382" s="34" t="n">
        <v>1</v>
      </c>
      <c r="D382" s="34" t="s">
        <v>5423</v>
      </c>
      <c r="E382" s="24" t="n">
        <v>46311.1018171296</v>
      </c>
      <c r="F382" s="33" t="n">
        <f aca="false">FLOOR(E382,1/24)</f>
        <v>46311.0833333333</v>
      </c>
      <c r="G382" s="34"/>
    </row>
    <row r="383" customFormat="false" ht="15" hidden="false" customHeight="false" outlineLevel="0" collapsed="false">
      <c r="A383" s="34" t="n">
        <v>382</v>
      </c>
      <c r="B383" s="34" t="s">
        <v>4785</v>
      </c>
      <c r="C383" s="34" t="n">
        <v>1</v>
      </c>
      <c r="D383" s="34" t="s">
        <v>5424</v>
      </c>
      <c r="E383" s="24" t="n">
        <v>46311.103287037</v>
      </c>
      <c r="F383" s="33" t="n">
        <f aca="false">FLOOR(E383,1/24)</f>
        <v>46311.0833333333</v>
      </c>
      <c r="G383" s="34" t="s">
        <v>5425</v>
      </c>
    </row>
    <row r="384" customFormat="false" ht="15" hidden="false" customHeight="false" outlineLevel="0" collapsed="false">
      <c r="A384" s="34" t="n">
        <v>383</v>
      </c>
      <c r="B384" s="34" t="s">
        <v>4785</v>
      </c>
      <c r="C384" s="34" t="n">
        <v>2</v>
      </c>
      <c r="D384" s="34" t="s">
        <v>5423</v>
      </c>
      <c r="E384" s="24" t="n">
        <v>46311.1079050926</v>
      </c>
      <c r="F384" s="33" t="n">
        <f aca="false">FLOOR(E384,1/24)</f>
        <v>46311.0833333333</v>
      </c>
      <c r="G384" s="34"/>
    </row>
    <row r="385" customFormat="false" ht="15" hidden="false" customHeight="false" outlineLevel="0" collapsed="false">
      <c r="A385" s="34" t="n">
        <v>384</v>
      </c>
      <c r="B385" s="34" t="s">
        <v>4802</v>
      </c>
      <c r="C385" s="34" t="n">
        <v>1</v>
      </c>
      <c r="D385" s="34" t="s">
        <v>5423</v>
      </c>
      <c r="E385" s="24" t="n">
        <v>46311.1092939815</v>
      </c>
      <c r="F385" s="33" t="n">
        <f aca="false">FLOOR(E385,1/24)</f>
        <v>46311.0833333333</v>
      </c>
      <c r="G385" s="34"/>
    </row>
    <row r="386" customFormat="false" ht="15" hidden="false" customHeight="false" outlineLevel="0" collapsed="false">
      <c r="A386" s="34" t="n">
        <v>385</v>
      </c>
      <c r="B386" s="34" t="s">
        <v>4819</v>
      </c>
      <c r="C386" s="34" t="n">
        <v>1</v>
      </c>
      <c r="D386" s="34" t="s">
        <v>5423</v>
      </c>
      <c r="E386" s="24" t="n">
        <v>46311.1107291667</v>
      </c>
      <c r="F386" s="33" t="n">
        <f aca="false">FLOOR(E386,1/24)</f>
        <v>46311.0833333333</v>
      </c>
      <c r="G386" s="34"/>
    </row>
    <row r="387" customFormat="false" ht="15" hidden="false" customHeight="false" outlineLevel="0" collapsed="false">
      <c r="A387" s="34" t="n">
        <v>386</v>
      </c>
      <c r="B387" s="34" t="s">
        <v>4837</v>
      </c>
      <c r="C387" s="34" t="n">
        <v>1</v>
      </c>
      <c r="D387" s="34" t="s">
        <v>5423</v>
      </c>
      <c r="E387" s="24" t="n">
        <v>46311.1121180556</v>
      </c>
      <c r="F387" s="33" t="n">
        <f aca="false">FLOOR(E387,1/24)</f>
        <v>46311.0833333333</v>
      </c>
      <c r="G387" s="34"/>
    </row>
    <row r="388" customFormat="false" ht="15" hidden="false" customHeight="false" outlineLevel="0" collapsed="false">
      <c r="A388" s="34" t="n">
        <v>387</v>
      </c>
      <c r="B388" s="34" t="s">
        <v>4854</v>
      </c>
      <c r="C388" s="34" t="n">
        <v>1</v>
      </c>
      <c r="D388" s="34" t="s">
        <v>5423</v>
      </c>
      <c r="E388" s="24" t="n">
        <v>46311.1135416667</v>
      </c>
      <c r="F388" s="33" t="n">
        <f aca="false">FLOOR(E388,1/24)</f>
        <v>46311.0833333333</v>
      </c>
      <c r="G388" s="34"/>
    </row>
    <row r="389" customFormat="false" ht="15" hidden="false" customHeight="false" outlineLevel="0" collapsed="false">
      <c r="A389" s="34" t="n">
        <v>388</v>
      </c>
      <c r="B389" s="34" t="s">
        <v>4870</v>
      </c>
      <c r="C389" s="34" t="n">
        <v>1</v>
      </c>
      <c r="D389" s="34" t="s">
        <v>5423</v>
      </c>
      <c r="E389" s="24" t="n">
        <v>46311.1153935185</v>
      </c>
      <c r="F389" s="33" t="n">
        <f aca="false">FLOOR(E389,1/24)</f>
        <v>46311.0833333333</v>
      </c>
      <c r="G389" s="34"/>
    </row>
    <row r="390" customFormat="false" ht="15" hidden="false" customHeight="false" outlineLevel="0" collapsed="false">
      <c r="A390" s="34" t="n">
        <v>389</v>
      </c>
      <c r="B390" s="34" t="s">
        <v>4889</v>
      </c>
      <c r="C390" s="34" t="n">
        <v>1</v>
      </c>
      <c r="D390" s="34" t="s">
        <v>5424</v>
      </c>
      <c r="E390" s="24" t="n">
        <v>46311.1171875</v>
      </c>
      <c r="F390" s="33" t="n">
        <f aca="false">FLOOR(E390,1/24)</f>
        <v>46311.0833333333</v>
      </c>
      <c r="G390" s="34" t="s">
        <v>5425</v>
      </c>
    </row>
    <row r="391" customFormat="false" ht="15" hidden="false" customHeight="false" outlineLevel="0" collapsed="false">
      <c r="A391" s="34" t="n">
        <v>390</v>
      </c>
      <c r="B391" s="34" t="s">
        <v>4889</v>
      </c>
      <c r="C391" s="34" t="n">
        <v>2</v>
      </c>
      <c r="D391" s="34" t="s">
        <v>5423</v>
      </c>
      <c r="E391" s="24" t="n">
        <v>46311.1217708333</v>
      </c>
      <c r="F391" s="33" t="n">
        <f aca="false">FLOOR(E391,1/24)</f>
        <v>46311.0833333333</v>
      </c>
      <c r="G391" s="34"/>
    </row>
    <row r="392" customFormat="false" ht="15" hidden="false" customHeight="false" outlineLevel="0" collapsed="false">
      <c r="A392" s="34" t="n">
        <v>391</v>
      </c>
      <c r="B392" s="34" t="s">
        <v>4906</v>
      </c>
      <c r="C392" s="34" t="n">
        <v>1</v>
      </c>
      <c r="D392" s="34" t="s">
        <v>5423</v>
      </c>
      <c r="E392" s="24" t="n">
        <v>46311.1236689815</v>
      </c>
      <c r="F392" s="33" t="n">
        <f aca="false">FLOOR(E392,1/24)</f>
        <v>46311.0833333333</v>
      </c>
      <c r="G392" s="34"/>
    </row>
    <row r="393" customFormat="false" ht="15" hidden="false" customHeight="false" outlineLevel="0" collapsed="false">
      <c r="A393" s="34" t="n">
        <v>392</v>
      </c>
      <c r="B393" s="34" t="s">
        <v>4920</v>
      </c>
      <c r="C393" s="34" t="n">
        <v>1</v>
      </c>
      <c r="D393" s="34" t="s">
        <v>5423</v>
      </c>
      <c r="E393" s="24" t="n">
        <v>46311.1249074074</v>
      </c>
      <c r="F393" s="33" t="n">
        <f aca="false">FLOOR(E393,1/24)</f>
        <v>46311.0833333333</v>
      </c>
      <c r="G393" s="34"/>
    </row>
    <row r="394" customFormat="false" ht="15" hidden="false" customHeight="false" outlineLevel="0" collapsed="false">
      <c r="A394" s="34" t="n">
        <v>393</v>
      </c>
      <c r="B394" s="34" t="s">
        <v>4936</v>
      </c>
      <c r="C394" s="34" t="n">
        <v>1</v>
      </c>
      <c r="D394" s="34" t="s">
        <v>5423</v>
      </c>
      <c r="E394" s="24" t="n">
        <v>46311.126400463</v>
      </c>
      <c r="F394" s="33" t="n">
        <f aca="false">FLOOR(E394,1/24)</f>
        <v>46311.125</v>
      </c>
      <c r="G394" s="34"/>
    </row>
    <row r="395" customFormat="false" ht="15" hidden="false" customHeight="false" outlineLevel="0" collapsed="false">
      <c r="A395" s="34" t="n">
        <v>394</v>
      </c>
      <c r="B395" s="34" t="s">
        <v>4954</v>
      </c>
      <c r="C395" s="34" t="n">
        <v>1</v>
      </c>
      <c r="D395" s="34" t="s">
        <v>5424</v>
      </c>
      <c r="E395" s="24" t="n">
        <v>46311.1277430556</v>
      </c>
      <c r="F395" s="33" t="n">
        <f aca="false">FLOOR(E395,1/24)</f>
        <v>46311.125</v>
      </c>
      <c r="G395" s="34" t="s">
        <v>5425</v>
      </c>
    </row>
    <row r="396" customFormat="false" ht="15" hidden="false" customHeight="false" outlineLevel="0" collapsed="false">
      <c r="A396" s="34" t="n">
        <v>395</v>
      </c>
      <c r="B396" s="34" t="s">
        <v>4954</v>
      </c>
      <c r="C396" s="34" t="n">
        <v>2</v>
      </c>
      <c r="D396" s="34" t="s">
        <v>5423</v>
      </c>
      <c r="E396" s="24" t="n">
        <v>46311.1323263889</v>
      </c>
      <c r="F396" s="33" t="n">
        <f aca="false">FLOOR(E396,1/24)</f>
        <v>46311.125</v>
      </c>
      <c r="G396" s="34"/>
    </row>
    <row r="397" customFormat="false" ht="15" hidden="false" customHeight="false" outlineLevel="0" collapsed="false">
      <c r="A397" s="34" t="n">
        <v>396</v>
      </c>
      <c r="B397" s="34" t="s">
        <v>4970</v>
      </c>
      <c r="C397" s="34" t="n">
        <v>1</v>
      </c>
      <c r="D397" s="34" t="s">
        <v>5423</v>
      </c>
      <c r="E397" s="24" t="n">
        <v>46311.1339467593</v>
      </c>
      <c r="F397" s="33" t="n">
        <f aca="false">FLOOR(E397,1/24)</f>
        <v>46311.125</v>
      </c>
      <c r="G397" s="34"/>
    </row>
    <row r="398" customFormat="false" ht="15" hidden="false" customHeight="false" outlineLevel="0" collapsed="false">
      <c r="A398" s="34" t="n">
        <v>397</v>
      </c>
      <c r="B398" s="34" t="s">
        <v>4986</v>
      </c>
      <c r="C398" s="34" t="n">
        <v>1</v>
      </c>
      <c r="D398" s="34" t="s">
        <v>5423</v>
      </c>
      <c r="E398" s="24" t="n">
        <v>46311.1354282407</v>
      </c>
      <c r="F398" s="33" t="n">
        <f aca="false">FLOOR(E398,1/24)</f>
        <v>46311.125</v>
      </c>
      <c r="G398" s="34"/>
    </row>
    <row r="399" customFormat="false" ht="15" hidden="false" customHeight="false" outlineLevel="0" collapsed="false">
      <c r="A399" s="34" t="n">
        <v>398</v>
      </c>
      <c r="B399" s="34" t="s">
        <v>5003</v>
      </c>
      <c r="C399" s="34" t="n">
        <v>1</v>
      </c>
      <c r="D399" s="34" t="s">
        <v>5424</v>
      </c>
      <c r="E399" s="24" t="n">
        <v>46311.1387847222</v>
      </c>
      <c r="F399" s="33" t="n">
        <f aca="false">FLOOR(E399,1/24)</f>
        <v>46311.125</v>
      </c>
      <c r="G399" s="34" t="s">
        <v>5425</v>
      </c>
    </row>
    <row r="400" customFormat="false" ht="15" hidden="false" customHeight="false" outlineLevel="0" collapsed="false">
      <c r="A400" s="34" t="n">
        <v>399</v>
      </c>
      <c r="B400" s="34" t="s">
        <v>5003</v>
      </c>
      <c r="C400" s="34" t="n">
        <v>2</v>
      </c>
      <c r="D400" s="34" t="s">
        <v>5423</v>
      </c>
      <c r="E400" s="24" t="n">
        <v>46311.1433796296</v>
      </c>
      <c r="F400" s="33" t="n">
        <f aca="false">FLOOR(E400,1/24)</f>
        <v>46311.125</v>
      </c>
      <c r="G400" s="34"/>
    </row>
    <row r="401" customFormat="false" ht="15" hidden="false" customHeight="false" outlineLevel="0" collapsed="false">
      <c r="A401" s="34" t="n">
        <v>400</v>
      </c>
      <c r="B401" s="34" t="s">
        <v>5022</v>
      </c>
      <c r="C401" s="34" t="n">
        <v>1</v>
      </c>
      <c r="D401" s="34" t="s">
        <v>5423</v>
      </c>
      <c r="E401" s="24" t="n">
        <v>46311.1448148148</v>
      </c>
      <c r="F401" s="33" t="n">
        <f aca="false">FLOOR(E401,1/24)</f>
        <v>46311.125</v>
      </c>
      <c r="G401" s="34"/>
    </row>
    <row r="402" customFormat="false" ht="15" hidden="false" customHeight="false" outlineLevel="0" collapsed="false">
      <c r="A402" s="34" t="n">
        <v>401</v>
      </c>
      <c r="B402" s="34" t="s">
        <v>5039</v>
      </c>
      <c r="C402" s="34" t="n">
        <v>1</v>
      </c>
      <c r="D402" s="34" t="s">
        <v>5423</v>
      </c>
      <c r="E402" s="24" t="n">
        <v>46311.1461458333</v>
      </c>
      <c r="F402" s="33" t="n">
        <f aca="false">FLOOR(E402,1/24)</f>
        <v>46311.125</v>
      </c>
      <c r="G402" s="34"/>
    </row>
    <row r="403" customFormat="false" ht="15" hidden="false" customHeight="false" outlineLevel="0" collapsed="false">
      <c r="A403" s="34" t="n">
        <v>402</v>
      </c>
      <c r="B403" s="34" t="s">
        <v>5057</v>
      </c>
      <c r="C403" s="34" t="n">
        <v>1</v>
      </c>
      <c r="D403" s="34" t="s">
        <v>5423</v>
      </c>
      <c r="E403" s="24" t="n">
        <v>46311.1475231482</v>
      </c>
      <c r="F403" s="33" t="n">
        <f aca="false">FLOOR(E403,1/24)</f>
        <v>46311.125</v>
      </c>
      <c r="G403" s="34"/>
    </row>
    <row r="404" customFormat="false" ht="15" hidden="false" customHeight="false" outlineLevel="0" collapsed="false">
      <c r="A404" s="34" t="n">
        <v>403</v>
      </c>
      <c r="B404" s="34" t="s">
        <v>5073</v>
      </c>
      <c r="C404" s="34" t="n">
        <v>1</v>
      </c>
      <c r="D404" s="34" t="s">
        <v>5423</v>
      </c>
      <c r="E404" s="24" t="n">
        <v>46311.1491898148</v>
      </c>
      <c r="F404" s="33" t="n">
        <f aca="false">FLOOR(E404,1/24)</f>
        <v>46311.125</v>
      </c>
      <c r="G404" s="34"/>
    </row>
    <row r="405" customFormat="false" ht="15" hidden="false" customHeight="false" outlineLevel="0" collapsed="false">
      <c r="A405" s="34" t="n">
        <v>404</v>
      </c>
      <c r="B405" s="34" t="s">
        <v>5089</v>
      </c>
      <c r="C405" s="34" t="n">
        <v>1</v>
      </c>
      <c r="D405" s="34" t="s">
        <v>5423</v>
      </c>
      <c r="E405" s="24" t="n">
        <v>46311.1507986111</v>
      </c>
      <c r="F405" s="33" t="n">
        <f aca="false">FLOOR(E405,1/24)</f>
        <v>46311.125</v>
      </c>
      <c r="G405" s="34"/>
    </row>
    <row r="406" customFormat="false" ht="15" hidden="false" customHeight="false" outlineLevel="0" collapsed="false">
      <c r="A406" s="34" t="n">
        <v>405</v>
      </c>
      <c r="B406" s="34" t="s">
        <v>5107</v>
      </c>
      <c r="C406" s="34" t="n">
        <v>1</v>
      </c>
      <c r="D406" s="34" t="s">
        <v>5423</v>
      </c>
      <c r="E406" s="24" t="n">
        <v>46311.1521527778</v>
      </c>
      <c r="F406" s="33" t="n">
        <f aca="false">FLOOR(E406,1/24)</f>
        <v>46311.125</v>
      </c>
      <c r="G406" s="34"/>
    </row>
    <row r="407" customFormat="false" ht="15" hidden="false" customHeight="false" outlineLevel="0" collapsed="false">
      <c r="A407" s="34" t="n">
        <v>406</v>
      </c>
      <c r="B407" s="34" t="s">
        <v>5125</v>
      </c>
      <c r="C407" s="34" t="n">
        <v>1</v>
      </c>
      <c r="D407" s="34" t="s">
        <v>5423</v>
      </c>
      <c r="E407" s="24" t="n">
        <v>46311.1535648148</v>
      </c>
      <c r="F407" s="33" t="n">
        <f aca="false">FLOOR(E407,1/24)</f>
        <v>46311.125</v>
      </c>
      <c r="G407" s="34"/>
    </row>
    <row r="408" customFormat="false" ht="15" hidden="false" customHeight="false" outlineLevel="0" collapsed="false">
      <c r="A408" s="34" t="n">
        <v>407</v>
      </c>
      <c r="B408" s="34" t="s">
        <v>5142</v>
      </c>
      <c r="C408" s="34" t="n">
        <v>1</v>
      </c>
      <c r="D408" s="34" t="s">
        <v>5423</v>
      </c>
      <c r="E408" s="24" t="n">
        <v>46311.1549074074</v>
      </c>
      <c r="F408" s="33" t="n">
        <f aca="false">FLOOR(E408,1/24)</f>
        <v>46311.125</v>
      </c>
      <c r="G408" s="34"/>
    </row>
    <row r="409" customFormat="false" ht="15" hidden="false" customHeight="false" outlineLevel="0" collapsed="false">
      <c r="A409" s="34" t="n">
        <v>408</v>
      </c>
      <c r="B409" s="34" t="s">
        <v>5159</v>
      </c>
      <c r="C409" s="34" t="n">
        <v>1</v>
      </c>
      <c r="D409" s="34" t="s">
        <v>5424</v>
      </c>
      <c r="E409" s="24" t="n">
        <v>46311.1563773148</v>
      </c>
      <c r="F409" s="33" t="n">
        <f aca="false">FLOOR(E409,1/24)</f>
        <v>46311.125</v>
      </c>
      <c r="G409" s="34" t="s">
        <v>5425</v>
      </c>
    </row>
    <row r="410" customFormat="false" ht="15" hidden="false" customHeight="false" outlineLevel="0" collapsed="false">
      <c r="A410" s="34" t="n">
        <v>409</v>
      </c>
      <c r="B410" s="34" t="s">
        <v>5159</v>
      </c>
      <c r="C410" s="34" t="n">
        <v>2</v>
      </c>
      <c r="D410" s="34" t="s">
        <v>5423</v>
      </c>
      <c r="E410" s="24" t="n">
        <v>46311.1609606482</v>
      </c>
      <c r="F410" s="33" t="n">
        <f aca="false">FLOOR(E410,1/24)</f>
        <v>46311.125</v>
      </c>
      <c r="G410" s="34"/>
    </row>
    <row r="411" customFormat="false" ht="15" hidden="false" customHeight="false" outlineLevel="0" collapsed="false">
      <c r="A411" s="34" t="n">
        <v>410</v>
      </c>
      <c r="B411" s="34" t="s">
        <v>5178</v>
      </c>
      <c r="C411" s="34" t="n">
        <v>1</v>
      </c>
      <c r="D411" s="34" t="s">
        <v>5423</v>
      </c>
      <c r="E411" s="24" t="n">
        <v>46311.1623263889</v>
      </c>
      <c r="F411" s="33" t="n">
        <f aca="false">FLOOR(E411,1/24)</f>
        <v>46311.125</v>
      </c>
      <c r="G411" s="34"/>
    </row>
    <row r="412" customFormat="false" ht="15" hidden="false" customHeight="false" outlineLevel="0" collapsed="false">
      <c r="A412" s="34" t="n">
        <v>411</v>
      </c>
      <c r="B412" s="34" t="s">
        <v>5195</v>
      </c>
      <c r="C412" s="34" t="n">
        <v>1</v>
      </c>
      <c r="D412" s="34" t="s">
        <v>5423</v>
      </c>
      <c r="E412" s="24" t="n">
        <v>46311.1637731482</v>
      </c>
      <c r="F412" s="33" t="n">
        <f aca="false">FLOOR(E412,1/24)</f>
        <v>46311.125</v>
      </c>
      <c r="G412" s="34"/>
    </row>
    <row r="413" customFormat="false" ht="15" hidden="false" customHeight="false" outlineLevel="0" collapsed="false">
      <c r="A413" s="34" t="n">
        <v>412</v>
      </c>
      <c r="B413" s="34" t="s">
        <v>5212</v>
      </c>
      <c r="C413" s="34" t="n">
        <v>1</v>
      </c>
      <c r="D413" s="34" t="s">
        <v>5423</v>
      </c>
      <c r="E413" s="24" t="n">
        <v>46311.1656134259</v>
      </c>
      <c r="F413" s="33" t="n">
        <f aca="false">FLOOR(E413,1/24)</f>
        <v>46311.125</v>
      </c>
      <c r="G413" s="34"/>
    </row>
    <row r="414" customFormat="false" ht="15" hidden="false" customHeight="false" outlineLevel="0" collapsed="false">
      <c r="A414" s="34" t="n">
        <v>413</v>
      </c>
      <c r="B414" s="34" t="s">
        <v>5230</v>
      </c>
      <c r="C414" s="34" t="n">
        <v>1</v>
      </c>
      <c r="D414" s="34" t="s">
        <v>5423</v>
      </c>
      <c r="E414" s="24" t="n">
        <v>46311.1671759259</v>
      </c>
      <c r="F414" s="33" t="n">
        <f aca="false">FLOOR(E414,1/24)</f>
        <v>46311.1666666667</v>
      </c>
      <c r="G414" s="34"/>
    </row>
    <row r="415" customFormat="false" ht="15" hidden="false" customHeight="false" outlineLevel="0" collapsed="false">
      <c r="A415" s="34" t="n">
        <v>414</v>
      </c>
      <c r="B415" s="34" t="s">
        <v>5248</v>
      </c>
      <c r="C415" s="34" t="n">
        <v>1</v>
      </c>
      <c r="D415" s="34" t="s">
        <v>5424</v>
      </c>
      <c r="E415" s="24" t="n">
        <v>46311.168599537</v>
      </c>
      <c r="F415" s="33" t="n">
        <f aca="false">FLOOR(E415,1/24)</f>
        <v>46311.1666666667</v>
      </c>
      <c r="G415" s="34" t="s">
        <v>5425</v>
      </c>
    </row>
    <row r="416" customFormat="false" ht="15" hidden="false" customHeight="false" outlineLevel="0" collapsed="false">
      <c r="A416" s="34" t="n">
        <v>415</v>
      </c>
      <c r="B416" s="34" t="s">
        <v>5248</v>
      </c>
      <c r="C416" s="34" t="n">
        <v>2</v>
      </c>
      <c r="D416" s="34" t="s">
        <v>5423</v>
      </c>
      <c r="E416" s="24" t="n">
        <v>46311.1731944445</v>
      </c>
      <c r="F416" s="33" t="n">
        <f aca="false">FLOOR(E416,1/24)</f>
        <v>46311.1666666667</v>
      </c>
      <c r="G416" s="34"/>
    </row>
    <row r="417" customFormat="false" ht="15" hidden="false" customHeight="false" outlineLevel="0" collapsed="false">
      <c r="A417" s="34" t="n">
        <v>416</v>
      </c>
      <c r="B417" s="34" t="s">
        <v>5265</v>
      </c>
      <c r="C417" s="34" t="n">
        <v>1</v>
      </c>
      <c r="D417" s="34" t="s">
        <v>5423</v>
      </c>
      <c r="E417" s="24" t="n">
        <v>46311.1745949074</v>
      </c>
      <c r="F417" s="33" t="n">
        <f aca="false">FLOOR(E417,1/24)</f>
        <v>46311.1666666667</v>
      </c>
      <c r="G417" s="34"/>
    </row>
    <row r="418" customFormat="false" ht="15" hidden="false" customHeight="false" outlineLevel="0" collapsed="false">
      <c r="A418" s="34" t="n">
        <v>417</v>
      </c>
      <c r="B418" s="34" t="s">
        <v>5283</v>
      </c>
      <c r="C418" s="34" t="n">
        <v>1</v>
      </c>
      <c r="D418" s="34" t="s">
        <v>5423</v>
      </c>
      <c r="E418" s="24" t="n">
        <v>46311.1761342593</v>
      </c>
      <c r="F418" s="33" t="n">
        <f aca="false">FLOOR(E418,1/24)</f>
        <v>46311.1666666667</v>
      </c>
      <c r="G418" s="34"/>
    </row>
    <row r="419" customFormat="false" ht="15" hidden="false" customHeight="false" outlineLevel="0" collapsed="false">
      <c r="A419" s="34" t="n">
        <v>418</v>
      </c>
      <c r="B419" s="34" t="s">
        <v>5300</v>
      </c>
      <c r="C419" s="34" t="n">
        <v>1</v>
      </c>
      <c r="D419" s="34" t="s">
        <v>5423</v>
      </c>
      <c r="E419" s="24" t="n">
        <v>46311.1778819444</v>
      </c>
      <c r="F419" s="33" t="n">
        <f aca="false">FLOOR(E419,1/24)</f>
        <v>46311.1666666667</v>
      </c>
      <c r="G419" s="34"/>
    </row>
    <row r="420" customFormat="false" ht="15" hidden="false" customHeight="false" outlineLevel="0" collapsed="false">
      <c r="A420" s="34" t="n">
        <v>419</v>
      </c>
      <c r="B420" s="34" t="s">
        <v>5317</v>
      </c>
      <c r="C420" s="34" t="n">
        <v>1</v>
      </c>
      <c r="D420" s="34" t="s">
        <v>5423</v>
      </c>
      <c r="E420" s="24" t="n">
        <v>46311.1793518519</v>
      </c>
      <c r="F420" s="33" t="n">
        <f aca="false">FLOOR(E420,1/24)</f>
        <v>46311.1666666667</v>
      </c>
      <c r="G420" s="34"/>
    </row>
    <row r="421" customFormat="false" ht="15" hidden="false" customHeight="false" outlineLevel="0" collapsed="false">
      <c r="A421" s="34" t="n">
        <v>420</v>
      </c>
      <c r="B421" s="34" t="s">
        <v>5335</v>
      </c>
      <c r="C421" s="34" t="n">
        <v>1</v>
      </c>
      <c r="D421" s="34" t="s">
        <v>5423</v>
      </c>
      <c r="E421" s="24" t="n">
        <v>46311.1808217593</v>
      </c>
      <c r="F421" s="33" t="n">
        <f aca="false">FLOOR(E421,1/24)</f>
        <v>46311.1666666667</v>
      </c>
      <c r="G421" s="34"/>
    </row>
    <row r="422" customFormat="false" ht="15" hidden="false" customHeight="false" outlineLevel="0" collapsed="false">
      <c r="A422" s="34" t="n">
        <v>421</v>
      </c>
      <c r="B422" s="34" t="s">
        <v>5351</v>
      </c>
      <c r="C422" s="34" t="n">
        <v>1</v>
      </c>
      <c r="D422" s="34" t="s">
        <v>5423</v>
      </c>
      <c r="E422" s="24" t="n">
        <v>46311.182337963</v>
      </c>
      <c r="F422" s="33" t="n">
        <f aca="false">FLOOR(E422,1/24)</f>
        <v>46311.1666666667</v>
      </c>
      <c r="G422" s="34"/>
    </row>
  </sheetData>
  <autoFilter ref="A1:G42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3"/>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6" min="6" style="0" width="12"/>
  </cols>
  <sheetData>
    <row r="1" customFormat="false" ht="18.55" hidden="false" customHeight="false" outlineLevel="0" collapsed="false">
      <c r="A1" s="1" t="s">
        <v>5433</v>
      </c>
    </row>
    <row r="2" customFormat="false" ht="15" hidden="false" customHeight="false" outlineLevel="0" collapsed="false">
      <c r="A2" s="2" t="s">
        <v>5434</v>
      </c>
    </row>
    <row r="4" customFormat="false" ht="23.85" hidden="false" customHeight="false" outlineLevel="0" collapsed="false">
      <c r="A4" s="3" t="s">
        <v>5421</v>
      </c>
      <c r="B4" s="3" t="s">
        <v>24</v>
      </c>
      <c r="C4" s="3" t="s">
        <v>5435</v>
      </c>
      <c r="D4" s="3" t="s">
        <v>5436</v>
      </c>
      <c r="E4" s="3" t="s">
        <v>5437</v>
      </c>
      <c r="F4" s="3" t="s">
        <v>5438</v>
      </c>
    </row>
    <row r="5" customFormat="false" ht="15" hidden="false" customHeight="false" outlineLevel="0" collapsed="false">
      <c r="A5" s="35" t="n">
        <v>46309.75</v>
      </c>
      <c r="B5" s="4" t="n">
        <f aca="false">COUNTIFS(TENTATIVES!$E$2:$E$422,"&gt;="&amp;A5,TENTATIVES!$E$2:$E$422,"&lt;"&amp;A5+1/24)</f>
        <v>3</v>
      </c>
      <c r="C5" s="4" t="n">
        <f aca="false">COUNTIFS(TENTATIVES!$E$2:$E$422,"&gt;="&amp;A5,TENTATIVES!$E$2:$E$422,"&lt;"&amp;A5+1/24,TENTATIVES!$D$2:$D$422,"COMPLETE")</f>
        <v>1</v>
      </c>
      <c r="D5" s="4" t="n">
        <f aca="false">COUNTIFS(TENTATIVES!$E$2:$E$422,"&gt;="&amp;A5,TENTATIVES!$E$2:$E$422,"&lt;"&amp;A5+1/24,TENTATIVES!$D$2:$D$422,"FAILED")</f>
        <v>2</v>
      </c>
      <c r="E5" s="27" t="n">
        <f aca="false">IF(B5=0,"",D5/B5)</f>
        <v>0.666666666666667</v>
      </c>
      <c r="F5" s="4" t="s">
        <v>5439</v>
      </c>
    </row>
    <row r="6" customFormat="false" ht="15" hidden="false" customHeight="false" outlineLevel="0" collapsed="false">
      <c r="A6" s="35" t="n">
        <v>46309.7916666667</v>
      </c>
      <c r="B6" s="4" t="n">
        <f aca="false">COUNTIFS(TENTATIVES!$E$2:$E$422,"&gt;="&amp;A6,TENTATIVES!$E$2:$E$422,"&lt;"&amp;A6+1/24)</f>
        <v>14</v>
      </c>
      <c r="C6" s="4" t="n">
        <f aca="false">COUNTIFS(TENTATIVES!$E$2:$E$422,"&gt;="&amp;A6,TENTATIVES!$E$2:$E$422,"&lt;"&amp;A6+1/24,TENTATIVES!$D$2:$D$422,"COMPLETE")</f>
        <v>7</v>
      </c>
      <c r="D6" s="4" t="n">
        <f aca="false">COUNTIFS(TENTATIVES!$E$2:$E$422,"&gt;="&amp;A6,TENTATIVES!$E$2:$E$422,"&lt;"&amp;A6+1/24,TENTATIVES!$D$2:$D$422,"FAILED")</f>
        <v>7</v>
      </c>
      <c r="E6" s="27" t="n">
        <f aca="false">IF(B6=0,"",D6/B6)</f>
        <v>0.5</v>
      </c>
      <c r="F6" s="4" t="s">
        <v>5440</v>
      </c>
    </row>
    <row r="7" customFormat="false" ht="15" hidden="false" customHeight="false" outlineLevel="0" collapsed="false">
      <c r="A7" s="35" t="n">
        <v>46309.8333333333</v>
      </c>
      <c r="B7" s="4" t="n">
        <f aca="false">COUNTIFS(TENTATIVES!$E$2:$E$422,"&gt;="&amp;A7,TENTATIVES!$E$2:$E$422,"&lt;"&amp;A7+1/24)</f>
        <v>11</v>
      </c>
      <c r="C7" s="4" t="n">
        <f aca="false">COUNTIFS(TENTATIVES!$E$2:$E$422,"&gt;="&amp;A7,TENTATIVES!$E$2:$E$422,"&lt;"&amp;A7+1/24,TENTATIVES!$D$2:$D$422,"COMPLETE")</f>
        <v>3</v>
      </c>
      <c r="D7" s="4" t="n">
        <f aca="false">COUNTIFS(TENTATIVES!$E$2:$E$422,"&gt;="&amp;A7,TENTATIVES!$E$2:$E$422,"&lt;"&amp;A7+1/24,TENTATIVES!$D$2:$D$422,"FAILED")</f>
        <v>8</v>
      </c>
      <c r="E7" s="27" t="n">
        <f aca="false">IF(B7=0,"",D7/B7)</f>
        <v>0.727272727272727</v>
      </c>
      <c r="F7" s="4" t="s">
        <v>5441</v>
      </c>
    </row>
    <row r="8" customFormat="false" ht="15" hidden="false" customHeight="false" outlineLevel="0" collapsed="false">
      <c r="A8" s="35" t="n">
        <v>46309.875</v>
      </c>
      <c r="B8" s="4" t="n">
        <f aca="false">COUNTIFS(TENTATIVES!$E$2:$E$422,"&gt;="&amp;A8,TENTATIVES!$E$2:$E$422,"&lt;"&amp;A8+1/24)</f>
        <v>11</v>
      </c>
      <c r="C8" s="4" t="n">
        <f aca="false">COUNTIFS(TENTATIVES!$E$2:$E$422,"&gt;="&amp;A8,TENTATIVES!$E$2:$E$422,"&lt;"&amp;A8+1/24,TENTATIVES!$D$2:$D$422,"COMPLETE")</f>
        <v>2</v>
      </c>
      <c r="D8" s="4" t="n">
        <f aca="false">COUNTIFS(TENTATIVES!$E$2:$E$422,"&gt;="&amp;A8,TENTATIVES!$E$2:$E$422,"&lt;"&amp;A8+1/24,TENTATIVES!$D$2:$D$422,"FAILED")</f>
        <v>9</v>
      </c>
      <c r="E8" s="27" t="n">
        <f aca="false">IF(B8=0,"",D8/B8)</f>
        <v>0.818181818181818</v>
      </c>
      <c r="F8" s="4" t="s">
        <v>5442</v>
      </c>
    </row>
    <row r="9" customFormat="false" ht="15" hidden="false" customHeight="false" outlineLevel="0" collapsed="false">
      <c r="A9" s="35" t="n">
        <v>46309.9166666667</v>
      </c>
      <c r="B9" s="4" t="n">
        <f aca="false">COUNTIFS(TENTATIVES!$E$2:$E$422,"&gt;="&amp;A9,TENTATIVES!$E$2:$E$422,"&lt;"&amp;A9+1/24)</f>
        <v>7</v>
      </c>
      <c r="C9" s="4" t="n">
        <f aca="false">COUNTIFS(TENTATIVES!$E$2:$E$422,"&gt;="&amp;A9,TENTATIVES!$E$2:$E$422,"&lt;"&amp;A9+1/24,TENTATIVES!$D$2:$D$422,"COMPLETE")</f>
        <v>0</v>
      </c>
      <c r="D9" s="4" t="n">
        <f aca="false">COUNTIFS(TENTATIVES!$E$2:$E$422,"&gt;="&amp;A9,TENTATIVES!$E$2:$E$422,"&lt;"&amp;A9+1/24,TENTATIVES!$D$2:$D$422,"FAILED")</f>
        <v>7</v>
      </c>
      <c r="E9" s="27" t="n">
        <f aca="false">IF(B9=0,"",D9/B9)</f>
        <v>1</v>
      </c>
      <c r="F9" s="4" t="s">
        <v>5443</v>
      </c>
    </row>
    <row r="10" customFormat="false" ht="15" hidden="false" customHeight="false" outlineLevel="0" collapsed="false">
      <c r="A10" s="35" t="n">
        <v>46309.9583333333</v>
      </c>
      <c r="B10" s="4" t="n">
        <f aca="false">COUNTIFS(TENTATIVES!$E$2:$E$422,"&gt;="&amp;A10,TENTATIVES!$E$2:$E$422,"&lt;"&amp;A10+1/24)</f>
        <v>10</v>
      </c>
      <c r="C10" s="4" t="n">
        <f aca="false">COUNTIFS(TENTATIVES!$E$2:$E$422,"&gt;="&amp;A10,TENTATIVES!$E$2:$E$422,"&lt;"&amp;A10+1/24,TENTATIVES!$D$2:$D$422,"COMPLETE")</f>
        <v>2</v>
      </c>
      <c r="D10" s="4" t="n">
        <f aca="false">COUNTIFS(TENTATIVES!$E$2:$E$422,"&gt;="&amp;A10,TENTATIVES!$E$2:$E$422,"&lt;"&amp;A10+1/24,TENTATIVES!$D$2:$D$422,"FAILED")</f>
        <v>8</v>
      </c>
      <c r="E10" s="27" t="n">
        <f aca="false">IF(B10=0,"",D10/B10)</f>
        <v>0.8</v>
      </c>
      <c r="F10" s="4" t="s">
        <v>5444</v>
      </c>
    </row>
    <row r="11" customFormat="false" ht="15" hidden="false" customHeight="false" outlineLevel="0" collapsed="false">
      <c r="A11" s="35" t="n">
        <v>46310</v>
      </c>
      <c r="B11" s="4" t="n">
        <f aca="false">COUNTIFS(TENTATIVES!$E$2:$E$422,"&gt;="&amp;A11,TENTATIVES!$E$2:$E$422,"&lt;"&amp;A11+1/24)</f>
        <v>8</v>
      </c>
      <c r="C11" s="4" t="n">
        <f aca="false">COUNTIFS(TENTATIVES!$E$2:$E$422,"&gt;="&amp;A11,TENTATIVES!$E$2:$E$422,"&lt;"&amp;A11+1/24,TENTATIVES!$D$2:$D$422,"COMPLETE")</f>
        <v>1</v>
      </c>
      <c r="D11" s="4" t="n">
        <f aca="false">COUNTIFS(TENTATIVES!$E$2:$E$422,"&gt;="&amp;A11,TENTATIVES!$E$2:$E$422,"&lt;"&amp;A11+1/24,TENTATIVES!$D$2:$D$422,"FAILED")</f>
        <v>7</v>
      </c>
      <c r="E11" s="27" t="n">
        <f aca="false">IF(B11=0,"",D11/B11)</f>
        <v>0.875</v>
      </c>
      <c r="F11" s="4" t="s">
        <v>5445</v>
      </c>
    </row>
    <row r="12" customFormat="false" ht="15" hidden="false" customHeight="false" outlineLevel="0" collapsed="false">
      <c r="A12" s="35" t="n">
        <v>46310.0416666667</v>
      </c>
      <c r="B12" s="4" t="n">
        <f aca="false">COUNTIFS(TENTATIVES!$E$2:$E$422,"&gt;="&amp;A12,TENTATIVES!$E$2:$E$422,"&lt;"&amp;A12+1/24)</f>
        <v>8</v>
      </c>
      <c r="C12" s="4" t="n">
        <f aca="false">COUNTIFS(TENTATIVES!$E$2:$E$422,"&gt;="&amp;A12,TENTATIVES!$E$2:$E$422,"&lt;"&amp;A12+1/24,TENTATIVES!$D$2:$D$422,"COMPLETE")</f>
        <v>0</v>
      </c>
      <c r="D12" s="4" t="n">
        <f aca="false">COUNTIFS(TENTATIVES!$E$2:$E$422,"&gt;="&amp;A12,TENTATIVES!$E$2:$E$422,"&lt;"&amp;A12+1/24,TENTATIVES!$D$2:$D$422,"FAILED")</f>
        <v>8</v>
      </c>
      <c r="E12" s="27" t="n">
        <f aca="false">IF(B12=0,"",D12/B12)</f>
        <v>1</v>
      </c>
      <c r="F12" s="4" t="s">
        <v>5446</v>
      </c>
    </row>
    <row r="13" customFormat="false" ht="15" hidden="false" customHeight="false" outlineLevel="0" collapsed="false">
      <c r="A13" s="35" t="n">
        <v>46310.375</v>
      </c>
      <c r="B13" s="4" t="n">
        <f aca="false">COUNTIFS(TENTATIVES!$E$2:$E$422,"&gt;="&amp;A13,TENTATIVES!$E$2:$E$422,"&lt;"&amp;A13+1/24)</f>
        <v>8</v>
      </c>
      <c r="C13" s="4" t="n">
        <f aca="false">COUNTIFS(TENTATIVES!$E$2:$E$422,"&gt;="&amp;A13,TENTATIVES!$E$2:$E$422,"&lt;"&amp;A13+1/24,TENTATIVES!$D$2:$D$422,"COMPLETE")</f>
        <v>6</v>
      </c>
      <c r="D13" s="4" t="n">
        <f aca="false">COUNTIFS(TENTATIVES!$E$2:$E$422,"&gt;="&amp;A13,TENTATIVES!$E$2:$E$422,"&lt;"&amp;A13+1/24,TENTATIVES!$D$2:$D$422,"FAILED")</f>
        <v>0</v>
      </c>
      <c r="E13" s="27" t="n">
        <f aca="false">IF(B13=0,"",D13/B13)</f>
        <v>0</v>
      </c>
      <c r="F13" s="4" t="s">
        <v>5447</v>
      </c>
    </row>
    <row r="14" customFormat="false" ht="15" hidden="false" customHeight="false" outlineLevel="0" collapsed="false">
      <c r="A14" s="35" t="n">
        <v>46310.4166666667</v>
      </c>
      <c r="B14" s="4" t="n">
        <f aca="false">COUNTIFS(TENTATIVES!$E$2:$E$422,"&gt;="&amp;A14,TENTATIVES!$E$2:$E$422,"&lt;"&amp;A14+1/24)</f>
        <v>18</v>
      </c>
      <c r="C14" s="4" t="n">
        <f aca="false">COUNTIFS(TENTATIVES!$E$2:$E$422,"&gt;="&amp;A14,TENTATIVES!$E$2:$E$422,"&lt;"&amp;A14+1/24,TENTATIVES!$D$2:$D$422,"COMPLETE")</f>
        <v>14</v>
      </c>
      <c r="D14" s="4" t="n">
        <f aca="false">COUNTIFS(TENTATIVES!$E$2:$E$422,"&gt;="&amp;A14,TENTATIVES!$E$2:$E$422,"&lt;"&amp;A14+1/24,TENTATIVES!$D$2:$D$422,"FAILED")</f>
        <v>4</v>
      </c>
      <c r="E14" s="27" t="n">
        <f aca="false">IF(B14=0,"",D14/B14)</f>
        <v>0.222222222222222</v>
      </c>
      <c r="F14" s="4" t="s">
        <v>5448</v>
      </c>
    </row>
    <row r="15" customFormat="false" ht="15" hidden="false" customHeight="false" outlineLevel="0" collapsed="false">
      <c r="A15" s="35" t="n">
        <v>46310.4583333333</v>
      </c>
      <c r="B15" s="4" t="n">
        <f aca="false">COUNTIFS(TENTATIVES!$E$2:$E$422,"&gt;="&amp;A15,TENTATIVES!$E$2:$E$422,"&lt;"&amp;A15+1/24)</f>
        <v>15</v>
      </c>
      <c r="C15" s="4" t="n">
        <f aca="false">COUNTIFS(TENTATIVES!$E$2:$E$422,"&gt;="&amp;A15,TENTATIVES!$E$2:$E$422,"&lt;"&amp;A15+1/24,TENTATIVES!$D$2:$D$422,"COMPLETE")</f>
        <v>9</v>
      </c>
      <c r="D15" s="4" t="n">
        <f aca="false">COUNTIFS(TENTATIVES!$E$2:$E$422,"&gt;="&amp;A15,TENTATIVES!$E$2:$E$422,"&lt;"&amp;A15+1/24,TENTATIVES!$D$2:$D$422,"FAILED")</f>
        <v>6</v>
      </c>
      <c r="E15" s="27" t="n">
        <f aca="false">IF(B15=0,"",D15/B15)</f>
        <v>0.4</v>
      </c>
      <c r="F15" s="4" t="s">
        <v>5449</v>
      </c>
    </row>
    <row r="16" customFormat="false" ht="15" hidden="false" customHeight="false" outlineLevel="0" collapsed="false">
      <c r="A16" s="35" t="n">
        <v>46310.5</v>
      </c>
      <c r="B16" s="4" t="n">
        <f aca="false">COUNTIFS(TENTATIVES!$E$2:$E$422,"&gt;="&amp;A16,TENTATIVES!$E$2:$E$422,"&lt;"&amp;A16+1/24)</f>
        <v>10</v>
      </c>
      <c r="C16" s="4" t="n">
        <f aca="false">COUNTIFS(TENTATIVES!$E$2:$E$422,"&gt;="&amp;A16,TENTATIVES!$E$2:$E$422,"&lt;"&amp;A16+1/24,TENTATIVES!$D$2:$D$422,"COMPLETE")</f>
        <v>3</v>
      </c>
      <c r="D16" s="4" t="n">
        <f aca="false">COUNTIFS(TENTATIVES!$E$2:$E$422,"&gt;="&amp;A16,TENTATIVES!$E$2:$E$422,"&lt;"&amp;A16+1/24,TENTATIVES!$D$2:$D$422,"FAILED")</f>
        <v>6</v>
      </c>
      <c r="E16" s="27" t="n">
        <f aca="false">IF(B16=0,"",D16/B16)</f>
        <v>0.6</v>
      </c>
      <c r="F16" s="4" t="s">
        <v>5450</v>
      </c>
    </row>
    <row r="17" customFormat="false" ht="15" hidden="false" customHeight="false" outlineLevel="0" collapsed="false">
      <c r="A17" s="35" t="n">
        <v>46310.5416666667</v>
      </c>
      <c r="B17" s="4" t="n">
        <f aca="false">COUNTIFS(TENTATIVES!$E$2:$E$422,"&gt;="&amp;A17,TENTATIVES!$E$2:$E$422,"&lt;"&amp;A17+1/24)</f>
        <v>13</v>
      </c>
      <c r="C17" s="4" t="n">
        <f aca="false">COUNTIFS(TENTATIVES!$E$2:$E$422,"&gt;="&amp;A17,TENTATIVES!$E$2:$E$422,"&lt;"&amp;A17+1/24,TENTATIVES!$D$2:$D$422,"COMPLETE")</f>
        <v>6</v>
      </c>
      <c r="D17" s="4" t="n">
        <f aca="false">COUNTIFS(TENTATIVES!$E$2:$E$422,"&gt;="&amp;A17,TENTATIVES!$E$2:$E$422,"&lt;"&amp;A17+1/24,TENTATIVES!$D$2:$D$422,"FAILED")</f>
        <v>7</v>
      </c>
      <c r="E17" s="27" t="n">
        <f aca="false">IF(B17=0,"",D17/B17)</f>
        <v>0.538461538461538</v>
      </c>
      <c r="F17" s="4" t="s">
        <v>5451</v>
      </c>
    </row>
    <row r="18" customFormat="false" ht="15" hidden="false" customHeight="false" outlineLevel="0" collapsed="false">
      <c r="A18" s="35" t="n">
        <v>46310.5833333333</v>
      </c>
      <c r="B18" s="4" t="n">
        <f aca="false">COUNTIFS(TENTATIVES!$E$2:$E$422,"&gt;="&amp;A18,TENTATIVES!$E$2:$E$422,"&lt;"&amp;A18+1/24)</f>
        <v>23</v>
      </c>
      <c r="C18" s="4" t="n">
        <f aca="false">COUNTIFS(TENTATIVES!$E$2:$E$422,"&gt;="&amp;A18,TENTATIVES!$E$2:$E$422,"&lt;"&amp;A18+1/24,TENTATIVES!$D$2:$D$422,"COMPLETE")</f>
        <v>23</v>
      </c>
      <c r="D18" s="4" t="n">
        <f aca="false">COUNTIFS(TENTATIVES!$E$2:$E$422,"&gt;="&amp;A18,TENTATIVES!$E$2:$E$422,"&lt;"&amp;A18+1/24,TENTATIVES!$D$2:$D$422,"FAILED")</f>
        <v>0</v>
      </c>
      <c r="E18" s="27" t="n">
        <f aca="false">IF(B18=0,"",D18/B18)</f>
        <v>0</v>
      </c>
      <c r="F18" s="4" t="s">
        <v>5452</v>
      </c>
    </row>
    <row r="19" customFormat="false" ht="15" hidden="false" customHeight="false" outlineLevel="0" collapsed="false">
      <c r="A19" s="35" t="n">
        <v>46310.625</v>
      </c>
      <c r="B19" s="4" t="n">
        <f aca="false">COUNTIFS(TENTATIVES!$E$2:$E$422,"&gt;="&amp;A19,TENTATIVES!$E$2:$E$422,"&lt;"&amp;A19+1/24)</f>
        <v>22</v>
      </c>
      <c r="C19" s="4" t="n">
        <f aca="false">COUNTIFS(TENTATIVES!$E$2:$E$422,"&gt;="&amp;A19,TENTATIVES!$E$2:$E$422,"&lt;"&amp;A19+1/24,TENTATIVES!$D$2:$D$422,"COMPLETE")</f>
        <v>22</v>
      </c>
      <c r="D19" s="4" t="n">
        <f aca="false">COUNTIFS(TENTATIVES!$E$2:$E$422,"&gt;="&amp;A19,TENTATIVES!$E$2:$E$422,"&lt;"&amp;A19+1/24,TENTATIVES!$D$2:$D$422,"FAILED")</f>
        <v>0</v>
      </c>
      <c r="E19" s="27" t="n">
        <f aca="false">IF(B19=0,"",D19/B19)</f>
        <v>0</v>
      </c>
      <c r="F19" s="4" t="s">
        <v>5453</v>
      </c>
    </row>
    <row r="20" customFormat="false" ht="15" hidden="false" customHeight="false" outlineLevel="0" collapsed="false">
      <c r="A20" s="35" t="n">
        <v>46310.6666666667</v>
      </c>
      <c r="B20" s="4" t="n">
        <f aca="false">COUNTIFS(TENTATIVES!$E$2:$E$422,"&gt;="&amp;A20,TENTATIVES!$E$2:$E$422,"&lt;"&amp;A20+1/24)</f>
        <v>23</v>
      </c>
      <c r="C20" s="4" t="n">
        <f aca="false">COUNTIFS(TENTATIVES!$E$2:$E$422,"&gt;="&amp;A20,TENTATIVES!$E$2:$E$422,"&lt;"&amp;A20+1/24,TENTATIVES!$D$2:$D$422,"COMPLETE")</f>
        <v>22</v>
      </c>
      <c r="D20" s="4" t="n">
        <f aca="false">COUNTIFS(TENTATIVES!$E$2:$E$422,"&gt;="&amp;A20,TENTATIVES!$E$2:$E$422,"&lt;"&amp;A20+1/24,TENTATIVES!$D$2:$D$422,"FAILED")</f>
        <v>1</v>
      </c>
      <c r="E20" s="27" t="n">
        <f aca="false">IF(B20=0,"",D20/B20)</f>
        <v>0.0434782608695652</v>
      </c>
      <c r="F20" s="4" t="s">
        <v>5454</v>
      </c>
    </row>
    <row r="21" customFormat="false" ht="15" hidden="false" customHeight="false" outlineLevel="0" collapsed="false">
      <c r="A21" s="35" t="n">
        <v>46310.7083333333</v>
      </c>
      <c r="B21" s="4" t="n">
        <f aca="false">COUNTIFS(TENTATIVES!$E$2:$E$422,"&gt;="&amp;A21,TENTATIVES!$E$2:$E$422,"&lt;"&amp;A21+1/24)</f>
        <v>21</v>
      </c>
      <c r="C21" s="4" t="n">
        <f aca="false">COUNTIFS(TENTATIVES!$E$2:$E$422,"&gt;="&amp;A21,TENTATIVES!$E$2:$E$422,"&lt;"&amp;A21+1/24,TENTATIVES!$D$2:$D$422,"COMPLETE")</f>
        <v>19</v>
      </c>
      <c r="D21" s="4" t="n">
        <f aca="false">COUNTIFS(TENTATIVES!$E$2:$E$422,"&gt;="&amp;A21,TENTATIVES!$E$2:$E$422,"&lt;"&amp;A21+1/24,TENTATIVES!$D$2:$D$422,"FAILED")</f>
        <v>2</v>
      </c>
      <c r="E21" s="27" t="n">
        <f aca="false">IF(B21=0,"",D21/B21)</f>
        <v>0.0952380952380952</v>
      </c>
      <c r="F21" s="4" t="s">
        <v>5455</v>
      </c>
    </row>
    <row r="22" customFormat="false" ht="15" hidden="false" customHeight="false" outlineLevel="0" collapsed="false">
      <c r="A22" s="35" t="n">
        <v>46310.75</v>
      </c>
      <c r="B22" s="4" t="n">
        <f aca="false">COUNTIFS(TENTATIVES!$E$2:$E$422,"&gt;="&amp;A22,TENTATIVES!$E$2:$E$422,"&lt;"&amp;A22+1/24)</f>
        <v>18</v>
      </c>
      <c r="C22" s="4" t="n">
        <f aca="false">COUNTIFS(TENTATIVES!$E$2:$E$422,"&gt;="&amp;A22,TENTATIVES!$E$2:$E$422,"&lt;"&amp;A22+1/24,TENTATIVES!$D$2:$D$422,"COMPLETE")</f>
        <v>16</v>
      </c>
      <c r="D22" s="4" t="n">
        <f aca="false">COUNTIFS(TENTATIVES!$E$2:$E$422,"&gt;="&amp;A22,TENTATIVES!$E$2:$E$422,"&lt;"&amp;A22+1/24,TENTATIVES!$D$2:$D$422,"FAILED")</f>
        <v>2</v>
      </c>
      <c r="E22" s="27" t="n">
        <f aca="false">IF(B22=0,"",D22/B22)</f>
        <v>0.111111111111111</v>
      </c>
      <c r="F22" s="4" t="s">
        <v>5456</v>
      </c>
    </row>
    <row r="23" customFormat="false" ht="15" hidden="false" customHeight="false" outlineLevel="0" collapsed="false">
      <c r="A23" s="35" t="n">
        <v>46310.7916666667</v>
      </c>
      <c r="B23" s="4" t="n">
        <f aca="false">COUNTIFS(TENTATIVES!$E$2:$E$422,"&gt;="&amp;A23,TENTATIVES!$E$2:$E$422,"&lt;"&amp;A23+1/24)</f>
        <v>21</v>
      </c>
      <c r="C23" s="4" t="n">
        <f aca="false">COUNTIFS(TENTATIVES!$E$2:$E$422,"&gt;="&amp;A23,TENTATIVES!$E$2:$E$422,"&lt;"&amp;A23+1/24,TENTATIVES!$D$2:$D$422,"COMPLETE")</f>
        <v>19</v>
      </c>
      <c r="D23" s="4" t="n">
        <f aca="false">COUNTIFS(TENTATIVES!$E$2:$E$422,"&gt;="&amp;A23,TENTATIVES!$E$2:$E$422,"&lt;"&amp;A23+1/24,TENTATIVES!$D$2:$D$422,"FAILED")</f>
        <v>2</v>
      </c>
      <c r="E23" s="27" t="n">
        <f aca="false">IF(B23=0,"",D23/B23)</f>
        <v>0.0952380952380952</v>
      </c>
      <c r="F23" s="4" t="s">
        <v>5457</v>
      </c>
    </row>
    <row r="24" customFormat="false" ht="15" hidden="false" customHeight="false" outlineLevel="0" collapsed="false">
      <c r="A24" s="35" t="n">
        <v>46310.8333333333</v>
      </c>
      <c r="B24" s="4" t="n">
        <f aca="false">COUNTIFS(TENTATIVES!$E$2:$E$422,"&gt;="&amp;A24,TENTATIVES!$E$2:$E$422,"&lt;"&amp;A24+1/24)</f>
        <v>16</v>
      </c>
      <c r="C24" s="4" t="n">
        <f aca="false">COUNTIFS(TENTATIVES!$E$2:$E$422,"&gt;="&amp;A24,TENTATIVES!$E$2:$E$422,"&lt;"&amp;A24+1/24,TENTATIVES!$D$2:$D$422,"COMPLETE")</f>
        <v>11</v>
      </c>
      <c r="D24" s="4" t="n">
        <f aca="false">COUNTIFS(TENTATIVES!$E$2:$E$422,"&gt;="&amp;A24,TENTATIVES!$E$2:$E$422,"&lt;"&amp;A24+1/24,TENTATIVES!$D$2:$D$422,"FAILED")</f>
        <v>5</v>
      </c>
      <c r="E24" s="27" t="n">
        <f aca="false">IF(B24=0,"",D24/B24)</f>
        <v>0.3125</v>
      </c>
      <c r="F24" s="4" t="s">
        <v>5458</v>
      </c>
    </row>
    <row r="25" customFormat="false" ht="15" hidden="false" customHeight="false" outlineLevel="0" collapsed="false">
      <c r="A25" s="35" t="n">
        <v>46310.875</v>
      </c>
      <c r="B25" s="4" t="n">
        <f aca="false">COUNTIFS(TENTATIVES!$E$2:$E$422,"&gt;="&amp;A25,TENTATIVES!$E$2:$E$422,"&lt;"&amp;A25+1/24)</f>
        <v>22</v>
      </c>
      <c r="C25" s="4" t="n">
        <f aca="false">COUNTIFS(TENTATIVES!$E$2:$E$422,"&gt;="&amp;A25,TENTATIVES!$E$2:$E$422,"&lt;"&amp;A25+1/24,TENTATIVES!$D$2:$D$422,"COMPLETE")</f>
        <v>19</v>
      </c>
      <c r="D25" s="4" t="n">
        <f aca="false">COUNTIFS(TENTATIVES!$E$2:$E$422,"&gt;="&amp;A25,TENTATIVES!$E$2:$E$422,"&lt;"&amp;A25+1/24,TENTATIVES!$D$2:$D$422,"FAILED")</f>
        <v>3</v>
      </c>
      <c r="E25" s="27" t="n">
        <f aca="false">IF(B25=0,"",D25/B25)</f>
        <v>0.136363636363636</v>
      </c>
      <c r="F25" s="4" t="s">
        <v>5459</v>
      </c>
    </row>
    <row r="26" customFormat="false" ht="15" hidden="false" customHeight="false" outlineLevel="0" collapsed="false">
      <c r="A26" s="35" t="n">
        <v>46310.9166666667</v>
      </c>
      <c r="B26" s="4" t="n">
        <f aca="false">COUNTIFS(TENTATIVES!$E$2:$E$422,"&gt;="&amp;A26,TENTATIVES!$E$2:$E$422,"&lt;"&amp;A26+1/24)</f>
        <v>17</v>
      </c>
      <c r="C26" s="4" t="n">
        <f aca="false">COUNTIFS(TENTATIVES!$E$2:$E$422,"&gt;="&amp;A26,TENTATIVES!$E$2:$E$422,"&lt;"&amp;A26+1/24,TENTATIVES!$D$2:$D$422,"COMPLETE")</f>
        <v>12</v>
      </c>
      <c r="D26" s="4" t="n">
        <f aca="false">COUNTIFS(TENTATIVES!$E$2:$E$422,"&gt;="&amp;A26,TENTATIVES!$E$2:$E$422,"&lt;"&amp;A26+1/24,TENTATIVES!$D$2:$D$422,"FAILED")</f>
        <v>5</v>
      </c>
      <c r="E26" s="27" t="n">
        <f aca="false">IF(B26=0,"",D26/B26)</f>
        <v>0.294117647058824</v>
      </c>
      <c r="F26" s="4" t="s">
        <v>5460</v>
      </c>
    </row>
    <row r="27" customFormat="false" ht="15" hidden="false" customHeight="false" outlineLevel="0" collapsed="false">
      <c r="A27" s="35" t="n">
        <v>46310.9583333333</v>
      </c>
      <c r="B27" s="4" t="n">
        <f aca="false">COUNTIFS(TENTATIVES!$E$2:$E$422,"&gt;="&amp;A27,TENTATIVES!$E$2:$E$422,"&lt;"&amp;A27+1/24)</f>
        <v>20</v>
      </c>
      <c r="C27" s="4" t="n">
        <f aca="false">COUNTIFS(TENTATIVES!$E$2:$E$422,"&gt;="&amp;A27,TENTATIVES!$E$2:$E$422,"&lt;"&amp;A27+1/24,TENTATIVES!$D$2:$D$422,"COMPLETE")</f>
        <v>16</v>
      </c>
      <c r="D27" s="4" t="n">
        <f aca="false">COUNTIFS(TENTATIVES!$E$2:$E$422,"&gt;="&amp;A27,TENTATIVES!$E$2:$E$422,"&lt;"&amp;A27+1/24,TENTATIVES!$D$2:$D$422,"FAILED")</f>
        <v>4</v>
      </c>
      <c r="E27" s="27" t="n">
        <f aca="false">IF(B27=0,"",D27/B27)</f>
        <v>0.2</v>
      </c>
      <c r="F27" s="4" t="s">
        <v>5461</v>
      </c>
    </row>
    <row r="28" customFormat="false" ht="15" hidden="false" customHeight="false" outlineLevel="0" collapsed="false">
      <c r="A28" s="35" t="n">
        <v>46311</v>
      </c>
      <c r="B28" s="4" t="n">
        <f aca="false">COUNTIFS(TENTATIVES!$E$2:$E$422,"&gt;="&amp;A28,TENTATIVES!$E$2:$E$422,"&lt;"&amp;A28+1/24)</f>
        <v>20</v>
      </c>
      <c r="C28" s="4" t="n">
        <f aca="false">COUNTIFS(TENTATIVES!$E$2:$E$422,"&gt;="&amp;A28,TENTATIVES!$E$2:$E$422,"&lt;"&amp;A28+1/24,TENTATIVES!$D$2:$D$422,"COMPLETE")</f>
        <v>16</v>
      </c>
      <c r="D28" s="4" t="n">
        <f aca="false">COUNTIFS(TENTATIVES!$E$2:$E$422,"&gt;="&amp;A28,TENTATIVES!$E$2:$E$422,"&lt;"&amp;A28+1/24,TENTATIVES!$D$2:$D$422,"FAILED")</f>
        <v>4</v>
      </c>
      <c r="E28" s="27" t="n">
        <f aca="false">IF(B28=0,"",D28/B28)</f>
        <v>0.2</v>
      </c>
      <c r="F28" s="4" t="s">
        <v>5462</v>
      </c>
    </row>
    <row r="29" customFormat="false" ht="15" hidden="false" customHeight="false" outlineLevel="0" collapsed="false">
      <c r="A29" s="35" t="n">
        <v>46311.0416666667</v>
      </c>
      <c r="B29" s="4" t="n">
        <f aca="false">COUNTIFS(TENTATIVES!$E$2:$E$422,"&gt;="&amp;A29,TENTATIVES!$E$2:$E$422,"&lt;"&amp;A29+1/24)</f>
        <v>14</v>
      </c>
      <c r="C29" s="4" t="n">
        <f aca="false">COUNTIFS(TENTATIVES!$E$2:$E$422,"&gt;="&amp;A29,TENTATIVES!$E$2:$E$422,"&lt;"&amp;A29+1/24,TENTATIVES!$D$2:$D$422,"COMPLETE")</f>
        <v>8</v>
      </c>
      <c r="D29" s="4" t="n">
        <f aca="false">COUNTIFS(TENTATIVES!$E$2:$E$422,"&gt;="&amp;A29,TENTATIVES!$E$2:$E$422,"&lt;"&amp;A29+1/24,TENTATIVES!$D$2:$D$422,"FAILED")</f>
        <v>6</v>
      </c>
      <c r="E29" s="27" t="n">
        <f aca="false">IF(B29=0,"",D29/B29)</f>
        <v>0.428571428571429</v>
      </c>
      <c r="F29" s="4" t="s">
        <v>5463</v>
      </c>
    </row>
    <row r="30" customFormat="false" ht="15" hidden="false" customHeight="false" outlineLevel="0" collapsed="false">
      <c r="A30" s="35" t="n">
        <v>46311.0833333333</v>
      </c>
      <c r="B30" s="4" t="n">
        <f aca="false">COUNTIFS(TENTATIVES!$E$2:$E$422,"&gt;="&amp;A30,TENTATIVES!$E$2:$E$422,"&lt;"&amp;A30+1/24)</f>
        <v>19</v>
      </c>
      <c r="C30" s="4" t="n">
        <f aca="false">COUNTIFS(TENTATIVES!$E$2:$E$422,"&gt;="&amp;A30,TENTATIVES!$E$2:$E$422,"&lt;"&amp;A30+1/24,TENTATIVES!$D$2:$D$422,"COMPLETE")</f>
        <v>15</v>
      </c>
      <c r="D30" s="4" t="n">
        <f aca="false">COUNTIFS(TENTATIVES!$E$2:$E$422,"&gt;="&amp;A30,TENTATIVES!$E$2:$E$422,"&lt;"&amp;A30+1/24,TENTATIVES!$D$2:$D$422,"FAILED")</f>
        <v>4</v>
      </c>
      <c r="E30" s="27" t="n">
        <f aca="false">IF(B30=0,"",D30/B30)</f>
        <v>0.210526315789474</v>
      </c>
      <c r="F30" s="4" t="s">
        <v>5464</v>
      </c>
    </row>
    <row r="31" customFormat="false" ht="15" hidden="false" customHeight="false" outlineLevel="0" collapsed="false">
      <c r="A31" s="35" t="n">
        <v>46311.125</v>
      </c>
      <c r="B31" s="4" t="n">
        <f aca="false">COUNTIFS(TENTATIVES!$E$2:$E$422,"&gt;="&amp;A31,TENTATIVES!$E$2:$E$422,"&lt;"&amp;A31+1/24)</f>
        <v>20</v>
      </c>
      <c r="C31" s="4" t="n">
        <f aca="false">COUNTIFS(TENTATIVES!$E$2:$E$422,"&gt;="&amp;A31,TENTATIVES!$E$2:$E$422,"&lt;"&amp;A31+1/24,TENTATIVES!$D$2:$D$422,"COMPLETE")</f>
        <v>17</v>
      </c>
      <c r="D31" s="4" t="n">
        <f aca="false">COUNTIFS(TENTATIVES!$E$2:$E$422,"&gt;="&amp;A31,TENTATIVES!$E$2:$E$422,"&lt;"&amp;A31+1/24,TENTATIVES!$D$2:$D$422,"FAILED")</f>
        <v>3</v>
      </c>
      <c r="E31" s="27" t="n">
        <f aca="false">IF(B31=0,"",D31/B31)</f>
        <v>0.15</v>
      </c>
      <c r="F31" s="4" t="s">
        <v>5465</v>
      </c>
    </row>
    <row r="32" customFormat="false" ht="15" hidden="false" customHeight="false" outlineLevel="0" collapsed="false">
      <c r="A32" s="35" t="n">
        <v>46311.1666666667</v>
      </c>
      <c r="B32" s="4" t="n">
        <f aca="false">COUNTIFS(TENTATIVES!$E$2:$E$422,"&gt;="&amp;A32,TENTATIVES!$E$2:$E$422,"&lt;"&amp;A32+1/24)</f>
        <v>9</v>
      </c>
      <c r="C32" s="4" t="n">
        <f aca="false">COUNTIFS(TENTATIVES!$E$2:$E$422,"&gt;="&amp;A32,TENTATIVES!$E$2:$E$422,"&lt;"&amp;A32+1/24,TENTATIVES!$D$2:$D$422,"COMPLETE")</f>
        <v>8</v>
      </c>
      <c r="D32" s="4" t="n">
        <f aca="false">COUNTIFS(TENTATIVES!$E$2:$E$422,"&gt;="&amp;A32,TENTATIVES!$E$2:$E$422,"&lt;"&amp;A32+1/24,TENTATIVES!$D$2:$D$422,"FAILED")</f>
        <v>1</v>
      </c>
      <c r="E32" s="27" t="n">
        <f aca="false">IF(B32=0,"",D32/B32)</f>
        <v>0.111111111111111</v>
      </c>
      <c r="F32" s="4" t="s">
        <v>5466</v>
      </c>
    </row>
    <row r="34" customFormat="false" ht="15" hidden="false" customHeight="false" outlineLevel="0" collapsed="false">
      <c r="A34" s="10" t="s">
        <v>5467</v>
      </c>
    </row>
    <row r="35" customFormat="false" ht="23.85" hidden="false" customHeight="false" outlineLevel="0" collapsed="false">
      <c r="A35" s="3" t="s">
        <v>79</v>
      </c>
      <c r="B35" s="3" t="s">
        <v>22</v>
      </c>
      <c r="C35" s="3" t="s">
        <v>5468</v>
      </c>
    </row>
    <row r="36" customFormat="false" ht="15" hidden="false" customHeight="false" outlineLevel="0" collapsed="false">
      <c r="A36" s="4" t="n">
        <v>1</v>
      </c>
      <c r="B36" s="26" t="n">
        <f aca="false">AVERAGEIFS(DONNEES!$O$2:$O$1501,DONNEES!$C$2:$C$1501,A36)</f>
        <v>38.2718181818182</v>
      </c>
      <c r="C36" s="26" t="n">
        <v>34.4</v>
      </c>
    </row>
    <row r="37" customFormat="false" ht="15" hidden="false" customHeight="false" outlineLevel="0" collapsed="false">
      <c r="A37" s="4" t="n">
        <v>2</v>
      </c>
      <c r="B37" s="26" t="n">
        <f aca="false">AVERAGEIFS(DONNEES!$O$2:$O$1501,DONNEES!$C$2:$C$1501,A37)</f>
        <v>12.8151851851852</v>
      </c>
      <c r="C37" s="26" t="n">
        <v>11.7</v>
      </c>
    </row>
    <row r="38" customFormat="false" ht="15" hidden="false" customHeight="false" outlineLevel="0" collapsed="false">
      <c r="A38" s="4" t="n">
        <v>3</v>
      </c>
      <c r="B38" s="26" t="n">
        <f aca="false">AVERAGEIFS(DONNEES!$O$2:$O$1501,DONNEES!$C$2:$C$1501,A38)</f>
        <v>15.6160606060606</v>
      </c>
      <c r="C38" s="26" t="n">
        <v>12</v>
      </c>
    </row>
    <row r="39" customFormat="false" ht="15" hidden="false" customHeight="false" outlineLevel="0" collapsed="false">
      <c r="A39" s="4" t="n">
        <v>4</v>
      </c>
      <c r="B39" s="26" t="n">
        <f aca="false">AVERAGEIFS(DONNEES!$O$2:$O$1501,DONNEES!$C$2:$C$1501,A39)</f>
        <v>12.3351178451178</v>
      </c>
      <c r="C39" s="26" t="n">
        <v>11.2</v>
      </c>
    </row>
    <row r="40" customFormat="false" ht="15" hidden="false" customHeight="false" outlineLevel="0" collapsed="false">
      <c r="A40" s="4" t="n">
        <v>5</v>
      </c>
      <c r="B40" s="26" t="n">
        <f aca="false">AVERAGEIFS(DONNEES!$O$2:$O$1501,DONNEES!$C$2:$C$1501,A40)</f>
        <v>13.2254545454545</v>
      </c>
      <c r="C40" s="26" t="n">
        <v>10.9</v>
      </c>
    </row>
    <row r="41" customFormat="false" ht="15" hidden="false" customHeight="false" outlineLevel="0" collapsed="false">
      <c r="A41" s="2" t="s">
        <v>5469</v>
      </c>
    </row>
  </sheetData>
  <conditionalFormatting sqref="E5:E32">
    <cfRule type="dataBar" priority="2">
      <dataBar showValue="1" minLength="10" maxLength="90">
        <cfvo type="num" val="0"/>
        <cfvo type="num" val="1"/>
        <color rgb="FFD03B3B"/>
      </dataBar>
      <extLst>
        <ext xmlns:x14="http://schemas.microsoft.com/office/spreadsheetml/2009/9/main" uri="{B025F937-C7B1-47D3-B67F-A62EFF666E3E}">
          <x14:id>{BCDF7F1F-70D2-4CAB-93A6-E92F781F69E8}</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BCDF7F1F-70D2-4CAB-93A6-E92F781F69E8}">
            <x14:dataBar minLength="10" maxLength="90" axisPosition="none" gradient="true">
              <x14:cfvo type="num">
                <xm:f>0</xm:f>
              </x14:cfvo>
              <x14:cfvo type="num">
                <xm:f>1</xm:f>
              </x14:cfvo>
              <x14:negativeFillColor rgb="FFD03B3B"/>
              <x14:axisColor rgb="FF000000"/>
            </x14:dataBar>
          </x14:cfRule>
          <xm:sqref>E5:E32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2026-10-16T08:24:40Z</dcterms:created>
  <dc:creator>openpyxl</dc:creator>
  <dc:description/>
  <dc:language>en-US</dc:language>
  <cp:lastModifiedBy/>
  <dcterms:modified xsi:type="dcterms:W3CDTF">2026-10-16T08:24:46Z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